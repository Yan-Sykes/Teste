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Operacoes\10. Planning Raw Material\Gerenciamento de materiais\Atividades diarias\"/>
    </mc:Choice>
  </mc:AlternateContent>
  <xr:revisionPtr revIDLastSave="0" documentId="13_ncr:1_{409578BB-4EFA-4B48-93B5-8959D18405E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ntrole de Validade" sheetId="6" r:id="rId1"/>
    <sheet name="Responsável" sheetId="8" r:id="rId2"/>
    <sheet name="Validade" sheetId="1" r:id="rId3"/>
    <sheet name="Dispodaten2" sheetId="3" state="hidden" r:id="rId4"/>
  </sheets>
  <definedNames>
    <definedName name="_xlnm._FilterDatabase" localSheetId="0" hidden="1">'Controle de Validade'!$A$1:$N$1067</definedName>
    <definedName name="_xlnm._FilterDatabase" localSheetId="1" hidden="1">Responsável!$A$1:$M$1540</definedName>
    <definedName name="_xlnm._FilterDatabase" localSheetId="2" hidden="1">Validade!$A$1:$L$630</definedName>
    <definedName name="DadosExternos_1" localSheetId="3" hidden="1">Dispodaten2!$A$1:$B$1217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67" i="6" l="1"/>
  <c r="M1065" i="6"/>
  <c r="M1066" i="6"/>
  <c r="M1064" i="6"/>
  <c r="M1063" i="6"/>
  <c r="M1062" i="6"/>
  <c r="M1541" i="8"/>
  <c r="M1540" i="8"/>
  <c r="M1539" i="8"/>
  <c r="M1538" i="8"/>
  <c r="M1537" i="8"/>
  <c r="M1526" i="8"/>
  <c r="M1525" i="8"/>
  <c r="M1524" i="8"/>
  <c r="M1523" i="8"/>
  <c r="M1522" i="8"/>
  <c r="M1521" i="8"/>
  <c r="M1520" i="8"/>
  <c r="M1519" i="8"/>
  <c r="M1518" i="8"/>
  <c r="M1517" i="8"/>
  <c r="M1516" i="8"/>
  <c r="M1515" i="8"/>
  <c r="M1513" i="8"/>
  <c r="M1512" i="8"/>
  <c r="M1511" i="8"/>
  <c r="M1510" i="8"/>
  <c r="M1509" i="8"/>
  <c r="M1138" i="8"/>
  <c r="M1134" i="8"/>
  <c r="M1133" i="8"/>
  <c r="M1132" i="8"/>
  <c r="M1131" i="8"/>
  <c r="M1130" i="8"/>
  <c r="M1123" i="8"/>
  <c r="M1106" i="8"/>
  <c r="M1105" i="8"/>
  <c r="M1104" i="8"/>
  <c r="M1102" i="8"/>
  <c r="M1098" i="8"/>
  <c r="M1097" i="8"/>
  <c r="M1096" i="8"/>
  <c r="M1095" i="8"/>
  <c r="M1094" i="8"/>
  <c r="M1092" i="8"/>
  <c r="M1091" i="8"/>
  <c r="M1090" i="8"/>
  <c r="G1090" i="8"/>
  <c r="M1089" i="8"/>
  <c r="M1088" i="8"/>
  <c r="M1087" i="8"/>
  <c r="M1086" i="8"/>
  <c r="M1085" i="8"/>
  <c r="M1084" i="8"/>
  <c r="M1083" i="8"/>
  <c r="M1082" i="8"/>
  <c r="M1080" i="8"/>
  <c r="M1079" i="8"/>
  <c r="M1078" i="8"/>
  <c r="G1078" i="8"/>
  <c r="M1077" i="8"/>
  <c r="M1076" i="8"/>
  <c r="M1075" i="8"/>
  <c r="G1075" i="8"/>
  <c r="M1074" i="8"/>
  <c r="M1073" i="8"/>
  <c r="M1072" i="8"/>
  <c r="M1071" i="8"/>
  <c r="M1070" i="8"/>
  <c r="M1069" i="8"/>
  <c r="M1068" i="8"/>
  <c r="M1067" i="8"/>
  <c r="M1066" i="8"/>
  <c r="M1065" i="8"/>
  <c r="M1064" i="8"/>
  <c r="M1063" i="8"/>
  <c r="M1062" i="8"/>
  <c r="M1061" i="8"/>
  <c r="G1061" i="8"/>
  <c r="M1060" i="8"/>
  <c r="G1060" i="8"/>
  <c r="M1059" i="8"/>
  <c r="G1059" i="8"/>
  <c r="M1058" i="8"/>
  <c r="G1058" i="8"/>
  <c r="M1057" i="8"/>
  <c r="G1057" i="8"/>
  <c r="M1056" i="8"/>
  <c r="G1056" i="8"/>
  <c r="M1055" i="8"/>
  <c r="G1055" i="8"/>
  <c r="M1054" i="8"/>
  <c r="G1054" i="8"/>
  <c r="M1053" i="8"/>
  <c r="G1053" i="8"/>
  <c r="M1052" i="8"/>
  <c r="G1052" i="8"/>
  <c r="M1051" i="8"/>
  <c r="G1051" i="8"/>
  <c r="M1050" i="8"/>
  <c r="G1050" i="8"/>
  <c r="M1049" i="8"/>
  <c r="G1049" i="8"/>
  <c r="M1048" i="8"/>
  <c r="G1048" i="8"/>
  <c r="M1047" i="8"/>
  <c r="G1047" i="8"/>
  <c r="M1046" i="8"/>
  <c r="G1046" i="8"/>
  <c r="M1045" i="8"/>
  <c r="G1045" i="8"/>
  <c r="M1044" i="8"/>
  <c r="M1043" i="8"/>
  <c r="M1042" i="8"/>
  <c r="M1041" i="8"/>
  <c r="M1040" i="8"/>
  <c r="M1039" i="8"/>
  <c r="G1039" i="8"/>
  <c r="M1038" i="8"/>
  <c r="M1037" i="8"/>
  <c r="M1036" i="8"/>
  <c r="M1035" i="8"/>
  <c r="M1034" i="8"/>
  <c r="G1034" i="8"/>
  <c r="M1033" i="8"/>
  <c r="M1032" i="8"/>
  <c r="M1031" i="8"/>
  <c r="M1030" i="8"/>
  <c r="M1029" i="8"/>
  <c r="M1028" i="8"/>
  <c r="M1027" i="8"/>
  <c r="M1026" i="8"/>
  <c r="M1025" i="8"/>
  <c r="M1024" i="8"/>
  <c r="M1023" i="8"/>
  <c r="M1022" i="8"/>
  <c r="M1021" i="8"/>
  <c r="M1020" i="8"/>
  <c r="M1019" i="8"/>
  <c r="M1018" i="8"/>
  <c r="M1017" i="8"/>
  <c r="M1016" i="8"/>
  <c r="M1015" i="8"/>
  <c r="M1014" i="8"/>
  <c r="M1013" i="8"/>
  <c r="M1012" i="8"/>
  <c r="M1011" i="8"/>
  <c r="M1010" i="8"/>
  <c r="M1009" i="8"/>
  <c r="M1008" i="8"/>
  <c r="M1007" i="8"/>
  <c r="M1006" i="8"/>
  <c r="M1005" i="8"/>
  <c r="M1004" i="8"/>
  <c r="M1003" i="8"/>
  <c r="M1002" i="8"/>
  <c r="M1001" i="8"/>
  <c r="M1000" i="8"/>
  <c r="M999" i="8"/>
  <c r="M998" i="8"/>
  <c r="M997" i="8"/>
  <c r="M996" i="8"/>
  <c r="M995" i="8"/>
  <c r="M994" i="8"/>
  <c r="M993" i="8"/>
  <c r="M992" i="8"/>
  <c r="M991" i="8"/>
  <c r="M990" i="8"/>
  <c r="M989" i="8"/>
  <c r="M988" i="8"/>
  <c r="M987" i="8"/>
  <c r="M986" i="8"/>
  <c r="M985" i="8"/>
  <c r="M984" i="8"/>
  <c r="M983" i="8"/>
  <c r="M982" i="8"/>
  <c r="M981" i="8"/>
  <c r="M980" i="8"/>
  <c r="M979" i="8"/>
  <c r="M978" i="8"/>
  <c r="M977" i="8"/>
  <c r="M976" i="8"/>
  <c r="M975" i="8"/>
  <c r="M974" i="8"/>
  <c r="M973" i="8"/>
  <c r="M972" i="8"/>
  <c r="M971" i="8"/>
  <c r="M970" i="8"/>
  <c r="M969" i="8"/>
  <c r="M968" i="8"/>
  <c r="M967" i="8"/>
  <c r="M966" i="8"/>
  <c r="M965" i="8"/>
  <c r="M964" i="8"/>
  <c r="M963" i="8"/>
  <c r="M962" i="8"/>
  <c r="M961" i="8"/>
  <c r="M960" i="8"/>
  <c r="M959" i="8"/>
  <c r="M958" i="8"/>
  <c r="M957" i="8"/>
  <c r="M956" i="8"/>
  <c r="M955" i="8"/>
  <c r="M954" i="8"/>
  <c r="M953" i="8"/>
  <c r="M952" i="8"/>
  <c r="M951" i="8"/>
  <c r="M950" i="8"/>
  <c r="M949" i="8"/>
  <c r="M948" i="8"/>
  <c r="M947" i="8"/>
  <c r="M946" i="8"/>
  <c r="M945" i="8"/>
  <c r="M944" i="8"/>
  <c r="M943" i="8"/>
  <c r="M942" i="8"/>
  <c r="M941" i="8"/>
  <c r="M940" i="8"/>
  <c r="M939" i="8"/>
  <c r="M938" i="8"/>
  <c r="M937" i="8"/>
  <c r="M936" i="8"/>
  <c r="M935" i="8"/>
  <c r="G935" i="8"/>
  <c r="M934" i="8"/>
  <c r="G934" i="8"/>
  <c r="M933" i="8"/>
  <c r="M932" i="8"/>
  <c r="M931" i="8"/>
  <c r="M930" i="8"/>
  <c r="M929" i="8"/>
  <c r="G929" i="8"/>
  <c r="M928" i="8"/>
  <c r="G928" i="8"/>
  <c r="M927" i="8"/>
  <c r="M926" i="8"/>
  <c r="M925" i="8"/>
  <c r="M924" i="8"/>
  <c r="G924" i="8"/>
  <c r="M923" i="8"/>
  <c r="M922" i="8"/>
  <c r="M921" i="8"/>
  <c r="M920" i="8"/>
  <c r="M919" i="8"/>
  <c r="M918" i="8"/>
  <c r="M917" i="8"/>
  <c r="M916" i="8"/>
  <c r="M915" i="8"/>
  <c r="M914" i="8"/>
  <c r="M913" i="8"/>
  <c r="G913" i="8"/>
  <c r="M912" i="8"/>
  <c r="G912" i="8"/>
  <c r="M911" i="8"/>
  <c r="G911" i="8"/>
  <c r="M910" i="8"/>
  <c r="G910" i="8"/>
  <c r="M909" i="8"/>
  <c r="M908" i="8"/>
  <c r="M907" i="8"/>
  <c r="M906" i="8"/>
  <c r="M905" i="8"/>
  <c r="M904" i="8"/>
  <c r="M903" i="8"/>
  <c r="M900" i="8"/>
  <c r="M899" i="8"/>
  <c r="M898" i="8"/>
  <c r="M897" i="8"/>
  <c r="M896" i="8"/>
  <c r="M895" i="8"/>
  <c r="M894" i="8"/>
  <c r="M893" i="8"/>
  <c r="M892" i="8"/>
  <c r="M891" i="8"/>
  <c r="M890" i="8"/>
  <c r="M889" i="8"/>
  <c r="M888" i="8"/>
  <c r="M887" i="8"/>
  <c r="M886" i="8"/>
  <c r="M885" i="8"/>
  <c r="M884" i="8"/>
  <c r="M883" i="8"/>
  <c r="M882" i="8"/>
  <c r="M881" i="8"/>
  <c r="M880" i="8"/>
  <c r="M879" i="8"/>
  <c r="M878" i="8"/>
  <c r="M877" i="8"/>
  <c r="M876" i="8"/>
  <c r="M875" i="8"/>
  <c r="M874" i="8"/>
  <c r="M873" i="8"/>
  <c r="M872" i="8"/>
  <c r="M871" i="8"/>
  <c r="M870" i="8"/>
  <c r="M869" i="8"/>
  <c r="M868" i="8"/>
  <c r="M867" i="8"/>
  <c r="M866" i="8"/>
  <c r="M865" i="8"/>
  <c r="M864" i="8"/>
  <c r="M863" i="8"/>
  <c r="M862" i="8"/>
  <c r="M861" i="8"/>
  <c r="M860" i="8"/>
  <c r="M857" i="8"/>
  <c r="M856" i="8"/>
  <c r="M855" i="8"/>
  <c r="M854" i="8"/>
  <c r="M853" i="8"/>
  <c r="M852" i="8"/>
  <c r="M851" i="8"/>
  <c r="M850" i="8"/>
  <c r="M849" i="8"/>
  <c r="M848" i="8"/>
  <c r="M847" i="8"/>
  <c r="M846" i="8"/>
  <c r="M845" i="8"/>
  <c r="M844" i="8"/>
  <c r="M843" i="8"/>
  <c r="M842" i="8"/>
  <c r="M841" i="8"/>
  <c r="M840" i="8"/>
  <c r="M839" i="8"/>
  <c r="M838" i="8"/>
  <c r="M837" i="8"/>
  <c r="M836" i="8"/>
  <c r="M835" i="8"/>
  <c r="M834" i="8"/>
  <c r="M833" i="8"/>
  <c r="M832" i="8"/>
  <c r="M831" i="8"/>
  <c r="M830" i="8"/>
  <c r="M829" i="8"/>
  <c r="M828" i="8"/>
  <c r="M827" i="8"/>
  <c r="M826" i="8"/>
  <c r="M825" i="8"/>
  <c r="M824" i="8"/>
  <c r="M823" i="8"/>
  <c r="M822" i="8"/>
  <c r="M821" i="8"/>
  <c r="M820" i="8"/>
  <c r="M819" i="8"/>
  <c r="M818" i="8"/>
  <c r="M817" i="8"/>
  <c r="M816" i="8"/>
  <c r="M815" i="8"/>
  <c r="M814" i="8"/>
  <c r="M813" i="8"/>
  <c r="M812" i="8"/>
  <c r="M811" i="8"/>
  <c r="M810" i="8"/>
  <c r="M809" i="8"/>
  <c r="M808" i="8"/>
  <c r="M807" i="8"/>
  <c r="M806" i="8"/>
  <c r="M805" i="8"/>
  <c r="M804" i="8"/>
  <c r="M803" i="8"/>
  <c r="M802" i="8"/>
  <c r="M801" i="8"/>
  <c r="M800" i="8"/>
  <c r="M799" i="8"/>
  <c r="M798" i="8"/>
  <c r="M797" i="8"/>
  <c r="M796" i="8"/>
  <c r="M795" i="8"/>
  <c r="M794" i="8"/>
  <c r="M793" i="8"/>
  <c r="M792" i="8"/>
  <c r="M791" i="8"/>
  <c r="M790" i="8"/>
  <c r="M789" i="8"/>
  <c r="M788" i="8"/>
  <c r="M787" i="8"/>
  <c r="M786" i="8"/>
  <c r="M785" i="8"/>
  <c r="M784" i="8"/>
  <c r="M783" i="8"/>
  <c r="M782" i="8"/>
  <c r="M781" i="8"/>
  <c r="M780" i="8"/>
  <c r="M779" i="8"/>
  <c r="M778" i="8"/>
  <c r="M777" i="8"/>
  <c r="M776" i="8"/>
  <c r="M775" i="8"/>
  <c r="M774" i="8"/>
  <c r="M773" i="8"/>
  <c r="M772" i="8"/>
  <c r="M771" i="8"/>
  <c r="M770" i="8"/>
  <c r="M769" i="8"/>
  <c r="M768" i="8"/>
  <c r="M767" i="8"/>
  <c r="M766" i="8"/>
  <c r="M765" i="8"/>
  <c r="M764" i="8"/>
  <c r="M763" i="8"/>
  <c r="M762" i="8"/>
  <c r="M761" i="8"/>
  <c r="G761" i="8"/>
  <c r="M760" i="8"/>
  <c r="M759" i="8"/>
  <c r="M758" i="8"/>
  <c r="M757" i="8"/>
  <c r="M756" i="8"/>
  <c r="M755" i="8"/>
  <c r="M754" i="8"/>
  <c r="M753" i="8"/>
  <c r="M752" i="8"/>
  <c r="M751" i="8"/>
  <c r="M750" i="8"/>
  <c r="M749" i="8"/>
  <c r="M748" i="8"/>
  <c r="M747" i="8"/>
  <c r="M746" i="8"/>
  <c r="M745" i="8"/>
  <c r="M744" i="8"/>
  <c r="M743" i="8"/>
  <c r="M742" i="8"/>
  <c r="M741" i="8"/>
  <c r="M740" i="8"/>
  <c r="M739" i="8"/>
  <c r="M738" i="8"/>
  <c r="M737" i="8"/>
  <c r="M736" i="8"/>
  <c r="M735" i="8"/>
  <c r="M734" i="8"/>
  <c r="M733" i="8"/>
  <c r="M732" i="8"/>
  <c r="M731" i="8"/>
  <c r="M730" i="8"/>
  <c r="M729" i="8"/>
  <c r="M728" i="8"/>
  <c r="M727" i="8"/>
  <c r="M726" i="8"/>
  <c r="M725" i="8"/>
  <c r="M724" i="8"/>
  <c r="M723" i="8"/>
  <c r="M722" i="8"/>
  <c r="M721" i="8"/>
  <c r="M720" i="8"/>
  <c r="M719" i="8"/>
  <c r="M718" i="8"/>
  <c r="M717" i="8"/>
  <c r="M716" i="8"/>
  <c r="M715" i="8"/>
  <c r="M714" i="8"/>
  <c r="M713" i="8"/>
  <c r="M712" i="8"/>
  <c r="M711" i="8"/>
  <c r="M710" i="8"/>
  <c r="M709" i="8"/>
  <c r="M708" i="8"/>
  <c r="M707" i="8"/>
  <c r="M706" i="8"/>
  <c r="M705" i="8"/>
  <c r="M704" i="8"/>
  <c r="M703" i="8"/>
  <c r="M702" i="8"/>
  <c r="M701" i="8"/>
  <c r="M700" i="8"/>
  <c r="M699" i="8"/>
  <c r="M698" i="8"/>
  <c r="M697" i="8"/>
  <c r="M696" i="8"/>
  <c r="M695" i="8"/>
  <c r="M694" i="8"/>
  <c r="M693" i="8"/>
  <c r="M692" i="8"/>
  <c r="M691" i="8"/>
  <c r="M690" i="8"/>
  <c r="M689" i="8"/>
  <c r="M688" i="8"/>
  <c r="M687" i="8"/>
  <c r="M686" i="8"/>
  <c r="M685" i="8"/>
  <c r="M684" i="8"/>
  <c r="M683" i="8"/>
  <c r="M682" i="8"/>
  <c r="G682" i="8"/>
  <c r="M681" i="8"/>
  <c r="M680" i="8"/>
  <c r="M679" i="8"/>
  <c r="M678" i="8"/>
  <c r="G678" i="8"/>
  <c r="M677" i="8"/>
  <c r="G677" i="8"/>
  <c r="M676" i="8"/>
  <c r="G676" i="8"/>
  <c r="M675" i="8"/>
  <c r="G675" i="8"/>
  <c r="M674" i="8"/>
  <c r="G674" i="8"/>
  <c r="M673" i="8"/>
  <c r="M672" i="8"/>
  <c r="M671" i="8"/>
  <c r="M670" i="8"/>
  <c r="M669" i="8"/>
  <c r="M668" i="8"/>
  <c r="M667" i="8"/>
  <c r="M666" i="8"/>
  <c r="M665" i="8"/>
  <c r="M664" i="8"/>
  <c r="M663" i="8"/>
  <c r="M662" i="8"/>
  <c r="M661" i="8"/>
  <c r="M660" i="8"/>
  <c r="M659" i="8"/>
  <c r="M658" i="8"/>
  <c r="M657" i="8"/>
  <c r="M656" i="8"/>
  <c r="M655" i="8"/>
  <c r="M654" i="8"/>
  <c r="M653" i="8"/>
  <c r="M652" i="8"/>
  <c r="M651" i="8"/>
  <c r="G651" i="8"/>
  <c r="M650" i="8"/>
  <c r="M649" i="8"/>
  <c r="M648" i="8"/>
  <c r="M647" i="8"/>
  <c r="M646" i="8"/>
  <c r="M645" i="8"/>
  <c r="M644" i="8"/>
  <c r="M643" i="8"/>
  <c r="M642" i="8"/>
  <c r="M641" i="8"/>
  <c r="M640" i="8"/>
  <c r="M639" i="8"/>
  <c r="M638" i="8"/>
  <c r="M637" i="8"/>
  <c r="M636" i="8"/>
  <c r="M635" i="8"/>
  <c r="M634" i="8"/>
  <c r="M633" i="8"/>
  <c r="M632" i="8"/>
  <c r="M631" i="8"/>
  <c r="M630" i="8"/>
  <c r="M629" i="8"/>
  <c r="M628" i="8"/>
  <c r="M627" i="8"/>
  <c r="M626" i="8"/>
  <c r="M625" i="8"/>
  <c r="M624" i="8"/>
  <c r="M623" i="8"/>
  <c r="M622" i="8"/>
  <c r="M621" i="8"/>
  <c r="M620" i="8"/>
  <c r="M619" i="8"/>
  <c r="M618" i="8"/>
  <c r="M617" i="8"/>
  <c r="M616" i="8"/>
  <c r="M615" i="8"/>
  <c r="M614" i="8"/>
  <c r="M613" i="8"/>
  <c r="M612" i="8"/>
  <c r="M611" i="8"/>
  <c r="M610" i="8"/>
  <c r="M609" i="8"/>
  <c r="M608" i="8"/>
  <c r="M607" i="8"/>
  <c r="M606" i="8"/>
  <c r="M605" i="8"/>
  <c r="M604" i="8"/>
  <c r="M603" i="8"/>
  <c r="M602" i="8"/>
  <c r="M601" i="8"/>
  <c r="M600" i="8"/>
  <c r="M599" i="8"/>
  <c r="M598" i="8"/>
  <c r="M597" i="8"/>
  <c r="M596" i="8"/>
  <c r="M595" i="8"/>
  <c r="M594" i="8"/>
  <c r="M593" i="8"/>
  <c r="M592" i="8"/>
  <c r="M591" i="8"/>
  <c r="M590" i="8"/>
  <c r="M589" i="8"/>
  <c r="M588" i="8"/>
  <c r="M587" i="8"/>
  <c r="M586" i="8"/>
  <c r="M585" i="8"/>
  <c r="M584" i="8"/>
  <c r="M583" i="8"/>
  <c r="M582" i="8"/>
  <c r="M581" i="8"/>
  <c r="M580" i="8"/>
  <c r="M579" i="8"/>
  <c r="M578" i="8"/>
  <c r="M577" i="8"/>
  <c r="M576" i="8"/>
  <c r="M575" i="8"/>
  <c r="M574" i="8"/>
  <c r="M573" i="8"/>
  <c r="M572" i="8"/>
  <c r="M571" i="8"/>
  <c r="M570" i="8"/>
  <c r="M569" i="8"/>
  <c r="M568" i="8"/>
  <c r="M567" i="8"/>
  <c r="M566" i="8"/>
  <c r="M565" i="8"/>
  <c r="M564" i="8"/>
  <c r="M563" i="8"/>
  <c r="M562" i="8"/>
  <c r="M561" i="8"/>
  <c r="M560" i="8"/>
  <c r="M559" i="8"/>
  <c r="M558" i="8"/>
  <c r="M557" i="8"/>
  <c r="M556" i="8"/>
  <c r="M555" i="8"/>
  <c r="M554" i="8"/>
  <c r="M553" i="8"/>
  <c r="M552" i="8"/>
  <c r="M551" i="8"/>
  <c r="M550" i="8"/>
  <c r="M549" i="8"/>
  <c r="M548" i="8"/>
  <c r="M547" i="8"/>
  <c r="M546" i="8"/>
  <c r="M545" i="8"/>
  <c r="M544" i="8"/>
  <c r="M543" i="8"/>
  <c r="M542" i="8"/>
  <c r="M541" i="8"/>
  <c r="M540" i="8"/>
  <c r="M539" i="8"/>
  <c r="M538" i="8"/>
  <c r="M537" i="8"/>
  <c r="M536" i="8"/>
  <c r="M535" i="8"/>
  <c r="M534" i="8"/>
  <c r="M533" i="8"/>
  <c r="M532" i="8"/>
  <c r="M531" i="8"/>
  <c r="M530" i="8"/>
  <c r="M529" i="8"/>
  <c r="M528" i="8"/>
  <c r="M527" i="8"/>
  <c r="M526" i="8"/>
  <c r="M525" i="8"/>
  <c r="M524" i="8"/>
  <c r="M523" i="8"/>
  <c r="M522" i="8"/>
  <c r="M521" i="8"/>
  <c r="M520" i="8"/>
  <c r="M519" i="8"/>
  <c r="M518" i="8"/>
  <c r="M517" i="8"/>
  <c r="M516" i="8"/>
  <c r="M515" i="8"/>
  <c r="M514" i="8"/>
  <c r="M513" i="8"/>
  <c r="M512" i="8"/>
  <c r="M511" i="8"/>
  <c r="M510" i="8"/>
  <c r="M509" i="8"/>
  <c r="M508" i="8"/>
  <c r="M507" i="8"/>
  <c r="M506" i="8"/>
  <c r="M505" i="8"/>
  <c r="M504" i="8"/>
  <c r="M503" i="8"/>
  <c r="M502" i="8"/>
  <c r="M501" i="8"/>
  <c r="M500" i="8"/>
  <c r="M499" i="8"/>
  <c r="M498" i="8"/>
  <c r="M497" i="8"/>
  <c r="M496" i="8"/>
  <c r="M495" i="8"/>
  <c r="M494" i="8"/>
  <c r="M493" i="8"/>
  <c r="M492" i="8"/>
  <c r="M491" i="8"/>
  <c r="M490" i="8"/>
  <c r="M489" i="8"/>
  <c r="M488" i="8"/>
  <c r="M487" i="8"/>
  <c r="M486" i="8"/>
  <c r="M485" i="8"/>
  <c r="M484" i="8"/>
  <c r="M483" i="8"/>
  <c r="M482" i="8"/>
  <c r="M481" i="8"/>
  <c r="M480" i="8"/>
  <c r="M479" i="8"/>
  <c r="M478" i="8"/>
  <c r="M477" i="8"/>
  <c r="M476" i="8"/>
  <c r="M475" i="8"/>
  <c r="M474" i="8"/>
  <c r="M473" i="8"/>
  <c r="M472" i="8"/>
  <c r="M471" i="8"/>
  <c r="M470" i="8"/>
  <c r="M469" i="8"/>
  <c r="M468" i="8"/>
  <c r="M467" i="8"/>
  <c r="M466" i="8"/>
  <c r="M465" i="8"/>
  <c r="M464" i="8"/>
  <c r="M463" i="8"/>
  <c r="M462" i="8"/>
  <c r="M461" i="8"/>
  <c r="M460" i="8"/>
  <c r="M459" i="8"/>
  <c r="M458" i="8"/>
  <c r="M457" i="8"/>
  <c r="M456" i="8"/>
  <c r="M455" i="8"/>
  <c r="M454" i="8"/>
  <c r="M453" i="8"/>
  <c r="M452" i="8"/>
  <c r="M451" i="8"/>
  <c r="M450" i="8"/>
  <c r="M449" i="8"/>
  <c r="M448" i="8"/>
  <c r="M447" i="8"/>
  <c r="M446" i="8"/>
  <c r="M445" i="8"/>
  <c r="M444" i="8"/>
  <c r="M443" i="8"/>
  <c r="M442" i="8"/>
  <c r="M441" i="8"/>
  <c r="M440" i="8"/>
  <c r="M439" i="8"/>
  <c r="M438" i="8"/>
  <c r="M437" i="8"/>
  <c r="M436" i="8"/>
  <c r="M435" i="8"/>
  <c r="M434" i="8"/>
  <c r="M433" i="8"/>
  <c r="M432" i="8"/>
  <c r="M431" i="8"/>
  <c r="M430" i="8"/>
  <c r="M429" i="8"/>
  <c r="M428" i="8"/>
  <c r="M427" i="8"/>
  <c r="M426" i="8"/>
  <c r="M425" i="8"/>
  <c r="M424" i="8"/>
  <c r="M423" i="8"/>
  <c r="M422" i="8"/>
  <c r="M421" i="8"/>
  <c r="M420" i="8"/>
  <c r="M419" i="8"/>
  <c r="M418" i="8"/>
  <c r="M417" i="8"/>
  <c r="M416" i="8"/>
  <c r="M415" i="8"/>
  <c r="M414" i="8"/>
  <c r="M413" i="8"/>
  <c r="M412" i="8"/>
  <c r="M411" i="8"/>
  <c r="M410" i="8"/>
  <c r="M409" i="8"/>
  <c r="M408" i="8"/>
  <c r="M407" i="8"/>
  <c r="M406" i="8"/>
  <c r="M405" i="8"/>
  <c r="M404" i="8"/>
  <c r="M403" i="8"/>
  <c r="M402" i="8"/>
  <c r="M401" i="8"/>
  <c r="M400" i="8"/>
  <c r="M399" i="8"/>
  <c r="M398" i="8"/>
  <c r="M397" i="8"/>
  <c r="M396" i="8"/>
  <c r="M395" i="8"/>
  <c r="M394" i="8"/>
  <c r="M393" i="8"/>
  <c r="M392" i="8"/>
  <c r="M391" i="8"/>
  <c r="M390" i="8"/>
  <c r="M389" i="8"/>
  <c r="M388" i="8"/>
  <c r="M387" i="8"/>
  <c r="M386" i="8"/>
  <c r="M385" i="8"/>
  <c r="M384" i="8"/>
  <c r="M383" i="8"/>
  <c r="M382" i="8"/>
  <c r="M381" i="8"/>
  <c r="M380" i="8"/>
  <c r="M379" i="8"/>
  <c r="M378" i="8"/>
  <c r="M377" i="8"/>
  <c r="M376" i="8"/>
  <c r="M375" i="8"/>
  <c r="M374" i="8"/>
  <c r="M373" i="8"/>
  <c r="M372" i="8"/>
  <c r="M371" i="8"/>
  <c r="M370" i="8"/>
  <c r="M369" i="8"/>
  <c r="M368" i="8"/>
  <c r="M367" i="8"/>
  <c r="M366" i="8"/>
  <c r="M365" i="8"/>
  <c r="M364" i="8"/>
  <c r="M363" i="8"/>
  <c r="M362" i="8"/>
  <c r="M361" i="8"/>
  <c r="M360" i="8"/>
  <c r="M359" i="8"/>
  <c r="M358" i="8"/>
  <c r="M357" i="8"/>
  <c r="M356" i="8"/>
  <c r="M355" i="8"/>
  <c r="M354" i="8"/>
  <c r="M353" i="8"/>
  <c r="M352" i="8"/>
  <c r="M351" i="8"/>
  <c r="M350" i="8"/>
  <c r="M349" i="8"/>
  <c r="M348" i="8"/>
  <c r="M347" i="8"/>
  <c r="M346" i="8"/>
  <c r="M345" i="8"/>
  <c r="M344" i="8"/>
  <c r="M343" i="8"/>
  <c r="M342" i="8"/>
  <c r="M341" i="8"/>
  <c r="M340" i="8"/>
  <c r="M339" i="8"/>
  <c r="M338" i="8"/>
  <c r="M337" i="8"/>
  <c r="M336" i="8"/>
  <c r="M335" i="8"/>
  <c r="M334" i="8"/>
  <c r="M333" i="8"/>
  <c r="M332" i="8"/>
  <c r="M331" i="8"/>
  <c r="M330" i="8"/>
  <c r="M329" i="8"/>
  <c r="M328" i="8"/>
  <c r="M327" i="8"/>
  <c r="M326" i="8"/>
  <c r="M325" i="8"/>
  <c r="M324" i="8"/>
  <c r="M323" i="8"/>
  <c r="M322" i="8"/>
  <c r="M321" i="8"/>
  <c r="M320" i="8"/>
  <c r="M319" i="8"/>
  <c r="M318" i="8"/>
  <c r="M317" i="8"/>
  <c r="M316" i="8"/>
  <c r="M315" i="8"/>
  <c r="M314" i="8"/>
  <c r="M313" i="8"/>
  <c r="M312" i="8"/>
  <c r="M311" i="8"/>
  <c r="M310" i="8"/>
  <c r="M309" i="8"/>
  <c r="M308" i="8"/>
  <c r="M307" i="8"/>
  <c r="M306" i="8"/>
  <c r="M305" i="8"/>
  <c r="M304" i="8"/>
  <c r="M303" i="8"/>
  <c r="M302" i="8"/>
  <c r="M301" i="8"/>
  <c r="M300" i="8"/>
  <c r="M299" i="8"/>
  <c r="M298" i="8"/>
  <c r="M297" i="8"/>
  <c r="M296" i="8"/>
  <c r="M295" i="8"/>
  <c r="M294" i="8"/>
  <c r="M293" i="8"/>
  <c r="M292" i="8"/>
  <c r="M291" i="8"/>
  <c r="M290" i="8"/>
  <c r="M289" i="8"/>
  <c r="M288" i="8"/>
  <c r="M287" i="8"/>
  <c r="M286" i="8"/>
  <c r="M285" i="8"/>
  <c r="M284" i="8"/>
  <c r="M283" i="8"/>
  <c r="M282" i="8"/>
  <c r="M281" i="8"/>
  <c r="M280" i="8"/>
  <c r="M279" i="8"/>
  <c r="M278" i="8"/>
  <c r="M277" i="8"/>
  <c r="M276" i="8"/>
  <c r="M275" i="8"/>
  <c r="M274" i="8"/>
  <c r="M273" i="8"/>
  <c r="M272" i="8"/>
  <c r="M271" i="8"/>
  <c r="M270" i="8"/>
  <c r="M269" i="8"/>
  <c r="M268" i="8"/>
  <c r="M267" i="8"/>
  <c r="M266" i="8"/>
  <c r="M265" i="8"/>
  <c r="M264" i="8"/>
  <c r="M263" i="8"/>
  <c r="M262" i="8"/>
  <c r="M261" i="8"/>
  <c r="M260" i="8"/>
  <c r="M259" i="8"/>
  <c r="M258" i="8"/>
  <c r="M257" i="8"/>
  <c r="M256" i="8"/>
  <c r="M255" i="8"/>
  <c r="M254" i="8"/>
  <c r="M253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5" i="8"/>
  <c r="M214" i="8"/>
  <c r="M213" i="8"/>
  <c r="M212" i="8"/>
  <c r="M211" i="8"/>
  <c r="M210" i="8"/>
  <c r="M209" i="8"/>
  <c r="M208" i="8"/>
  <c r="M207" i="8"/>
  <c r="M206" i="8"/>
  <c r="M205" i="8"/>
  <c r="M204" i="8"/>
  <c r="M203" i="8"/>
  <c r="M202" i="8"/>
  <c r="M201" i="8"/>
  <c r="M200" i="8"/>
  <c r="M199" i="8"/>
  <c r="M198" i="8"/>
  <c r="M197" i="8"/>
  <c r="M196" i="8"/>
  <c r="M195" i="8"/>
  <c r="M194" i="8"/>
  <c r="M193" i="8"/>
  <c r="M192" i="8"/>
  <c r="M191" i="8"/>
  <c r="M190" i="8"/>
  <c r="M189" i="8"/>
  <c r="M188" i="8"/>
  <c r="M187" i="8"/>
  <c r="G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M158" i="8"/>
  <c r="M157" i="8"/>
  <c r="M156" i="8"/>
  <c r="M155" i="8"/>
  <c r="M154" i="8"/>
  <c r="M153" i="8"/>
  <c r="M152" i="8"/>
  <c r="M151" i="8"/>
  <c r="M150" i="8"/>
  <c r="M149" i="8"/>
  <c r="M148" i="8"/>
  <c r="M147" i="8"/>
  <c r="M146" i="8"/>
  <c r="M145" i="8"/>
  <c r="M144" i="8"/>
  <c r="M143" i="8"/>
  <c r="M142" i="8"/>
  <c r="M141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M83" i="8"/>
  <c r="M82" i="8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M1042" i="6" l="1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41" i="6" l="1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2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" i="1"/>
  <c r="M860" i="6" l="1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855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6" i="6"/>
  <c r="M857" i="6"/>
  <c r="M858" i="6"/>
  <c r="M859" i="6"/>
  <c r="M2" i="6"/>
  <c r="L40" i="1" l="1"/>
  <c r="L371" i="1" l="1"/>
  <c r="L370" i="1"/>
  <c r="L367" i="1"/>
  <c r="L460" i="1"/>
  <c r="L352" i="1"/>
  <c r="L355" i="1"/>
  <c r="L359" i="1"/>
  <c r="L353" i="1"/>
  <c r="L356" i="1"/>
  <c r="L357" i="1"/>
  <c r="L350" i="1"/>
  <c r="L349" i="1"/>
  <c r="L361" i="1"/>
  <c r="L360" i="1"/>
  <c r="L351" i="1"/>
  <c r="L354" i="1"/>
  <c r="L362" i="1"/>
  <c r="L8" i="1"/>
  <c r="L314" i="1"/>
  <c r="L368" i="1"/>
  <c r="L348" i="1"/>
  <c r="L358" i="1"/>
  <c r="L9" i="1"/>
  <c r="L276" i="1"/>
  <c r="L436" i="1"/>
  <c r="L437" i="1"/>
  <c r="L305" i="1"/>
  <c r="L414" i="1"/>
  <c r="L415" i="1"/>
  <c r="L385" i="1"/>
  <c r="L386" i="1"/>
  <c r="L430" i="1"/>
  <c r="L401" i="1"/>
  <c r="L311" i="1"/>
  <c r="L312" i="1"/>
  <c r="L11" i="1"/>
  <c r="L413" i="1"/>
  <c r="L383" i="1"/>
  <c r="L384" i="1"/>
  <c r="L399" i="1"/>
  <c r="L391" i="1"/>
  <c r="L459" i="1"/>
  <c r="L12" i="1"/>
  <c r="L380" i="1"/>
  <c r="L438" i="1"/>
  <c r="L402" i="1"/>
  <c r="L428" i="1"/>
  <c r="L162" i="1"/>
  <c r="L307" i="1"/>
  <c r="L394" i="1"/>
  <c r="L389" i="1"/>
  <c r="L373" i="1"/>
  <c r="L419" i="1"/>
  <c r="L420" i="1"/>
  <c r="L423" i="1"/>
  <c r="L417" i="1"/>
  <c r="L416" i="1"/>
  <c r="L403" i="1"/>
  <c r="L433" i="1"/>
  <c r="L432" i="1"/>
  <c r="L23" i="1"/>
  <c r="L400" i="1"/>
  <c r="L434" i="1"/>
  <c r="L376" i="1"/>
  <c r="L378" i="1"/>
  <c r="L379" i="1"/>
  <c r="L292" i="1"/>
  <c r="L306" i="1"/>
  <c r="L319" i="1"/>
  <c r="L290" i="1"/>
  <c r="L568" i="1"/>
  <c r="L320" i="1"/>
  <c r="L291" i="1"/>
  <c r="L345" i="1"/>
  <c r="L289" i="1"/>
  <c r="L26" i="1"/>
  <c r="L281" i="1"/>
  <c r="L288" i="1"/>
  <c r="L294" i="1"/>
  <c r="L27" i="1"/>
  <c r="L309" i="1"/>
  <c r="L286" i="1"/>
  <c r="L287" i="1"/>
  <c r="L308" i="1"/>
  <c r="L285" i="1"/>
  <c r="L284" i="1"/>
  <c r="L283" i="1"/>
  <c r="L318" i="1"/>
  <c r="L293" i="1"/>
  <c r="L72" i="1"/>
  <c r="L182" i="1"/>
  <c r="L181" i="1"/>
  <c r="L51" i="1"/>
  <c r="L60" i="1"/>
  <c r="L2" i="1"/>
  <c r="L59" i="1"/>
  <c r="L25" i="1"/>
  <c r="L375" i="1"/>
  <c r="L374" i="1"/>
  <c r="L421" i="1"/>
  <c r="L390" i="1"/>
  <c r="L377" i="1"/>
  <c r="L439" i="1"/>
  <c r="L404" i="1"/>
  <c r="L450" i="1"/>
  <c r="L449" i="1"/>
  <c r="L447" i="1"/>
  <c r="L409" i="1"/>
  <c r="L406" i="1"/>
  <c r="L407" i="1"/>
  <c r="L422" i="1"/>
  <c r="L418" i="1"/>
  <c r="L372" i="1"/>
  <c r="L381" i="1"/>
  <c r="L382" i="1"/>
  <c r="L405" i="1"/>
  <c r="L410" i="1"/>
  <c r="L408" i="1"/>
  <c r="L453" i="1"/>
  <c r="L454" i="1"/>
  <c r="L455" i="1"/>
  <c r="L456" i="1"/>
  <c r="L457" i="1"/>
  <c r="L442" i="1"/>
  <c r="L443" i="1"/>
  <c r="L458" i="1"/>
  <c r="L30" i="1"/>
  <c r="L451" i="1"/>
  <c r="L452" i="1"/>
  <c r="L440" i="1"/>
  <c r="L441" i="1"/>
  <c r="L448" i="1"/>
  <c r="L446" i="1"/>
  <c r="L445" i="1"/>
  <c r="L444" i="1"/>
  <c r="L369" i="1"/>
  <c r="L387" i="1"/>
  <c r="L388" i="1"/>
  <c r="L425" i="1"/>
  <c r="L424" i="1"/>
  <c r="L411" i="1"/>
  <c r="L393" i="1"/>
  <c r="L395" i="1"/>
  <c r="L426" i="1"/>
  <c r="L429" i="1"/>
  <c r="L427" i="1"/>
  <c r="L397" i="1"/>
  <c r="L412" i="1"/>
  <c r="L366" i="1"/>
  <c r="L364" i="1"/>
  <c r="L365" i="1"/>
  <c r="L363" i="1"/>
  <c r="L396" i="1"/>
  <c r="L392" i="1"/>
  <c r="L282" i="1"/>
  <c r="L517" i="1"/>
  <c r="L28" i="1"/>
  <c r="L575" i="1"/>
  <c r="L576" i="1"/>
  <c r="L577" i="1"/>
  <c r="L29" i="1"/>
  <c r="L24" i="1"/>
  <c r="L3" i="1"/>
  <c r="L18" i="1"/>
  <c r="L17" i="1"/>
  <c r="L19" i="1"/>
  <c r="L20" i="1"/>
  <c r="L14" i="1"/>
  <c r="L16" i="1"/>
  <c r="L15" i="1"/>
  <c r="L21" i="1"/>
  <c r="L22" i="1"/>
  <c r="L4" i="1"/>
  <c r="L5" i="1"/>
  <c r="L6" i="1"/>
  <c r="L13" i="1"/>
  <c r="L10" i="1"/>
  <c r="L572" i="1"/>
  <c r="L573" i="1"/>
  <c r="L574" i="1"/>
  <c r="L578" i="1"/>
  <c r="L579" i="1"/>
  <c r="L571" i="1"/>
  <c r="L580" i="1"/>
  <c r="L582" i="1"/>
  <c r="L581" i="1"/>
  <c r="L583" i="1"/>
  <c r="L7" i="1"/>
  <c r="L37" i="1"/>
  <c r="L36" i="1"/>
  <c r="L38" i="1"/>
  <c r="L39" i="1"/>
  <c r="L67" i="1"/>
  <c r="L66" i="1"/>
  <c r="L68" i="1"/>
  <c r="L69" i="1"/>
  <c r="L74" i="1"/>
  <c r="L73" i="1"/>
  <c r="L96" i="1"/>
  <c r="L94" i="1"/>
  <c r="L97" i="1"/>
  <c r="L95" i="1"/>
  <c r="L98" i="1"/>
  <c r="L119" i="1"/>
  <c r="L120" i="1"/>
  <c r="L122" i="1"/>
  <c r="L121" i="1"/>
  <c r="L570" i="1"/>
  <c r="L629" i="1"/>
  <c r="L569" i="1"/>
  <c r="L628" i="1"/>
  <c r="L84" i="1"/>
  <c r="L83" i="1"/>
  <c r="L185" i="1"/>
  <c r="L630" i="1"/>
  <c r="L208" i="1"/>
  <c r="L126" i="1"/>
  <c r="L137" i="1"/>
  <c r="L63" i="1"/>
  <c r="L325" i="1"/>
  <c r="L65" i="1"/>
  <c r="L125" i="1"/>
  <c r="L127" i="1"/>
  <c r="L48" i="1"/>
  <c r="L175" i="1"/>
  <c r="L117" i="1"/>
  <c r="L259" i="1"/>
  <c r="L75" i="1"/>
  <c r="L80" i="1"/>
  <c r="L81" i="1"/>
  <c r="L326" i="1"/>
  <c r="L79" i="1"/>
  <c r="L85" i="1"/>
  <c r="L89" i="1"/>
  <c r="L86" i="1"/>
  <c r="L466" i="1"/>
  <c r="L56" i="1"/>
  <c r="L58" i="1"/>
  <c r="L344" i="1"/>
  <c r="L47" i="1"/>
  <c r="L209" i="1"/>
  <c r="L179" i="1"/>
  <c r="L88" i="1"/>
  <c r="L87" i="1"/>
  <c r="L82" i="1"/>
  <c r="L128" i="1"/>
  <c r="L510" i="1"/>
  <c r="L184" i="1"/>
  <c r="L315" i="1"/>
  <c r="L123" i="1"/>
  <c r="L322" i="1"/>
  <c r="L133" i="1"/>
  <c r="L131" i="1"/>
  <c r="L194" i="1"/>
  <c r="L200" i="1"/>
  <c r="L168" i="1"/>
  <c r="L129" i="1"/>
  <c r="L192" i="1"/>
  <c r="L130" i="1"/>
  <c r="L132" i="1"/>
  <c r="L626" i="1"/>
  <c r="L100" i="1"/>
  <c r="L244" i="1"/>
  <c r="L313" i="1"/>
  <c r="L602" i="1"/>
  <c r="L134" i="1"/>
  <c r="L136" i="1"/>
  <c r="L191" i="1"/>
  <c r="L165" i="1"/>
  <c r="L50" i="1"/>
  <c r="L53" i="1"/>
  <c r="L54" i="1"/>
  <c r="L52" i="1"/>
  <c r="L49" i="1"/>
  <c r="L57" i="1"/>
  <c r="L46" i="1"/>
  <c r="L156" i="1"/>
  <c r="L329" i="1"/>
  <c r="L331" i="1"/>
  <c r="L55" i="1"/>
  <c r="L62" i="1"/>
  <c r="L61" i="1"/>
  <c r="L186" i="1"/>
  <c r="L158" i="1"/>
  <c r="L138" i="1"/>
  <c r="L187" i="1"/>
  <c r="L189" i="1"/>
  <c r="L153" i="1"/>
  <c r="L145" i="1"/>
  <c r="L148" i="1"/>
  <c r="L464" i="1"/>
  <c r="L336" i="1"/>
  <c r="L461" i="1"/>
  <c r="L154" i="1"/>
  <c r="L509" i="1"/>
  <c r="L196" i="1"/>
  <c r="L193" i="1"/>
  <c r="L596" i="1"/>
  <c r="L146" i="1"/>
  <c r="L149" i="1"/>
  <c r="L595" i="1"/>
  <c r="L107" i="1"/>
  <c r="L155" i="1"/>
  <c r="L160" i="1"/>
  <c r="L144" i="1"/>
  <c r="L147" i="1"/>
  <c r="L150" i="1"/>
  <c r="L151" i="1"/>
  <c r="L143" i="1"/>
  <c r="L625" i="1"/>
  <c r="L592" i="1"/>
  <c r="L338" i="1"/>
  <c r="L529" i="1"/>
  <c r="L339" i="1"/>
  <c r="L340" i="1"/>
  <c r="L341" i="1"/>
  <c r="L335" i="1"/>
  <c r="L330" i="1"/>
  <c r="L332" i="1"/>
  <c r="L328" i="1"/>
  <c r="L334" i="1"/>
  <c r="L333" i="1"/>
  <c r="L594" i="1"/>
  <c r="L141" i="1"/>
  <c r="L142" i="1"/>
  <c r="L337" i="1"/>
  <c r="L554" i="1"/>
  <c r="L555" i="1"/>
  <c r="L298" i="1"/>
  <c r="L559" i="1"/>
  <c r="L560" i="1"/>
  <c r="L561" i="1"/>
  <c r="L297" i="1"/>
  <c r="L550" i="1"/>
  <c r="L551" i="1"/>
  <c r="L552" i="1"/>
  <c r="L553" i="1"/>
  <c r="L556" i="1"/>
  <c r="L557" i="1"/>
  <c r="L590" i="1"/>
  <c r="L591" i="1"/>
  <c r="L159" i="1"/>
  <c r="L549" i="1"/>
  <c r="L587" i="1"/>
  <c r="L588" i="1"/>
  <c r="L589" i="1"/>
  <c r="L548" i="1"/>
  <c r="L42" i="1"/>
  <c r="L558" i="1"/>
  <c r="L161" i="1"/>
  <c r="L41" i="1"/>
  <c r="L157" i="1"/>
  <c r="L199" i="1"/>
  <c r="L627" i="1"/>
  <c r="L152" i="1"/>
  <c r="L497" i="1"/>
  <c r="L496" i="1"/>
  <c r="L167" i="1"/>
  <c r="L321" i="1"/>
  <c r="L170" i="1"/>
  <c r="L173" i="1"/>
  <c r="L171" i="1"/>
  <c r="L172" i="1"/>
  <c r="L177" i="1"/>
  <c r="L295" i="1"/>
  <c r="L347" i="1"/>
  <c r="L346" i="1"/>
  <c r="L462" i="1"/>
  <c r="L467" i="1"/>
  <c r="L468" i="1"/>
  <c r="L474" i="1"/>
  <c r="L475" i="1"/>
  <c r="L478" i="1"/>
  <c r="L64" i="1"/>
  <c r="L479" i="1"/>
  <c r="L487" i="1"/>
  <c r="L488" i="1"/>
  <c r="L491" i="1"/>
  <c r="L492" i="1"/>
  <c r="L482" i="1"/>
  <c r="L483" i="1"/>
  <c r="L484" i="1"/>
  <c r="L190" i="1"/>
  <c r="L485" i="1"/>
  <c r="L472" i="1"/>
  <c r="L188" i="1"/>
  <c r="L197" i="1"/>
  <c r="L70" i="1"/>
  <c r="L163" i="1"/>
  <c r="L473" i="1"/>
  <c r="L494" i="1"/>
  <c r="L476" i="1"/>
  <c r="L477" i="1"/>
  <c r="L562" i="1"/>
  <c r="L480" i="1"/>
  <c r="L304" i="1"/>
  <c r="L563" i="1"/>
  <c r="L317" i="1"/>
  <c r="L564" i="1"/>
  <c r="L296" i="1"/>
  <c r="L481" i="1"/>
  <c r="L469" i="1"/>
  <c r="L470" i="1"/>
  <c r="L471" i="1"/>
  <c r="L586" i="1"/>
  <c r="L585" i="1"/>
  <c r="L489" i="1"/>
  <c r="L490" i="1"/>
  <c r="L493" i="1"/>
  <c r="L180" i="1"/>
  <c r="L486" i="1"/>
  <c r="L495" i="1"/>
  <c r="L499" i="1"/>
  <c r="L498" i="1"/>
  <c r="L502" i="1"/>
  <c r="L503" i="1"/>
  <c r="L506" i="1"/>
  <c r="L195" i="1"/>
  <c r="L183" i="1"/>
  <c r="L31" i="1"/>
  <c r="L32" i="1"/>
  <c r="L33" i="1"/>
  <c r="L34" i="1"/>
  <c r="L35" i="1"/>
  <c r="L500" i="1"/>
  <c r="L501" i="1"/>
  <c r="L505" i="1"/>
  <c r="L504" i="1"/>
  <c r="L507" i="1"/>
  <c r="L508" i="1"/>
  <c r="L201" i="1"/>
  <c r="L513" i="1"/>
  <c r="L512" i="1"/>
  <c r="L511" i="1"/>
  <c r="L198" i="1"/>
  <c r="L250" i="1"/>
  <c r="L71" i="1"/>
  <c r="L584" i="1"/>
  <c r="L514" i="1"/>
  <c r="L546" i="1"/>
  <c r="L515" i="1"/>
  <c r="L516" i="1"/>
  <c r="L519" i="1"/>
  <c r="L518" i="1"/>
  <c r="L520" i="1"/>
  <c r="L521" i="1"/>
  <c r="L566" i="1"/>
  <c r="L205" i="1"/>
  <c r="L135" i="1"/>
  <c r="L226" i="1"/>
  <c r="L245" i="1"/>
  <c r="L622" i="1"/>
  <c r="L103" i="1"/>
  <c r="L164" i="1"/>
  <c r="L105" i="1"/>
  <c r="L101" i="1"/>
  <c r="L102" i="1"/>
  <c r="L99" i="1"/>
  <c r="L525" i="1"/>
  <c r="L104" i="1"/>
  <c r="L528" i="1"/>
  <c r="L106" i="1"/>
  <c r="L465" i="1"/>
  <c r="L600" i="1"/>
  <c r="L619" i="1"/>
  <c r="L92" i="1"/>
  <c r="L116" i="1"/>
  <c r="L93" i="1"/>
  <c r="L166" i="1"/>
  <c r="L204" i="1"/>
  <c r="L524" i="1"/>
  <c r="L124" i="1"/>
  <c r="L599" i="1"/>
  <c r="L597" i="1"/>
  <c r="L620" i="1"/>
  <c r="L174" i="1"/>
  <c r="L140" i="1"/>
  <c r="L178" i="1"/>
  <c r="L176" i="1"/>
  <c r="L139" i="1"/>
  <c r="L169" i="1"/>
  <c r="L316" i="1"/>
  <c r="L202" i="1"/>
  <c r="L601" i="1"/>
  <c r="L532" i="1"/>
  <c r="L598" i="1"/>
  <c r="L118" i="1"/>
  <c r="L263" i="1"/>
  <c r="L108" i="1"/>
  <c r="L248" i="1"/>
  <c r="L343" i="1"/>
  <c r="L342" i="1"/>
  <c r="L526" i="1"/>
  <c r="L215" i="1"/>
  <c r="L261" i="1"/>
  <c r="L210" i="1"/>
  <c r="L256" i="1"/>
  <c r="L268" i="1"/>
  <c r="L527" i="1"/>
  <c r="L228" i="1"/>
  <c r="L522" i="1"/>
  <c r="L523" i="1"/>
  <c r="L531" i="1"/>
  <c r="L533" i="1"/>
  <c r="L463" i="1"/>
  <c r="L214" i="1"/>
  <c r="L251" i="1"/>
  <c r="L262" i="1"/>
  <c r="L279" i="1"/>
  <c r="L274" i="1"/>
  <c r="L246" i="1"/>
  <c r="L203" i="1"/>
  <c r="L239" i="1"/>
  <c r="L212" i="1"/>
  <c r="L231" i="1"/>
  <c r="L269" i="1"/>
  <c r="L241" i="1"/>
  <c r="L115" i="1"/>
  <c r="L242" i="1"/>
  <c r="L258" i="1"/>
  <c r="L76" i="1"/>
  <c r="L278" i="1"/>
  <c r="L213" i="1"/>
  <c r="L223" i="1"/>
  <c r="L224" i="1"/>
  <c r="L255" i="1"/>
  <c r="L229" i="1"/>
  <c r="L271" i="1"/>
  <c r="L534" i="1"/>
  <c r="L247" i="1"/>
  <c r="L257" i="1"/>
  <c r="L273" i="1"/>
  <c r="L536" i="1"/>
  <c r="L249" i="1"/>
  <c r="L230" i="1"/>
  <c r="L207" i="1"/>
  <c r="L234" i="1"/>
  <c r="L535" i="1"/>
  <c r="L327" i="1"/>
  <c r="L78" i="1"/>
  <c r="L537" i="1"/>
  <c r="L541" i="1"/>
  <c r="L540" i="1"/>
  <c r="L543" i="1"/>
  <c r="L544" i="1"/>
  <c r="L545" i="1"/>
  <c r="L542" i="1"/>
  <c r="L538" i="1"/>
  <c r="L217" i="1"/>
  <c r="L272" i="1"/>
  <c r="L227" i="1"/>
  <c r="L539" i="1"/>
  <c r="L547" i="1"/>
  <c r="L565" i="1"/>
  <c r="L206" i="1"/>
  <c r="L113" i="1"/>
  <c r="L264" i="1"/>
  <c r="L567" i="1"/>
  <c r="L302" i="1"/>
  <c r="L593" i="1"/>
  <c r="L324" i="1"/>
  <c r="L114" i="1"/>
  <c r="L221" i="1"/>
  <c r="L219" i="1"/>
  <c r="L280" i="1"/>
  <c r="L260" i="1"/>
  <c r="L603" i="1"/>
  <c r="L608" i="1"/>
  <c r="L605" i="1"/>
  <c r="L609" i="1"/>
  <c r="L266" i="1"/>
  <c r="L111" i="1"/>
  <c r="L77" i="1"/>
  <c r="L237" i="1"/>
  <c r="L225" i="1"/>
  <c r="L233" i="1"/>
  <c r="L604" i="1"/>
  <c r="L606" i="1"/>
  <c r="L607" i="1"/>
  <c r="L236" i="1"/>
  <c r="L275" i="1"/>
  <c r="L252" i="1"/>
  <c r="L265" i="1"/>
  <c r="L235" i="1"/>
  <c r="L613" i="1"/>
  <c r="L110" i="1"/>
  <c r="L112" i="1"/>
  <c r="L611" i="1"/>
  <c r="L310" i="1"/>
  <c r="L610" i="1"/>
  <c r="L612" i="1"/>
  <c r="L431" i="1"/>
  <c r="L615" i="1"/>
  <c r="L44" i="1"/>
  <c r="L109" i="1"/>
  <c r="L270" i="1"/>
  <c r="L238" i="1"/>
  <c r="L243" i="1"/>
  <c r="L435" i="1"/>
  <c r="L232" i="1"/>
  <c r="L254" i="1"/>
  <c r="L614" i="1"/>
  <c r="L617" i="1"/>
  <c r="L618" i="1"/>
  <c r="L216" i="1"/>
  <c r="L211" i="1"/>
  <c r="L240" i="1"/>
  <c r="L323" i="1"/>
  <c r="L267" i="1"/>
  <c r="L623" i="1"/>
  <c r="L624" i="1"/>
  <c r="L218" i="1"/>
  <c r="L253" i="1"/>
  <c r="L220" i="1"/>
  <c r="L90" i="1"/>
  <c r="L277" i="1"/>
  <c r="L303" i="1"/>
  <c r="L299" i="1"/>
  <c r="L301" i="1"/>
  <c r="L300" i="1"/>
  <c r="L616" i="1"/>
  <c r="L222" i="1"/>
  <c r="L91" i="1"/>
  <c r="L621" i="1"/>
  <c r="L45" i="1"/>
  <c r="L530" i="1"/>
  <c r="L43" i="1"/>
  <c r="L39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tc={94E341DA-350B-4707-A395-0F43A427A739}</author>
  </authors>
  <commentList>
    <comment ref="K903" authorId="0" shapeId="0" xr:uid="{94E341DA-350B-4707-A395-0F43A427A73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 "atualmente a Straumann produz um parafuso pra gente com essa, aí a gente comprou a MP deles para tentar produzir esse parafuso aqui, então por enquanto estamos testando se vamos conseguir reproduzir esse parafuso aqui"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1962FE-4D79-47E6-AE2B-CC5051A54EC2}" keepAlive="1" name="Consulta - Dispodaten2" description="Conexão com a consulta 'Dispodaten2' na pasta de trabalho." type="5" refreshedVersion="8" background="1" saveData="1">
    <dbPr connection="Provider=Microsoft.Mashup.OleDb.1;Data Source=$Workbook$;Location=Dispodaten2;Extended Properties=&quot;&quot;" command="SELECT * FROM [Dispodaten2]"/>
  </connection>
  <connection id="2" xr16:uid="{7A4A2C10-D542-436C-A49B-ACC365EB23FF}" keepAlive="1" name="Consulta - Responsável1" description="Conexão com a consulta 'Responsável1' na pasta de trabalho." type="5" refreshedVersion="8" background="1" saveData="1">
    <dbPr connection="Provider=Microsoft.Mashup.OleDb.1;Data Source=$Workbook$;Location=Responsável1;Extended Properties=&quot;&quot;" command="SELECT * FROM [Responsável1]"/>
  </connection>
</connections>
</file>

<file path=xl/sharedStrings.xml><?xml version="1.0" encoding="utf-8"?>
<sst xmlns="http://schemas.openxmlformats.org/spreadsheetml/2006/main" count="30391" uniqueCount="3246">
  <si>
    <t>4400</t>
  </si>
  <si>
    <t>0001</t>
  </si>
  <si>
    <t>100579</t>
  </si>
  <si>
    <t>MODELO ODONTOLÓGICO CLEARCORRECT</t>
  </si>
  <si>
    <t>JJGC Industria e Comercio de</t>
  </si>
  <si>
    <t>JJGC INDUSTRIA E COMERCIO DE</t>
  </si>
  <si>
    <t>320536</t>
  </si>
  <si>
    <t>ZENDURA FLX DISCO 125MM</t>
  </si>
  <si>
    <t/>
  </si>
  <si>
    <t>KAYY7</t>
  </si>
  <si>
    <t>514547</t>
  </si>
  <si>
    <t>HSC 1/300 GRANULO VEGETAL IMPREGNADO</t>
  </si>
  <si>
    <t>ROSLER OTEC DO BRASIL LTDA</t>
  </si>
  <si>
    <t>702884</t>
  </si>
  <si>
    <t>EMB. CART. ESTOJO COMPLETO 20X31X5 GM</t>
  </si>
  <si>
    <t>KEOPS INDUSTRIA GRAFICA S.A.</t>
  </si>
  <si>
    <t>53398</t>
  </si>
  <si>
    <t>702885</t>
  </si>
  <si>
    <t>EMB CART ESTOJO COMPLETO 13X24X7 PROT GM</t>
  </si>
  <si>
    <t>56016</t>
  </si>
  <si>
    <t>702886</t>
  </si>
  <si>
    <t>EMB CART ESTOJO COMP 13X24X4 SEL PROT GM</t>
  </si>
  <si>
    <t>55186</t>
  </si>
  <si>
    <t>702887</t>
  </si>
  <si>
    <t>EMB CART EST COMPL 13X24X7 COMP HELIX GM</t>
  </si>
  <si>
    <t>55724</t>
  </si>
  <si>
    <t>702891</t>
  </si>
  <si>
    <t>BASE KIT CIRURGICO COMPACTO HELIX GM</t>
  </si>
  <si>
    <t>INDUSBELLO INDUSTRIA E COMERCIO DE</t>
  </si>
  <si>
    <t>093692</t>
  </si>
  <si>
    <t>702892</t>
  </si>
  <si>
    <t>BASE EST.SEL.PROT.GM</t>
  </si>
  <si>
    <t>091352</t>
  </si>
  <si>
    <t>702907</t>
  </si>
  <si>
    <t>UN LOG FUNDO AUTO TAMPA ROXA P/ COMP</t>
  </si>
  <si>
    <t>54429</t>
  </si>
  <si>
    <t>702918</t>
  </si>
  <si>
    <t>CD EMB. CART. COMPONENTE 1 CAVIDADE</t>
  </si>
  <si>
    <t>55202</t>
  </si>
  <si>
    <t>702919</t>
  </si>
  <si>
    <t>CD ETIQUETA DE RASTREABILIDADE</t>
  </si>
  <si>
    <t>IMPRIME INDUSTRIA E COMERCIO DE</t>
  </si>
  <si>
    <t>702920</t>
  </si>
  <si>
    <t>CD EMB. CART. COMPONENTE 2 CAVIDADES</t>
  </si>
  <si>
    <t>55203</t>
  </si>
  <si>
    <t>702921</t>
  </si>
  <si>
    <t>CD EMB. CART. IMPLANTE EF</t>
  </si>
  <si>
    <t>56126</t>
  </si>
  <si>
    <t>702924</t>
  </si>
  <si>
    <t>CD EMB. CART. COMPONENTE 10 CAVIDADES</t>
  </si>
  <si>
    <t>55221</t>
  </si>
  <si>
    <t>702925</t>
  </si>
  <si>
    <t>CD EMB. CART. ESTOJO NUVO (130X240X70)</t>
  </si>
  <si>
    <t>52744</t>
  </si>
  <si>
    <t>702926</t>
  </si>
  <si>
    <t>CD EMB. CART. ESTOJO NUVO COMPLEMENTO</t>
  </si>
  <si>
    <t>55119</t>
  </si>
  <si>
    <t>702927</t>
  </si>
  <si>
    <t>CD EMB. CART. CHAVE CATRACA</t>
  </si>
  <si>
    <t>55316</t>
  </si>
  <si>
    <t>702935</t>
  </si>
  <si>
    <t>CD EMB. CART. BROCAS E CONEXOES 60X90MM</t>
  </si>
  <si>
    <t>55693</t>
  </si>
  <si>
    <t>702938</t>
  </si>
  <si>
    <t>BASE PARA KIT PROTÉTICO CONF.</t>
  </si>
  <si>
    <t>702939</t>
  </si>
  <si>
    <t>FUNDO PARA KIT CIRURGICO CONF.</t>
  </si>
  <si>
    <t>702948</t>
  </si>
  <si>
    <t>TAMPA EST.MED.FUME PPSU-POLIFENILSULF.CD</t>
  </si>
  <si>
    <t>702980</t>
  </si>
  <si>
    <t>CD EMB. CART. IMPLANTE IF SP/NP</t>
  </si>
  <si>
    <t>55222</t>
  </si>
  <si>
    <t>703007</t>
  </si>
  <si>
    <t>CD EMB. CART. IMPLANTE EF DEMO</t>
  </si>
  <si>
    <t>54172</t>
  </si>
  <si>
    <t>703008</t>
  </si>
  <si>
    <t>CD EMB. CART. COMPONENTE 1 CAV. DEMO</t>
  </si>
  <si>
    <t>55927</t>
  </si>
  <si>
    <t>703009</t>
  </si>
  <si>
    <t>CD EMB. CART. COMPONENTE 2 CAV. DEMO</t>
  </si>
  <si>
    <t>55886</t>
  </si>
  <si>
    <t>703012</t>
  </si>
  <si>
    <t>CD EMB. CART. IMPLANTE IF SP/NP DEMO</t>
  </si>
  <si>
    <t>54529</t>
  </si>
  <si>
    <t>703025</t>
  </si>
  <si>
    <t>BOBINA ISOMANTA ESPESSURA 4 MM</t>
  </si>
  <si>
    <t>MERCADO COMERCIO DE EMBALAGENS LTDA</t>
  </si>
  <si>
    <t>GFGV1</t>
  </si>
  <si>
    <t>703265</t>
  </si>
  <si>
    <t>EMBALAGEM DE TRANSPORTE CC 233X172X105MM</t>
  </si>
  <si>
    <t>703267</t>
  </si>
  <si>
    <t>TERMO-INJ.PP-POLIPROPILENO</t>
  </si>
  <si>
    <t>MAIS POLIMEROS DO BRASIL LTDA</t>
  </si>
  <si>
    <t>RSGHND060E</t>
  </si>
  <si>
    <t>703276</t>
  </si>
  <si>
    <t>BASE ESTOJO STOP DE BROCAS</t>
  </si>
  <si>
    <t>093411</t>
  </si>
  <si>
    <t>703277</t>
  </si>
  <si>
    <t>TAMPA ESTOJO STOP DE BROCAS</t>
  </si>
  <si>
    <t>703278</t>
  </si>
  <si>
    <t>BASE ESTOJO STOP DE BROCAS NUVO</t>
  </si>
  <si>
    <t>703279</t>
  </si>
  <si>
    <t>TAMPA ESTOJO STOP DE BROCAS NUVO</t>
  </si>
  <si>
    <t>703327</t>
  </si>
  <si>
    <t>BASE PARA KIT CIRURGICO IF</t>
  </si>
  <si>
    <t>091261</t>
  </si>
  <si>
    <t>703842</t>
  </si>
  <si>
    <t>EMB CART ESTOJO 130x240x40</t>
  </si>
  <si>
    <t>55406</t>
  </si>
  <si>
    <t>703844</t>
  </si>
  <si>
    <t>CD EMB CART ESTOJO NUVO 130x240x40</t>
  </si>
  <si>
    <t>53021</t>
  </si>
  <si>
    <t>703847</t>
  </si>
  <si>
    <t>BASE PARA KIT CIRURGICO CF</t>
  </si>
  <si>
    <t>703859</t>
  </si>
  <si>
    <t>CD EMB. CART. IMPLANTE CF</t>
  </si>
  <si>
    <t>55699</t>
  </si>
  <si>
    <t>703861</t>
  </si>
  <si>
    <t>BASE ESTOJO EASYGUIDE ESTREITO GM PSU</t>
  </si>
  <si>
    <t>703862</t>
  </si>
  <si>
    <t>BASE ESTOJO EASYGUIDE REGULAR GM PSU</t>
  </si>
  <si>
    <t>703863</t>
  </si>
  <si>
    <t>FUNDO ESTOJO EASYGUIDE PARA GP GM PSU</t>
  </si>
  <si>
    <t>703975</t>
  </si>
  <si>
    <t>OXIDO DE ALUMINIO ALR 120 ANSI</t>
  </si>
  <si>
    <t>ELFUSA GERAL DE ELETROFUSAO LTDA.</t>
  </si>
  <si>
    <t>O7013913</t>
  </si>
  <si>
    <t>703979</t>
  </si>
  <si>
    <t>ADESIVO HOT MELT FULLER PHC 5275</t>
  </si>
  <si>
    <t>EUROSTAR PRODUTOS GRAFICOS E</t>
  </si>
  <si>
    <t>0002119445</t>
  </si>
  <si>
    <t>703981</t>
  </si>
  <si>
    <t>SOLUCAO ESTERILIZANTE GLUTARALDEIDO 2%</t>
  </si>
  <si>
    <t>704028</t>
  </si>
  <si>
    <t>EMB. CART.EST.GM NGS ESTR/REG 130X240X70</t>
  </si>
  <si>
    <t>54295</t>
  </si>
  <si>
    <t>704029</t>
  </si>
  <si>
    <t>EMB. CART.EST.GM NGS REG/LARG 130X240X70</t>
  </si>
  <si>
    <t>53599</t>
  </si>
  <si>
    <t>55321</t>
  </si>
  <si>
    <t>704041</t>
  </si>
  <si>
    <t>FUNDO PARA KIT CIRURGICO NUVO</t>
  </si>
  <si>
    <t>704080</t>
  </si>
  <si>
    <t>BLOCO OSSEO 2X2X4 CM</t>
  </si>
  <si>
    <t>FRANCESCHI &amp; COSTA E SILVA LTDA</t>
  </si>
  <si>
    <t>CNM79</t>
  </si>
  <si>
    <t>704111</t>
  </si>
  <si>
    <t>MALETA KIT DEMONSTRACAO ZI</t>
  </si>
  <si>
    <t>VITAL BRINDES</t>
  </si>
  <si>
    <t>704310</t>
  </si>
  <si>
    <t>BISFENOL-A ETOXILADO(4) DIMETACRILATO</t>
  </si>
  <si>
    <t>704322</t>
  </si>
  <si>
    <t>EMB. CART. IMPLANTE HELIX NGM</t>
  </si>
  <si>
    <t>54748</t>
  </si>
  <si>
    <t>704323</t>
  </si>
  <si>
    <t>EMB. CART. IMPLANTE HELIX NGM ACQUA</t>
  </si>
  <si>
    <t>55414</t>
  </si>
  <si>
    <t>704328</t>
  </si>
  <si>
    <t>EMB. CART. COMPONENTE NGM 01 CAVIDADE</t>
  </si>
  <si>
    <t>56723</t>
  </si>
  <si>
    <t>704329</t>
  </si>
  <si>
    <t>EMB. CART. COMPONENTE NGM 02 CAVIDADES</t>
  </si>
  <si>
    <t>54305</t>
  </si>
  <si>
    <t>704330</t>
  </si>
  <si>
    <t>EMB. CART. INSTRUMENTAL NGM 60X90MM</t>
  </si>
  <si>
    <t>55198</t>
  </si>
  <si>
    <t>704331</t>
  </si>
  <si>
    <t>EMB. CART. ESTOJO NGM 130X240X70</t>
  </si>
  <si>
    <t>55331</t>
  </si>
  <si>
    <t>55332</t>
  </si>
  <si>
    <t>704345</t>
  </si>
  <si>
    <t>FUNDO 188X84X32 MM</t>
  </si>
  <si>
    <t>704346</t>
  </si>
  <si>
    <t>BASE PARA KIT CÍRURGICO NGM</t>
  </si>
  <si>
    <t>090714</t>
  </si>
  <si>
    <t>704524</t>
  </si>
  <si>
    <t>EMBALAGEM DE TRANSPORTE 210X185X155MM</t>
  </si>
  <si>
    <t>CARTOSUL FABRICAÇÃO DE ARTEFATOS</t>
  </si>
  <si>
    <t>184349</t>
  </si>
  <si>
    <t>704525</t>
  </si>
  <si>
    <t>EMBALAGEM DE TRANSPORTE 385X210X155MM</t>
  </si>
  <si>
    <t>161097</t>
  </si>
  <si>
    <t>704551</t>
  </si>
  <si>
    <t>CORPO GUIA CIRÚRGICO HANDS-ON EASYGUIDE</t>
  </si>
  <si>
    <t>LABORATORIO DE PROTESE DENTARIA LOP</t>
  </si>
  <si>
    <t>HMJL7</t>
  </si>
  <si>
    <t>54298</t>
  </si>
  <si>
    <t>704606</t>
  </si>
  <si>
    <t>EMB. CART. IMPLANTE HELIX HS ACQUA</t>
  </si>
  <si>
    <t>56265</t>
  </si>
  <si>
    <t>704607</t>
  </si>
  <si>
    <t>EMB. CART. COMPONENTE HS 01 CAVIDADE</t>
  </si>
  <si>
    <t>56513</t>
  </si>
  <si>
    <t>704608</t>
  </si>
  <si>
    <t>EMB. CART. COMPONENTE HS 02 CAVIDADES</t>
  </si>
  <si>
    <t>55403</t>
  </si>
  <si>
    <t>704610</t>
  </si>
  <si>
    <t>EMB. CART. ESTOJO HS 130X240X75</t>
  </si>
  <si>
    <t>55461</t>
  </si>
  <si>
    <t>704611</t>
  </si>
  <si>
    <t>EMB. CART. DEMO IMPLANTE HELIX SHORT</t>
  </si>
  <si>
    <t>704635</t>
  </si>
  <si>
    <t>BASE ESTOJO KIT CIRURGICO HS</t>
  </si>
  <si>
    <t>704636</t>
  </si>
  <si>
    <t>FUNDO ESTOJO HS</t>
  </si>
  <si>
    <t>704637</t>
  </si>
  <si>
    <t>TAMPA 49MM ESTOJO MEDIO FUME PPSU</t>
  </si>
  <si>
    <t>704662</t>
  </si>
  <si>
    <t>ROT. EMB. CART. EASY PACK HELIX GM DEMO</t>
  </si>
  <si>
    <t>54194</t>
  </si>
  <si>
    <t>705624</t>
  </si>
  <si>
    <t>EMB. PS COM MEMBRANA 34.3X34.3X25.1 MM</t>
  </si>
  <si>
    <t>JRZ79</t>
  </si>
  <si>
    <t>Ningbo Hinix Hardware Industry &amp; Tr</t>
  </si>
  <si>
    <t>705634</t>
  </si>
  <si>
    <t>FUNDO PARA ESTOJO ZYGOMA S</t>
  </si>
  <si>
    <t>705660</t>
  </si>
  <si>
    <t>EMB. CART. COMP. ZIGOMÁTICO GM 01 CAV.</t>
  </si>
  <si>
    <t>54471</t>
  </si>
  <si>
    <t>705662</t>
  </si>
  <si>
    <t>EMB. CARTONADA IMPLANTE ZIGOMÁTICO-S GM</t>
  </si>
  <si>
    <t>56514</t>
  </si>
  <si>
    <t>705664</t>
  </si>
  <si>
    <t>EMB. CART. ESTOJO ZIGOMATICO-S GM</t>
  </si>
  <si>
    <t>54885</t>
  </si>
  <si>
    <t>705667</t>
  </si>
  <si>
    <t>EMB. CART. INSTR. LONGO ZIGOMATICO-S GM</t>
  </si>
  <si>
    <t>55168</t>
  </si>
  <si>
    <t>705737</t>
  </si>
  <si>
    <t>ESTOJO C/ ESPUMA INT. P/ MACRO MODELO Zi</t>
  </si>
  <si>
    <t>2218-1</t>
  </si>
  <si>
    <t>KINGRAF INDUSTRIA GRAFICA LTDA</t>
  </si>
  <si>
    <t>705763</t>
  </si>
  <si>
    <t>EMB. CART/HORLLE DEMO EDUC 75X132X218MM</t>
  </si>
  <si>
    <t>707324</t>
  </si>
  <si>
    <t>CAIXA ACRILICA ZI</t>
  </si>
  <si>
    <t>40191</t>
  </si>
  <si>
    <t>707361</t>
  </si>
  <si>
    <t>TAMPA ESTOJOS GRANDES FUME</t>
  </si>
  <si>
    <t>097256</t>
  </si>
  <si>
    <t>707393</t>
  </si>
  <si>
    <t>FUNDO ESTOJO OSTEOTOMOS</t>
  </si>
  <si>
    <t>088281</t>
  </si>
  <si>
    <t>707519</t>
  </si>
  <si>
    <t>EMB. CART. EST. CF NUVO</t>
  </si>
  <si>
    <t>56133</t>
  </si>
  <si>
    <t>707602</t>
  </si>
  <si>
    <t>EMB. CART. COMPONENTE ZI 2 CAV. 32NCM</t>
  </si>
  <si>
    <t>55942</t>
  </si>
  <si>
    <t>707667</t>
  </si>
  <si>
    <t>EMB. CART IMPLANTE ANCORAGEM ORTODONTICA</t>
  </si>
  <si>
    <t>56048</t>
  </si>
  <si>
    <t>707668</t>
  </si>
  <si>
    <t>EMB. CART. IMPLANTE TITAMAX TI CORTICAL</t>
  </si>
  <si>
    <t>55922</t>
  </si>
  <si>
    <t>707669</t>
  </si>
  <si>
    <t>EMB. CART. IMPLANTE TITAMAX TI EX</t>
  </si>
  <si>
    <t>55749</t>
  </si>
  <si>
    <t>707670</t>
  </si>
  <si>
    <t>EMB. CART. IMPLANTE TITAMAX WS CORTICAL</t>
  </si>
  <si>
    <t>55921</t>
  </si>
  <si>
    <t>707672</t>
  </si>
  <si>
    <t>EMB. CART. IMPLANTE TITAMAX CM EX</t>
  </si>
  <si>
    <t>56624</t>
  </si>
  <si>
    <t>707673</t>
  </si>
  <si>
    <t>EMB. CART. IMPLANTE TITAMAX CM</t>
  </si>
  <si>
    <t>56661</t>
  </si>
  <si>
    <t>707674</t>
  </si>
  <si>
    <t>EMB. CART. IMPLANTE ALVIM CM</t>
  </si>
  <si>
    <t>56794</t>
  </si>
  <si>
    <t>707711</t>
  </si>
  <si>
    <t>EMB. CART. NEOCONVERT COMP. 1 CAVIDADE</t>
  </si>
  <si>
    <t>56389</t>
  </si>
  <si>
    <t>707712</t>
  </si>
  <si>
    <t>EMB. CART. NEOCONVERT BROCAS 60X90MM</t>
  </si>
  <si>
    <t>55827</t>
  </si>
  <si>
    <t>707714</t>
  </si>
  <si>
    <t>EMB. CART. NEOCONVERT PACK COMPONENTES</t>
  </si>
  <si>
    <t>156490</t>
  </si>
  <si>
    <t>707805</t>
  </si>
  <si>
    <t>EMB. CART. ESTOJO NEOCONVERT</t>
  </si>
  <si>
    <t>56267</t>
  </si>
  <si>
    <t>707807</t>
  </si>
  <si>
    <t>EMB. CART. NEOCONVERT COMP. 2 CAVIDADES</t>
  </si>
  <si>
    <t>55896</t>
  </si>
  <si>
    <t>707808</t>
  </si>
  <si>
    <t>FUNDO ESTOJO EASYGUIDE GM</t>
  </si>
  <si>
    <t>707809</t>
  </si>
  <si>
    <t>BASE ESTOJO EASYGUIDE REGULAR GM</t>
  </si>
  <si>
    <t>096109</t>
  </si>
  <si>
    <t>707810</t>
  </si>
  <si>
    <t>BASE ESTOJO EASYGUIDE ESTREITO GM</t>
  </si>
  <si>
    <t>707898</t>
  </si>
  <si>
    <t>EMB. CART. BROCAS E CONEXOES ZI 60X90MM</t>
  </si>
  <si>
    <t>56769</t>
  </si>
  <si>
    <t>707999</t>
  </si>
  <si>
    <t>EMB. CART. COMP. 01CV USO UNICO</t>
  </si>
  <si>
    <t>56648</t>
  </si>
  <si>
    <t>708000</t>
  </si>
  <si>
    <t>EMB. CART. COMP. 02CV USO UNICO</t>
  </si>
  <si>
    <t>56649</t>
  </si>
  <si>
    <t>120.069</t>
  </si>
  <si>
    <t>SUPORTE PARA MANDIBULA</t>
  </si>
  <si>
    <t>Institut Straumann AG</t>
  </si>
  <si>
    <t>JLN55</t>
  </si>
  <si>
    <t>INSTITUT STRAUMANN AG</t>
  </si>
  <si>
    <t>120.072</t>
  </si>
  <si>
    <t>BLOCO OSSEO DE 2 DENSIDADES</t>
  </si>
  <si>
    <t>Straumann</t>
  </si>
  <si>
    <t>HXTV3</t>
  </si>
  <si>
    <t>ORBITAL BONE LTDA</t>
  </si>
  <si>
    <t>120.075</t>
  </si>
  <si>
    <t>MAXILA PARA HANDS ON CIRURGIA GUIADA</t>
  </si>
  <si>
    <t>HZVP1</t>
  </si>
  <si>
    <t>120.078</t>
  </si>
  <si>
    <t>MODULO COMERCIAL</t>
  </si>
  <si>
    <t>4608</t>
  </si>
  <si>
    <t>4923</t>
  </si>
  <si>
    <t>120.079</t>
  </si>
  <si>
    <t>MODULO HANDS ON CIRURGICO</t>
  </si>
  <si>
    <t>120.080</t>
  </si>
  <si>
    <t>MODULO HANDS ON PROTETICO</t>
  </si>
  <si>
    <t>4975</t>
  </si>
  <si>
    <t>120.081</t>
  </si>
  <si>
    <t>MODULO FLUXO PROTETICO GM</t>
  </si>
  <si>
    <t>EEJ86</t>
  </si>
  <si>
    <t>Institute Straumann AG</t>
  </si>
  <si>
    <t>120.084</t>
  </si>
  <si>
    <t>ZI BLOCO OSSEO DE 2 DENSIDADES</t>
  </si>
  <si>
    <t>HPWR7</t>
  </si>
  <si>
    <t>Institut Straumann A.G.</t>
  </si>
  <si>
    <t>120.085</t>
  </si>
  <si>
    <t>MANDIBULA PARA HANDS-ON NEOARCH</t>
  </si>
  <si>
    <t>JLZG8</t>
  </si>
  <si>
    <t>120.086</t>
  </si>
  <si>
    <t>MANDIBULA</t>
  </si>
  <si>
    <t>HPRZ9</t>
  </si>
  <si>
    <t>120.090</t>
  </si>
  <si>
    <t>MAXILA PARA HANDS-ON EASYGUIDE</t>
  </si>
  <si>
    <t>RCE93</t>
  </si>
  <si>
    <t>120.106</t>
  </si>
  <si>
    <t>DENTADURA PARA TREINAMENTO NEOCONVERT</t>
  </si>
  <si>
    <t>GJAV5</t>
  </si>
  <si>
    <t>120.108</t>
  </si>
  <si>
    <t>ESTOJO DE TREINAMENTO NEOCONVERT</t>
  </si>
  <si>
    <t>EXLC5</t>
  </si>
  <si>
    <t>131.328</t>
  </si>
  <si>
    <t>DEMO.MAXILA CIRURGIA GUIADA NEODENT</t>
  </si>
  <si>
    <t>55864</t>
  </si>
  <si>
    <t>131.330</t>
  </si>
  <si>
    <t>Demo Maxila Parcial. Desd-Neoarch, Poly</t>
  </si>
  <si>
    <t>HZPN4</t>
  </si>
  <si>
    <t>131.331</t>
  </si>
  <si>
    <t>Demo Hands-on Gm Bloco Poly 40X20X5 cm</t>
  </si>
  <si>
    <t>NNC25</t>
  </si>
  <si>
    <t>131.353</t>
  </si>
  <si>
    <t>Demo Protese Total Provisoria Neoarch</t>
  </si>
  <si>
    <t>JLN53</t>
  </si>
  <si>
    <t>131.355</t>
  </si>
  <si>
    <t>Demo Guia Multifuncional Para Neoarch</t>
  </si>
  <si>
    <t>LWP32</t>
  </si>
  <si>
    <t>131.356</t>
  </si>
  <si>
    <t>Demo Guia De Osteotomia Para Neoarch</t>
  </si>
  <si>
    <t>JLN54</t>
  </si>
  <si>
    <t>131.357</t>
  </si>
  <si>
    <t>Caixa Demo Para Forca De Vendas Neoarch</t>
  </si>
  <si>
    <t>EEJ87</t>
  </si>
  <si>
    <t>131.358</t>
  </si>
  <si>
    <t>Caixa De Treinamento Neoarch</t>
  </si>
  <si>
    <t>ALG02</t>
  </si>
  <si>
    <t>131.375</t>
  </si>
  <si>
    <t>MAXILA EDENTULA PARA HANDS-ON NEOARCH</t>
  </si>
  <si>
    <t>GTG23</t>
  </si>
  <si>
    <t>131.376</t>
  </si>
  <si>
    <t>SUPORTE PARA MAXILA NEOARCH</t>
  </si>
  <si>
    <t>GTG24</t>
  </si>
  <si>
    <t>201.014</t>
  </si>
  <si>
    <t>TITANIO TI6AL4V-ELI D6.35MM ASTM F136</t>
  </si>
  <si>
    <t>201.015</t>
  </si>
  <si>
    <t>TITANIO TI6AL4V-ELI D7.95MM ASTM F136</t>
  </si>
  <si>
    <t>201.016</t>
  </si>
  <si>
    <t>TITANIO TI6AL4V-ELI D9.53MM ASTM F136</t>
  </si>
  <si>
    <t>201.019</t>
  </si>
  <si>
    <t>TITANIO GRAU 4 D4.76MM ASTM F67</t>
  </si>
  <si>
    <t>201.021</t>
  </si>
  <si>
    <t>TITANIO GRAU 4 D6.35MM ASTM F67</t>
  </si>
  <si>
    <t>201.024</t>
  </si>
  <si>
    <t>TITANIO GRAU 4 D3.95MM ASTM F67</t>
  </si>
  <si>
    <t>201.025</t>
  </si>
  <si>
    <t>TITANIO GRAU 1 0.3X304.8MM ASTM F67</t>
  </si>
  <si>
    <t>ATI FLAT ROLLED PRODUCTS HOLDINGS L</t>
  </si>
  <si>
    <t>790578</t>
  </si>
  <si>
    <t>204.099</t>
  </si>
  <si>
    <t>STYROLUX 684D TERMO-INJ.PS-POLIESTIRENO</t>
  </si>
  <si>
    <t>APTA INDUSTRIA E COMERCIO DE</t>
  </si>
  <si>
    <t>ACTIVAS PLASTICOS INDUSTRIAIS LTDA</t>
  </si>
  <si>
    <t>ND424078A</t>
  </si>
  <si>
    <t>204.101</t>
  </si>
  <si>
    <t>TENOPOM B3MF TER-INJ(POLI.)POM(PETROPOL)</t>
  </si>
  <si>
    <t>PETROPOL INDUSTRIA E COMERCIO DE</t>
  </si>
  <si>
    <t>1000267249</t>
  </si>
  <si>
    <t>COLORFIX ITAMASTER INDUSTRIA DE</t>
  </si>
  <si>
    <t>204.109</t>
  </si>
  <si>
    <t>FORTIPRENE TPE 7336 A55 TER-INJ.BRANCO</t>
  </si>
  <si>
    <t>FCC - INDUSTRIA E COMERCIO LTDA.</t>
  </si>
  <si>
    <t>0000223268</t>
  </si>
  <si>
    <t>204.112</t>
  </si>
  <si>
    <t>PIGMENTO MASTERBATCH AMARELO PE, PP/POM</t>
  </si>
  <si>
    <t>308719</t>
  </si>
  <si>
    <t>204.114</t>
  </si>
  <si>
    <t>PIGMENTO MASTERBATCH BEGE PARA PC</t>
  </si>
  <si>
    <t>204.157</t>
  </si>
  <si>
    <t>U249 PS-POLIESTIRENO TERMO-INJ.(UNIGEL)</t>
  </si>
  <si>
    <t>NE08353S11</t>
  </si>
  <si>
    <t>204.158</t>
  </si>
  <si>
    <t>PIGMENTO MASTERBATCH BRANCO GELO TPE</t>
  </si>
  <si>
    <t>301629</t>
  </si>
  <si>
    <t>204.163</t>
  </si>
  <si>
    <t>PIGM.MASTERBATCH AZUL TRANSPARENTE PC</t>
  </si>
  <si>
    <t>299088</t>
  </si>
  <si>
    <t>204.164</t>
  </si>
  <si>
    <t>PIGM.MASTERBATCH VERDE PC</t>
  </si>
  <si>
    <t>308717</t>
  </si>
  <si>
    <t>204.165</t>
  </si>
  <si>
    <t>PIGM.MASTERBATCH AMARELO TRANSP.PC</t>
  </si>
  <si>
    <t>309416</t>
  </si>
  <si>
    <t>204.166</t>
  </si>
  <si>
    <t>PIGM.MASTERBATCH ROXO TRANSPARENTE PC</t>
  </si>
  <si>
    <t>308716</t>
  </si>
  <si>
    <t>204.168</t>
  </si>
  <si>
    <t>PIGM.MASTERBATCH FUME TRANSPARENTE PC</t>
  </si>
  <si>
    <t>308718</t>
  </si>
  <si>
    <t>204.169</t>
  </si>
  <si>
    <t>PIGM.MASTERBATCH VERMELHO TRANSP.PC</t>
  </si>
  <si>
    <t>309415</t>
  </si>
  <si>
    <t>204.214</t>
  </si>
  <si>
    <t>LT1220P01 PC-POLICARBONATO TERMO-INJ.</t>
  </si>
  <si>
    <t>64053058</t>
  </si>
  <si>
    <t>212.005</t>
  </si>
  <si>
    <t>FUNDO ESTOJOS GRANDES</t>
  </si>
  <si>
    <t>212.087</t>
  </si>
  <si>
    <t>BASE ESTOJO COMPLEMENTO</t>
  </si>
  <si>
    <t>094528</t>
  </si>
  <si>
    <t>212.092</t>
  </si>
  <si>
    <t>FUNDO EST.PROT./OSTEOT.</t>
  </si>
  <si>
    <t>092954</t>
  </si>
  <si>
    <t>212.197</t>
  </si>
  <si>
    <t>FUNDO ESTOJO KIT CIRURGICO COMPACTO</t>
  </si>
  <si>
    <t>092741</t>
  </si>
  <si>
    <t>212.206</t>
  </si>
  <si>
    <t>SORO FISIOLOGICO IMPLANTES</t>
  </si>
  <si>
    <t>BRAZMIX COMERCIO VAREJISTA E ATACAD</t>
  </si>
  <si>
    <t>0000191681</t>
  </si>
  <si>
    <t>212.273</t>
  </si>
  <si>
    <t>BASE EST.CIRURG.FACILITY</t>
  </si>
  <si>
    <t>212.274</t>
  </si>
  <si>
    <t>BASE EST.SEL.PROTET.CM</t>
  </si>
  <si>
    <t>212.275</t>
  </si>
  <si>
    <t>BASE ESTOJO PROTETICO</t>
  </si>
  <si>
    <t>093030</t>
  </si>
  <si>
    <t>212.276</t>
  </si>
  <si>
    <t>BASE ESTOJO COMPACTO</t>
  </si>
  <si>
    <t>212.277</t>
  </si>
  <si>
    <t>BASE EST.CIRURG.INTER.</t>
  </si>
  <si>
    <t>212.279</t>
  </si>
  <si>
    <t>FUNDO ESTOJO CIRURGICO INTERNACIONAL</t>
  </si>
  <si>
    <t>212.287</t>
  </si>
  <si>
    <t>BASE EST.ENX.ANC.INTERN.</t>
  </si>
  <si>
    <t>092406</t>
  </si>
  <si>
    <t>212.289</t>
  </si>
  <si>
    <t>BASE EST.CIR.COMP.IMP.CON.</t>
  </si>
  <si>
    <t>212.290</t>
  </si>
  <si>
    <t>BASE EST.CIR.IMP.CON.INTER.</t>
  </si>
  <si>
    <t>041724</t>
  </si>
  <si>
    <t>212.291</t>
  </si>
  <si>
    <t>212.292</t>
  </si>
  <si>
    <t>BASE EST.KIT CIR.NGS FACI.</t>
  </si>
  <si>
    <t>027512R02</t>
  </si>
  <si>
    <t>212.293</t>
  </si>
  <si>
    <t>TAMPA EST.MED.FUME PPSU-POLIFENILSULFONA</t>
  </si>
  <si>
    <t>212.294</t>
  </si>
  <si>
    <t>TAMPA EST.G FUME PPS -POLIFENILSULF.</t>
  </si>
  <si>
    <t>092951</t>
  </si>
  <si>
    <t>212.297</t>
  </si>
  <si>
    <t>BASE EST.KITCIR.NGSIMP.CON.</t>
  </si>
  <si>
    <t>212.304</t>
  </si>
  <si>
    <t>TAMPA EST.COMPL.FUME</t>
  </si>
  <si>
    <t>212.310</t>
  </si>
  <si>
    <t>BASE ESTOJO PARA KIT CIRURGICO GM E WS</t>
  </si>
  <si>
    <t>038865</t>
  </si>
  <si>
    <t>212.311</t>
  </si>
  <si>
    <t>BASE ESTOJO PARA KIT CIRURGICO GM</t>
  </si>
  <si>
    <t>094210</t>
  </si>
  <si>
    <t>212.315</t>
  </si>
  <si>
    <t>BASE ESTOJO PARA KIT CIRURGICO LATAM</t>
  </si>
  <si>
    <t>212.316</t>
  </si>
  <si>
    <t>FUNDO ESTOJO CIRURGICO LATAM</t>
  </si>
  <si>
    <t>212.318</t>
  </si>
  <si>
    <t>FUNDO ESTOJO CIRURGICO GM</t>
  </si>
  <si>
    <t>093424</t>
  </si>
  <si>
    <t>212.320</t>
  </si>
  <si>
    <t>BASE EST.CIRURG.NGS GM IMP.CON.</t>
  </si>
  <si>
    <t>094197</t>
  </si>
  <si>
    <t>212.321</t>
  </si>
  <si>
    <t>BASE EST.PROTETICO GM</t>
  </si>
  <si>
    <t>212.323</t>
  </si>
  <si>
    <t>212.327</t>
  </si>
  <si>
    <t>TAMPA EST.G FUME 6MM PPSU-POLIFENILSUL.</t>
  </si>
  <si>
    <t>094704</t>
  </si>
  <si>
    <t>212.328</t>
  </si>
  <si>
    <t>FUNDO ESTOJO NGS GM</t>
  </si>
  <si>
    <t>097411</t>
  </si>
  <si>
    <t>212.330</t>
  </si>
  <si>
    <t>212.331</t>
  </si>
  <si>
    <t>FUNDO KIT CIRURGICO COMPACTO 2 INSTRUMEN</t>
  </si>
  <si>
    <t>095067</t>
  </si>
  <si>
    <t>212.336</t>
  </si>
  <si>
    <t>BASE KIT CIRURG COMP HELIX HEXAGONO EXT</t>
  </si>
  <si>
    <t>212.347</t>
  </si>
  <si>
    <t>FUNDO ESTOJO KIT CIRURGICO ZIGOMAT.</t>
  </si>
  <si>
    <t>091490</t>
  </si>
  <si>
    <t>301.076</t>
  </si>
  <si>
    <t>EMB PRIMARIA FILME PET 0.60MM LARG 110MM</t>
  </si>
  <si>
    <t>EVERTIS BRASIL PLASTICOS S/A</t>
  </si>
  <si>
    <t>301.081</t>
  </si>
  <si>
    <t>EMB PRIMARIA CONJ EMBALAG CHAVES CATRACA</t>
  </si>
  <si>
    <t>301.084</t>
  </si>
  <si>
    <t>EMBALAGEM PRIMARIA PLASTICA 80MM NEODENT</t>
  </si>
  <si>
    <t>APACHE EMBALAGENS PLASTICAS LTDA</t>
  </si>
  <si>
    <t>14831</t>
  </si>
  <si>
    <t>301.094</t>
  </si>
  <si>
    <t>EMB.PRIMARIA PLASTICA 80MM STRAUMANN</t>
  </si>
  <si>
    <t>302.049</t>
  </si>
  <si>
    <t>EMB. CART. BROCAS E CONEXOES 60X90MM</t>
  </si>
  <si>
    <t>55205</t>
  </si>
  <si>
    <t>302.052</t>
  </si>
  <si>
    <t>EMB. CART. BROCAS E CONEXOES 60X135MM</t>
  </si>
  <si>
    <t>53684</t>
  </si>
  <si>
    <t>302.055</t>
  </si>
  <si>
    <t>54066</t>
  </si>
  <si>
    <t>302.061</t>
  </si>
  <si>
    <t>EMB. CART. CURETA SINUSAL</t>
  </si>
  <si>
    <t>55179</t>
  </si>
  <si>
    <t>55236</t>
  </si>
  <si>
    <t>302.062</t>
  </si>
  <si>
    <t>EMB. CART. CATRACAS TORQUIMETRO</t>
  </si>
  <si>
    <t>56326</t>
  </si>
  <si>
    <t>302.066</t>
  </si>
  <si>
    <t>EMB.CART.BRINDE E ESTOJO COMPLEMENTO</t>
  </si>
  <si>
    <t>55869</t>
  </si>
  <si>
    <t>302.072</t>
  </si>
  <si>
    <t>55337</t>
  </si>
  <si>
    <t>302.093</t>
  </si>
  <si>
    <t>EMB.CART.ESTOJOS P 13X24X4 CM</t>
  </si>
  <si>
    <t>55720</t>
  </si>
  <si>
    <t>302.094</t>
  </si>
  <si>
    <t>EMB.CART.ESTOJOS M 13X24X7 CM</t>
  </si>
  <si>
    <t>52505</t>
  </si>
  <si>
    <t>302.095</t>
  </si>
  <si>
    <t>EMB.CART.ESTOJOS G 20X31X5 CM</t>
  </si>
  <si>
    <t>55212</t>
  </si>
  <si>
    <t>302.102</t>
  </si>
  <si>
    <t>EMB. CART. IMPLANTE FACILITY</t>
  </si>
  <si>
    <t>54099</t>
  </si>
  <si>
    <t>302.112</t>
  </si>
  <si>
    <t>EMB. CART. IMPLANTE DRIVE CM</t>
  </si>
  <si>
    <t>55197</t>
  </si>
  <si>
    <t>302.113</t>
  </si>
  <si>
    <t>EMB. CART. IMPLANTE DRIVE CM ACQUA</t>
  </si>
  <si>
    <t>56605</t>
  </si>
  <si>
    <t>302.114</t>
  </si>
  <si>
    <t>EMB. CART. IMPLANTE TITAMAX TI EX ACQUA</t>
  </si>
  <si>
    <t>55123</t>
  </si>
  <si>
    <t>302.115</t>
  </si>
  <si>
    <t>EMB. CART. IMPLANTE TITAMAX CM EX ACQUA</t>
  </si>
  <si>
    <t>56714</t>
  </si>
  <si>
    <t>302.116</t>
  </si>
  <si>
    <t>EMB CART IMPLANTE DEMONSTR 50X103X32MM</t>
  </si>
  <si>
    <t>55883</t>
  </si>
  <si>
    <t>302.117</t>
  </si>
  <si>
    <t>EMB. CART. COMPONENTE 01 CAVIDADE</t>
  </si>
  <si>
    <t>56112</t>
  </si>
  <si>
    <t>302.118</t>
  </si>
  <si>
    <t>EMB. CART. COMPONENTE 02 CAVIDADES</t>
  </si>
  <si>
    <t>56113</t>
  </si>
  <si>
    <t>302.127</t>
  </si>
  <si>
    <t>EMB. CART. IMPLANTE ALVIM CM ACQUA</t>
  </si>
  <si>
    <t>56571</t>
  </si>
  <si>
    <t>302.128</t>
  </si>
  <si>
    <t>EMB. CART. IMPLANTE FACILITY ACQUA</t>
  </si>
  <si>
    <t>55300</t>
  </si>
  <si>
    <t>302.158</t>
  </si>
  <si>
    <t>EMB. CART. IMPLANTE DRIVE GM</t>
  </si>
  <si>
    <t>56380</t>
  </si>
  <si>
    <t>302.159</t>
  </si>
  <si>
    <t>EMB.CART.IMPLANTE DRIVE GM ACQUA</t>
  </si>
  <si>
    <t>50058</t>
  </si>
  <si>
    <t>56248</t>
  </si>
  <si>
    <t>302.160</t>
  </si>
  <si>
    <t>EMB.CART.IMPLANTE HELIX GM</t>
  </si>
  <si>
    <t>56121</t>
  </si>
  <si>
    <t>302.161</t>
  </si>
  <si>
    <t>EMB.CART.IMPLANTE HELIX GM ACQUA</t>
  </si>
  <si>
    <t>302.162</t>
  </si>
  <si>
    <t>EMB.CART.IMPLANTE TITAMAX GM</t>
  </si>
  <si>
    <t>56130</t>
  </si>
  <si>
    <t>302.163</t>
  </si>
  <si>
    <t>EMB.CART.IMPLANTE TITAMAX GM ACQUA</t>
  </si>
  <si>
    <t>56118</t>
  </si>
  <si>
    <t>302.164</t>
  </si>
  <si>
    <t>EMB.CART.COMPONENTE GM 01 CAVIDADE</t>
  </si>
  <si>
    <t>56109</t>
  </si>
  <si>
    <t>302.165</t>
  </si>
  <si>
    <t>EMB.CART.COMPONENTE GM 02 CAVIDADES</t>
  </si>
  <si>
    <t>55971</t>
  </si>
  <si>
    <t>302.166</t>
  </si>
  <si>
    <t>EMB.CART.INSTRUMENTAL GM 60X90MM</t>
  </si>
  <si>
    <t>56582</t>
  </si>
  <si>
    <t>302.167</t>
  </si>
  <si>
    <t>EMB.CART.IMPL.DEMO.DRIVE GM</t>
  </si>
  <si>
    <t>302.168</t>
  </si>
  <si>
    <t>EMB.CART.IMPL.DEMO.HELIX GM</t>
  </si>
  <si>
    <t>55684</t>
  </si>
  <si>
    <t>302.169</t>
  </si>
  <si>
    <t>EMB.CART.IMPL.DEMO.TITAMAX GM</t>
  </si>
  <si>
    <t>54101</t>
  </si>
  <si>
    <t>302.170</t>
  </si>
  <si>
    <t>EMB.CART.COMPONENTE DEMO.GM 01 CAV.</t>
  </si>
  <si>
    <t>55678</t>
  </si>
  <si>
    <t>302.171</t>
  </si>
  <si>
    <t>EMB.CART.COMPONENTE DEMO.GM 02 CAV.</t>
  </si>
  <si>
    <t>55178</t>
  </si>
  <si>
    <t>302.172</t>
  </si>
  <si>
    <t>EMB.CART.ESTOJOS G 20X31X5CM GM</t>
  </si>
  <si>
    <t>55413</t>
  </si>
  <si>
    <t>302.413</t>
  </si>
  <si>
    <t>EMB.CART.EST.M 13X24X7 PROTETICO GM</t>
  </si>
  <si>
    <t>55242</t>
  </si>
  <si>
    <t>302.416</t>
  </si>
  <si>
    <t>EMB.CART.EST.20X31X6,5 CIRURGICO NGS</t>
  </si>
  <si>
    <t>302.417</t>
  </si>
  <si>
    <t>EMB.CART.EST.13X24X4 SEL.PROTETICA GM</t>
  </si>
  <si>
    <t>53422</t>
  </si>
  <si>
    <t>302.418</t>
  </si>
  <si>
    <t>EMB CART ESTOJO 13X24X7 COMPACT HELIX GM</t>
  </si>
  <si>
    <t>54388</t>
  </si>
  <si>
    <t>302.419</t>
  </si>
  <si>
    <t>EMB. CART. COMPONENTE ZI 01 CAVIDADE</t>
  </si>
  <si>
    <t>302.420</t>
  </si>
  <si>
    <t>EMB. CART. COMPONENTE ZI 02 CAVIDADES</t>
  </si>
  <si>
    <t>54576</t>
  </si>
  <si>
    <t>302.421</t>
  </si>
  <si>
    <t>EMB. CART. IMPLANTE ZIRCONIA</t>
  </si>
  <si>
    <t>55124</t>
  </si>
  <si>
    <t>302.424</t>
  </si>
  <si>
    <t>EMB. CART. IMPLANTE ZIGOMATICO GM</t>
  </si>
  <si>
    <t>56268</t>
  </si>
  <si>
    <t>302.425</t>
  </si>
  <si>
    <t>EMB. CART. IMPLANTE HELIX GM LG</t>
  </si>
  <si>
    <t>56249</t>
  </si>
  <si>
    <t>302.426</t>
  </si>
  <si>
    <t>EMB. CART. EST 20X31X6,5 ZIGOMATICO GM</t>
  </si>
  <si>
    <t>55015</t>
  </si>
  <si>
    <t>302.427</t>
  </si>
  <si>
    <t>EMB. CART. ESTOJO 13X24X7 HELIX GM LG</t>
  </si>
  <si>
    <t>55719</t>
  </si>
  <si>
    <t>302.428</t>
  </si>
  <si>
    <t>EMB. CART. INSTR. HELIX GM LG</t>
  </si>
  <si>
    <t>55839</t>
  </si>
  <si>
    <t>302.429</t>
  </si>
  <si>
    <t>EMB. CART. INSTR. ZIGOMATICO GM</t>
  </si>
  <si>
    <t>55840</t>
  </si>
  <si>
    <t>302.430</t>
  </si>
  <si>
    <t>EMB. CART. INSTR. LONGO ZIGOMATICO GM</t>
  </si>
  <si>
    <t>54594</t>
  </si>
  <si>
    <t>302.431</t>
  </si>
  <si>
    <t>EMB. CART. ESTOJO 13X24X7 ZI</t>
  </si>
  <si>
    <t>54563</t>
  </si>
  <si>
    <t>302.433</t>
  </si>
  <si>
    <t>EMB. CART. IMPLANTE HELIX HE ACQUA</t>
  </si>
  <si>
    <t>56124</t>
  </si>
  <si>
    <t>302.434</t>
  </si>
  <si>
    <t>EMB CART DEMONST IMPLANTE ZI</t>
  </si>
  <si>
    <t>54713</t>
  </si>
  <si>
    <t>302.435</t>
  </si>
  <si>
    <t>EMB CART COMPON DEMONST ZI 01 CAVIDADE</t>
  </si>
  <si>
    <t>54196</t>
  </si>
  <si>
    <t>302.436</t>
  </si>
  <si>
    <t>EMB CART COMPON DEMONST ZI 02 CAVIDADES</t>
  </si>
  <si>
    <t>54197</t>
  </si>
  <si>
    <t>302.438</t>
  </si>
  <si>
    <t>EMB CAR DEMO IMP ZIG GM/LG VISOR 65X19MM</t>
  </si>
  <si>
    <t>54606</t>
  </si>
  <si>
    <t>302.439</t>
  </si>
  <si>
    <t>EMB. CART. ESTOJO 13X24X7 HELIX HE</t>
  </si>
  <si>
    <t>55807</t>
  </si>
  <si>
    <t>302.443</t>
  </si>
  <si>
    <t>EMB. CART. DEMONSTRACAO IMPLANTE HELIX H</t>
  </si>
  <si>
    <t>55558</t>
  </si>
  <si>
    <t>305.046</t>
  </si>
  <si>
    <t>EMB PRIMARIA PAPEL GRAU CIRURGICO TYVEK</t>
  </si>
  <si>
    <t>0014/24</t>
  </si>
  <si>
    <t>PACKPLUS INDUSTRIA E COMERCIO DE</t>
  </si>
  <si>
    <t>335.027</t>
  </si>
  <si>
    <t>ETIQUETA DE RASTREABILIDADE</t>
  </si>
  <si>
    <t>335.064</t>
  </si>
  <si>
    <t>ETIQUETA ESTOQUE 90X64 MM</t>
  </si>
  <si>
    <t>335.444</t>
  </si>
  <si>
    <t>ETIQUETA ENCINTADORA</t>
  </si>
  <si>
    <t>335.545</t>
  </si>
  <si>
    <t>ETIQUETA PICKING 90X64MM</t>
  </si>
  <si>
    <t>504.023</t>
  </si>
  <si>
    <t>LUVA DE NITRILICA BORRACHA MEDIA</t>
  </si>
  <si>
    <t>CONCORDE LOGISTICA &amp; DISTRIBUICAO-</t>
  </si>
  <si>
    <t>VICTORIA REGIA COMERCIO DE</t>
  </si>
  <si>
    <t>504.032</t>
  </si>
  <si>
    <t>MASCARA CIRURGICA DESCARTAVEL</t>
  </si>
  <si>
    <t>2156697-4</t>
  </si>
  <si>
    <t>504.042</t>
  </si>
  <si>
    <t>SAPATILHAS DE PROTECAO</t>
  </si>
  <si>
    <t>0387</t>
  </si>
  <si>
    <t>504.044</t>
  </si>
  <si>
    <t>TOUCA DESCARTÁVEL</t>
  </si>
  <si>
    <t>504.192</t>
  </si>
  <si>
    <t>PROTETOR DE BARBA</t>
  </si>
  <si>
    <t>616.1170</t>
  </si>
  <si>
    <t>EQUIPO INFUSAO</t>
  </si>
  <si>
    <t>CD3197001</t>
  </si>
  <si>
    <t>CGK62</t>
  </si>
  <si>
    <t>0002</t>
  </si>
  <si>
    <t>100680</t>
  </si>
  <si>
    <t>LUVA POLIETILENO DE SEGURANÇA LONGA</t>
  </si>
  <si>
    <t>PR38715</t>
  </si>
  <si>
    <t>300954</t>
  </si>
  <si>
    <t>CAP POSICIONADOR POM-C PARA TRANSFER</t>
  </si>
  <si>
    <t>SAMAPLAST AG</t>
  </si>
  <si>
    <t>22080261</t>
  </si>
  <si>
    <t>Straumann Villeret SA</t>
  </si>
  <si>
    <t>313556</t>
  </si>
  <si>
    <t>CORPO IMPLANTE DE ZIRCONIA 4.3X10</t>
  </si>
  <si>
    <t>GWEC6</t>
  </si>
  <si>
    <t>313557</t>
  </si>
  <si>
    <t>CORPO IMPLANTE DE ZIRCONIA 4.3X11.5</t>
  </si>
  <si>
    <t>ETX07</t>
  </si>
  <si>
    <t>313558</t>
  </si>
  <si>
    <t>CORPO IMPLANTE DE ZIRCONIA 4.3X13</t>
  </si>
  <si>
    <t>MMZ77</t>
  </si>
  <si>
    <t>313591</t>
  </si>
  <si>
    <t>C BASE DE ZIRCONIA 3.75X4.0X1.5</t>
  </si>
  <si>
    <t>MAXON DENTAL GMBH</t>
  </si>
  <si>
    <t>WA11397</t>
  </si>
  <si>
    <t>313594</t>
  </si>
  <si>
    <t>C BASE DE ZIRCONIA 4.5X4.0X2.5</t>
  </si>
  <si>
    <t>WA-11225</t>
  </si>
  <si>
    <t>313597</t>
  </si>
  <si>
    <t>CORPO CICATRIZADOR DE ZIRCONIA 3.75X1.5</t>
  </si>
  <si>
    <t>0606011-06</t>
  </si>
  <si>
    <t>313598</t>
  </si>
  <si>
    <t>CORPO CICATRIZADOR DE ZIRCONIA 3.75X2.5</t>
  </si>
  <si>
    <t>WA-10215</t>
  </si>
  <si>
    <t>313599</t>
  </si>
  <si>
    <t>CORPO CICATRIZADOR DE ZIRCONIA 4.5X1.5</t>
  </si>
  <si>
    <t>6060603106</t>
  </si>
  <si>
    <t>313600</t>
  </si>
  <si>
    <t>CORPO CICATRIZADOR DE ZIRCONIA 4.5X2.5</t>
  </si>
  <si>
    <t>WA-10663</t>
  </si>
  <si>
    <t>314171</t>
  </si>
  <si>
    <t>CORPO MUNHAO CR DE Zi ESTREITO ALT1.5</t>
  </si>
  <si>
    <t>WA-10476</t>
  </si>
  <si>
    <t>314172</t>
  </si>
  <si>
    <t>CORPO MUNHAO CR DE Zi ESTREITO ALT2.5</t>
  </si>
  <si>
    <t>WA-10471</t>
  </si>
  <si>
    <t>314173</t>
  </si>
  <si>
    <t>CORPO MUNHAO CR DE Zi REGULAR ALT1.5</t>
  </si>
  <si>
    <t>WA-10470</t>
  </si>
  <si>
    <t>314174</t>
  </si>
  <si>
    <t>CORPO MUNHAO CR DE Zi REGULAR ALT2.5</t>
  </si>
  <si>
    <t>WA-10576</t>
  </si>
  <si>
    <t>314175</t>
  </si>
  <si>
    <t>CORPO MUNHAO CR 17G DE Zi ESTR ALT1.5</t>
  </si>
  <si>
    <t>WA-10483</t>
  </si>
  <si>
    <t>314176</t>
  </si>
  <si>
    <t>CORPO MUNHAO CR 17G DE Zi ESTR ALT2.5</t>
  </si>
  <si>
    <t>WA-10482</t>
  </si>
  <si>
    <t>314177</t>
  </si>
  <si>
    <t>CORPO MUNHAO CR 17G DE Zi REGULAR ALT1.5</t>
  </si>
  <si>
    <t>WA-10466</t>
  </si>
  <si>
    <t>314179</t>
  </si>
  <si>
    <t>CORPO MUNHAO CR 17G DE Zi REGULAR ALT2.5</t>
  </si>
  <si>
    <t>WA-10541</t>
  </si>
  <si>
    <t>314182</t>
  </si>
  <si>
    <t>CORPO BASE DE ZIRCONIA C 1.5</t>
  </si>
  <si>
    <t>WA-10712</t>
  </si>
  <si>
    <t>314183</t>
  </si>
  <si>
    <t>CORPO BASE DE ZIRCONIA C 2.5</t>
  </si>
  <si>
    <t>WA-10751</t>
  </si>
  <si>
    <t>315185</t>
  </si>
  <si>
    <t>ICIS Alvim Implant 4.3X13</t>
  </si>
  <si>
    <t>WA-10906</t>
  </si>
  <si>
    <t>316014</t>
  </si>
  <si>
    <t>CORPO IMPLANTE DE ZIRCONIA 3.75X10</t>
  </si>
  <si>
    <t>GWEH8</t>
  </si>
  <si>
    <t>316015</t>
  </si>
  <si>
    <t>CORPO IMPLANTE DE ZIRCONIA 3.75X11.5</t>
  </si>
  <si>
    <t>GWEJ3</t>
  </si>
  <si>
    <t>316016</t>
  </si>
  <si>
    <t>CORPO IMPLANTE DE ZIRCONIA 3.75X13</t>
  </si>
  <si>
    <t>MJE36</t>
  </si>
  <si>
    <t>317319</t>
  </si>
  <si>
    <t>CORPO PARAFUSO BASE DE TITANIO GM AS</t>
  </si>
  <si>
    <t>FYKZ1</t>
  </si>
  <si>
    <t>317320</t>
  </si>
  <si>
    <t>CPO CONEXAO AS PARA CATRACA CURTA</t>
  </si>
  <si>
    <t>CPJ60</t>
  </si>
  <si>
    <t>317321</t>
  </si>
  <si>
    <t>CORPO CONEXAO AS PARA CATRACA</t>
  </si>
  <si>
    <t>FYKX8</t>
  </si>
  <si>
    <t>317322</t>
  </si>
  <si>
    <t>CPO CONEXAO AS PARA CATRACA LONGA</t>
  </si>
  <si>
    <t>EHP08</t>
  </si>
  <si>
    <t>317323</t>
  </si>
  <si>
    <t>CPO CONEXAO AS PARA CONTRA ANGULO CURTA</t>
  </si>
  <si>
    <t>ERH41</t>
  </si>
  <si>
    <t>317324</t>
  </si>
  <si>
    <t>CPO CONEXAO AS PARA CONTRA ANGULO</t>
  </si>
  <si>
    <t>MGW41</t>
  </si>
  <si>
    <t>317325</t>
  </si>
  <si>
    <t>CPO CONEXAO AS PARA CONTRA ANGULO LONGA</t>
  </si>
  <si>
    <t>AXY44</t>
  </si>
  <si>
    <t>318072</t>
  </si>
  <si>
    <t>CORPO CICATRIZADOR DE ZIRCONIA 3.75X3.5</t>
  </si>
  <si>
    <t>WA-11033</t>
  </si>
  <si>
    <t>318073</t>
  </si>
  <si>
    <t>CORPO CICATRIZADOR DE ZIRCONIA 3.75X4.5</t>
  </si>
  <si>
    <t>WA-11037</t>
  </si>
  <si>
    <t>318074</t>
  </si>
  <si>
    <t>CORPO CICATRIZADOR DE ZIRCONIA 4.5X3.5</t>
  </si>
  <si>
    <t>11280</t>
  </si>
  <si>
    <t>318075</t>
  </si>
  <si>
    <t>CORPO CICATRIZADOR DE ZIRCONIA 4.5X4.5</t>
  </si>
  <si>
    <t>WA11285</t>
  </si>
  <si>
    <t>318076</t>
  </si>
  <si>
    <t>CORPO BASE DE ZIRCONIA 3.75X3.5</t>
  </si>
  <si>
    <t>WA11320</t>
  </si>
  <si>
    <t>318077</t>
  </si>
  <si>
    <t>CORPO BASE DE ZIRCONIA 3.75X4.5</t>
  </si>
  <si>
    <t>WA11315</t>
  </si>
  <si>
    <t>318078</t>
  </si>
  <si>
    <t>CORPO BASE DE ZIRCONIA 4.5X3.5</t>
  </si>
  <si>
    <t>WA11289</t>
  </si>
  <si>
    <t>318234</t>
  </si>
  <si>
    <t>CORPO MACRO ANEL METALICO IF SP</t>
  </si>
  <si>
    <t>ARTEMOLAS INDUSTRIAL DE MOLAS LTDA</t>
  </si>
  <si>
    <t>6526</t>
  </si>
  <si>
    <t>328075</t>
  </si>
  <si>
    <t>ANEL METALICO IF NP, MACRO 5:1</t>
  </si>
  <si>
    <t>2416</t>
  </si>
  <si>
    <t>TOFANELLI COMERCIAL EIRELI</t>
  </si>
  <si>
    <t>330759</t>
  </si>
  <si>
    <t>CORPO MUNHAO CR DE Zi ESTREITO ALT3.5</t>
  </si>
  <si>
    <t>WA11309</t>
  </si>
  <si>
    <t>330760</t>
  </si>
  <si>
    <t>CORPO MUNHAO CR DE Zi ESTREITO ALT4.5</t>
  </si>
  <si>
    <t>WA11410</t>
  </si>
  <si>
    <t>330761</t>
  </si>
  <si>
    <t>CORPO MUNHAO CR DE Zi REGULAR ALT3.5</t>
  </si>
  <si>
    <t>WA11294</t>
  </si>
  <si>
    <t>330765</t>
  </si>
  <si>
    <t>CORPO MUNHAO CR 17G DE Zi REGULAR ALT3.5</t>
  </si>
  <si>
    <t>WA11230</t>
  </si>
  <si>
    <t>510040</t>
  </si>
  <si>
    <t>BLOCO POLIURETANO 40PCF L1,5 XC10XA0,90</t>
  </si>
  <si>
    <t>57343</t>
  </si>
  <si>
    <t>514541</t>
  </si>
  <si>
    <t>OSSO SINTETICO (POLIURETANO) 40 PCF</t>
  </si>
  <si>
    <t>PACIFIC RESEARCH LABORATORIES AKA</t>
  </si>
  <si>
    <t>GFL45</t>
  </si>
  <si>
    <t>515130</t>
  </si>
  <si>
    <t>BUCHA VULCANIZADA HS D6.0/D7.0</t>
  </si>
  <si>
    <t>VOGA COM E REP DE CORREIAS,</t>
  </si>
  <si>
    <t>116303</t>
  </si>
  <si>
    <t>515654</t>
  </si>
  <si>
    <t>BUCHA DE VEDACAO TRS ZIGOMATICO 3.75</t>
  </si>
  <si>
    <t>116304</t>
  </si>
  <si>
    <t>515782</t>
  </si>
  <si>
    <t>BUCHA DE VEDACAO TRS ZIGOMATICO 3.5</t>
  </si>
  <si>
    <t>117828</t>
  </si>
  <si>
    <t>516366</t>
  </si>
  <si>
    <t>BUCHA VULCANIZADA HS D3.75/4.0/D5.0</t>
  </si>
  <si>
    <t>117360</t>
  </si>
  <si>
    <t>519639</t>
  </si>
  <si>
    <t>EQUIPO PARA BOMBA PERISTALTICA</t>
  </si>
  <si>
    <t>MAI24134LP</t>
  </si>
  <si>
    <t>700154</t>
  </si>
  <si>
    <t>Ti 9.9367 TAN Ø6.00 h6 TLV 206</t>
  </si>
  <si>
    <t>PVH89</t>
  </si>
  <si>
    <t>Straumann Manufacturing, Inc.</t>
  </si>
  <si>
    <t>701236</t>
  </si>
  <si>
    <t>TITANIO 3.7065 GR4 SOFT D5.00 H6 TLV 203</t>
  </si>
  <si>
    <t>AJC39</t>
  </si>
  <si>
    <t>702032</t>
  </si>
  <si>
    <t>Cobalt Chrome Ø15.5 h7 TLV 107060</t>
  </si>
  <si>
    <t>4892574</t>
  </si>
  <si>
    <t>ZAPP PRECISION METALS GMBH MEDICAL</t>
  </si>
  <si>
    <t>702044</t>
  </si>
  <si>
    <t>Ti 9.9367 TAN Ø5.00 h6 TLV 206</t>
  </si>
  <si>
    <t>MEX78</t>
  </si>
  <si>
    <t>702875</t>
  </si>
  <si>
    <t>Cobalt Chrome Ø13.5 h7 TLV 107060</t>
  </si>
  <si>
    <t>4873936</t>
  </si>
  <si>
    <t>702890</t>
  </si>
  <si>
    <t>064926</t>
  </si>
  <si>
    <t>702905</t>
  </si>
  <si>
    <t>Cobalt Chrome Ø15.68 h9 TLV 107060</t>
  </si>
  <si>
    <t>4564792</t>
  </si>
  <si>
    <t>2337</t>
  </si>
  <si>
    <t>4976</t>
  </si>
  <si>
    <t>702928</t>
  </si>
  <si>
    <t>CD EMB. PLÁSTICA 80MM</t>
  </si>
  <si>
    <t>NEP13</t>
  </si>
  <si>
    <t>702934</t>
  </si>
  <si>
    <t>ACO RAPIDO M2 3,17X32,00MM</t>
  </si>
  <si>
    <t>DIAMANPAR INDUSTRIA E COMERCIO DE</t>
  </si>
  <si>
    <t>2259836</t>
  </si>
  <si>
    <t>064905</t>
  </si>
  <si>
    <t>085861</t>
  </si>
  <si>
    <t>702940</t>
  </si>
  <si>
    <t>SACO TRANSPARENTE 18X22X130 SOLDA POUCH</t>
  </si>
  <si>
    <t>16262</t>
  </si>
  <si>
    <t>SIGPLAST COMERCIAL LTDA</t>
  </si>
  <si>
    <t>087474</t>
  </si>
  <si>
    <t>702978</t>
  </si>
  <si>
    <t>ANEL METALICO IF NP </t>
  </si>
  <si>
    <t>MOLTEC MOLAS DE PRECISAO LTDA</t>
  </si>
  <si>
    <t>68432</t>
  </si>
  <si>
    <t>702982</t>
  </si>
  <si>
    <t>ANEL METALICO IF SP</t>
  </si>
  <si>
    <t>72055</t>
  </si>
  <si>
    <t>702989</t>
  </si>
  <si>
    <t>TAMPA ESTOJO COMPLEMENTO</t>
  </si>
  <si>
    <t>057119</t>
  </si>
  <si>
    <t>702991</t>
  </si>
  <si>
    <t>EXTENSOR DE BROCA COM ENGATE RAPIDO CD</t>
  </si>
  <si>
    <t>GEBR BRASSELER GMBH &amp; CO</t>
  </si>
  <si>
    <t>APMK1</t>
  </si>
  <si>
    <t>702996</t>
  </si>
  <si>
    <t>TINTA BERLAPRINT AMARELA PANTONE 136C</t>
  </si>
  <si>
    <t>BERLAC AG</t>
  </si>
  <si>
    <t>24401709</t>
  </si>
  <si>
    <t>702997</t>
  </si>
  <si>
    <t>TINTA BERLAPRINT CORAL PANTONE 7416C</t>
  </si>
  <si>
    <t>24401114</t>
  </si>
  <si>
    <t>702998</t>
  </si>
  <si>
    <t>TINTA BERLAPRINT VERDE PANTONE 7473C</t>
  </si>
  <si>
    <t>24401875</t>
  </si>
  <si>
    <t>702999</t>
  </si>
  <si>
    <t>TINTA BERLAPRINT CINZA PANTONE 426C</t>
  </si>
  <si>
    <t>24401029</t>
  </si>
  <si>
    <t>703000</t>
  </si>
  <si>
    <t>ETIQUETA BRANCA 12X65MM</t>
  </si>
  <si>
    <t>4671</t>
  </si>
  <si>
    <t>703006</t>
  </si>
  <si>
    <t>Ti 9.9367 TAN Ø4.00 h6 TLV 206</t>
  </si>
  <si>
    <t>Perryman Company</t>
  </si>
  <si>
    <t>HC-19892</t>
  </si>
  <si>
    <t>703091</t>
  </si>
  <si>
    <t>TINTA BERLAPRINT AZUL CLARO PANTONE 291C</t>
  </si>
  <si>
    <t>24401397</t>
  </si>
  <si>
    <t>703092</t>
  </si>
  <si>
    <t>TINTA BERLAPRINT ROSA PANTONE 223C</t>
  </si>
  <si>
    <t>24401872</t>
  </si>
  <si>
    <t>091493</t>
  </si>
  <si>
    <t>090746</t>
  </si>
  <si>
    <t>088391</t>
  </si>
  <si>
    <t>703326</t>
  </si>
  <si>
    <t>BASE PARA KIT HELIX HE CONTROL</t>
  </si>
  <si>
    <t>061470</t>
  </si>
  <si>
    <t>703328</t>
  </si>
  <si>
    <t>BASE PARA KIT CIRURGICO EF</t>
  </si>
  <si>
    <t>099846</t>
  </si>
  <si>
    <t>087914</t>
  </si>
  <si>
    <t>101276</t>
  </si>
  <si>
    <t>101916</t>
  </si>
  <si>
    <t>101403</t>
  </si>
  <si>
    <t>703887</t>
  </si>
  <si>
    <t>ETIQUETA 35X21MM LACRE TRANSPARENTE</t>
  </si>
  <si>
    <t>5007</t>
  </si>
  <si>
    <t>703907</t>
  </si>
  <si>
    <t>RIBBON AUTOBAG PRETO 4"X2000pol</t>
  </si>
  <si>
    <t>080229464</t>
  </si>
  <si>
    <t>CRYOVAC BRASIL LTDA</t>
  </si>
  <si>
    <t>703922</t>
  </si>
  <si>
    <t>MICRO ESFERA DE VIDRO CLASSE AD</t>
  </si>
  <si>
    <t>3346</t>
  </si>
  <si>
    <t>703927</t>
  </si>
  <si>
    <t>Composto de polimento B-57</t>
  </si>
  <si>
    <t>703973</t>
  </si>
  <si>
    <t>ADESIVO LOCTITE 640 ANAEROBICO</t>
  </si>
  <si>
    <t>FERRAMENTAS GERAIS COM E IMPORTACAO</t>
  </si>
  <si>
    <t>FERRAMENTAS GERAIS COMERCIO E IMPOR</t>
  </si>
  <si>
    <t>B420384495</t>
  </si>
  <si>
    <t>B434694109</t>
  </si>
  <si>
    <t>090094</t>
  </si>
  <si>
    <t>704045</t>
  </si>
  <si>
    <t>ZENDURA A BOBINA 500FT-137MM 9155</t>
  </si>
  <si>
    <t>J000027241</t>
  </si>
  <si>
    <t>BAY MATERIALS LLC</t>
  </si>
  <si>
    <t>704046</t>
  </si>
  <si>
    <t>ZENDURA FLX BOBINA 500FT-137MM 9203</t>
  </si>
  <si>
    <t>107542W</t>
  </si>
  <si>
    <t>704058</t>
  </si>
  <si>
    <t>ETIQUETA VERMELHA 80X48MM</t>
  </si>
  <si>
    <t>4866</t>
  </si>
  <si>
    <t>704105</t>
  </si>
  <si>
    <t>ETIQUETA BRANCA 88x48/40x5 MM</t>
  </si>
  <si>
    <t>2339</t>
  </si>
  <si>
    <t>704109</t>
  </si>
  <si>
    <t>PPSU-POLIFENILSULFONA 2.41X200X55 FUME</t>
  </si>
  <si>
    <t>0000069081</t>
  </si>
  <si>
    <t>ENSINGER INDUSTRIA DE PLASTICOS</t>
  </si>
  <si>
    <t>704110</t>
  </si>
  <si>
    <t>PPSU-POLIFENILSULFONA 2.41X200X67 FUME</t>
  </si>
  <si>
    <t>149066</t>
  </si>
  <si>
    <t>2006100175</t>
  </si>
  <si>
    <t>2206</t>
  </si>
  <si>
    <t>704273</t>
  </si>
  <si>
    <t>TAMPA FRASCO 5L 1L 600ML</t>
  </si>
  <si>
    <t>088933</t>
  </si>
  <si>
    <t>704348</t>
  </si>
  <si>
    <t>PUXADOR PARA KIT CIRURGICO</t>
  </si>
  <si>
    <t>ALMEIDA E WERNECK LTDA</t>
  </si>
  <si>
    <t>03/48</t>
  </si>
  <si>
    <t>08/47</t>
  </si>
  <si>
    <t>704349</t>
  </si>
  <si>
    <t>POLICARBONATO DIAMETRO 10X3000MM</t>
  </si>
  <si>
    <t>30343</t>
  </si>
  <si>
    <t>MP - COMERCIO DE ACRILICOS E PLASTI</t>
  </si>
  <si>
    <t>704427</t>
  </si>
  <si>
    <t>ETIQUETA IMPORTADO E DISTRIBUIDO</t>
  </si>
  <si>
    <t>4761</t>
  </si>
  <si>
    <t>704484</t>
  </si>
  <si>
    <t>TAMPA DE CAIXA ACRÍLICA 4,7X26X29</t>
  </si>
  <si>
    <t>JOHANN RENFER GMBH</t>
  </si>
  <si>
    <t>JRPK2</t>
  </si>
  <si>
    <t>704485</t>
  </si>
  <si>
    <t>CAIXA DE ACRÍLICO INFERIOR 6,1X26X29</t>
  </si>
  <si>
    <t>AKJE7</t>
  </si>
  <si>
    <t>704504</t>
  </si>
  <si>
    <t>ACO INOX 316L EXTRA DURO D13MM</t>
  </si>
  <si>
    <t>5984600</t>
  </si>
  <si>
    <t>704548</t>
  </si>
  <si>
    <t>ACO RAPIDO M2 D3X36MM</t>
  </si>
  <si>
    <t>098232</t>
  </si>
  <si>
    <t>099099</t>
  </si>
  <si>
    <t>099094</t>
  </si>
  <si>
    <t>704663</t>
  </si>
  <si>
    <t>ETIQUETA VERMELHA 88X48/40X5 MM</t>
  </si>
  <si>
    <t>4293</t>
  </si>
  <si>
    <t>705590</t>
  </si>
  <si>
    <t>COROA INCISIVO CENTRAL PARA HANDS ON</t>
  </si>
  <si>
    <t>MNT41</t>
  </si>
  <si>
    <t>705591</t>
  </si>
  <si>
    <t>BLANK DO GUIA P/REMOCAO ROSCA COMPONENTE</t>
  </si>
  <si>
    <t>MODELO FERRAMENTA E ESTAMPARIA LTDA</t>
  </si>
  <si>
    <t>003123-01</t>
  </si>
  <si>
    <t>099255</t>
  </si>
  <si>
    <t>705635</t>
  </si>
  <si>
    <t>BASE PARA ESTOJO ZYGOMA S</t>
  </si>
  <si>
    <t>099051</t>
  </si>
  <si>
    <t>705636</t>
  </si>
  <si>
    <t>SILICONE 7X20X22 MM</t>
  </si>
  <si>
    <t>04/50</t>
  </si>
  <si>
    <t>05/47</t>
  </si>
  <si>
    <t>705637</t>
  </si>
  <si>
    <t>SILICONE 7X20X50 MM</t>
  </si>
  <si>
    <t>09/49</t>
  </si>
  <si>
    <t>705638</t>
  </si>
  <si>
    <t>SILICONE 7X20X54,5 MM</t>
  </si>
  <si>
    <t>705639</t>
  </si>
  <si>
    <t>SILICONE 7X20X32 MM</t>
  </si>
  <si>
    <t>705640</t>
  </si>
  <si>
    <t>SILICONE 7X20X28,5 MM</t>
  </si>
  <si>
    <t>705641</t>
  </si>
  <si>
    <t>SILICONE 7X19X42 MM</t>
  </si>
  <si>
    <t>705642</t>
  </si>
  <si>
    <t>SILICONE 7X19X61 MM</t>
  </si>
  <si>
    <t>707316</t>
  </si>
  <si>
    <t>SACO SOLDA POUCH P/ BROCAS 40X38</t>
  </si>
  <si>
    <t>707321</t>
  </si>
  <si>
    <t>6184997</t>
  </si>
  <si>
    <t>707322</t>
  </si>
  <si>
    <t>6031097</t>
  </si>
  <si>
    <t>AUTO212039</t>
  </si>
  <si>
    <t>SUNNYVALE COMERCIO E REPRESENTACOES</t>
  </si>
  <si>
    <t>707359</t>
  </si>
  <si>
    <t>FUNDO NUVO NARROW E REGULAR</t>
  </si>
  <si>
    <t>097689</t>
  </si>
  <si>
    <t>707360</t>
  </si>
  <si>
    <t>BASE NUVO NARROW E REGULAR</t>
  </si>
  <si>
    <t>098028</t>
  </si>
  <si>
    <t>707368</t>
  </si>
  <si>
    <t>FITA ENCINTADORA BOPP 34,7 MICRAS</t>
  </si>
  <si>
    <t>707382</t>
  </si>
  <si>
    <t>NARROW GM CAIXA VAZIA DE DEMONSTRAÇÃO</t>
  </si>
  <si>
    <t>707415</t>
  </si>
  <si>
    <t>BASE PARA KIT CIRURGICO NUVO CF V2</t>
  </si>
  <si>
    <t>099262</t>
  </si>
  <si>
    <t>707416</t>
  </si>
  <si>
    <t>BASE ESTOJO STOP DE BROCAS NUVO V2</t>
  </si>
  <si>
    <t>099263</t>
  </si>
  <si>
    <t>707632</t>
  </si>
  <si>
    <t>CAIXA DE DEMONSTRACAO HELIX SHORT</t>
  </si>
  <si>
    <t>2290</t>
  </si>
  <si>
    <t>707654</t>
  </si>
  <si>
    <t>RING FOR HS DRIVER MACRO</t>
  </si>
  <si>
    <t>71373</t>
  </si>
  <si>
    <t>707710</t>
  </si>
  <si>
    <t>BLANK DO GUIA DE PERFURACAO</t>
  </si>
  <si>
    <t>002758-01</t>
  </si>
  <si>
    <t>707738</t>
  </si>
  <si>
    <t>MOLA ACO INOX 302 D4,38x0,4/6,50x7,7MM</t>
  </si>
  <si>
    <t>LOOPSMOL INDUSTRIA E COMERCIO DE MO</t>
  </si>
  <si>
    <t>35207/23-1</t>
  </si>
  <si>
    <t>707758</t>
  </si>
  <si>
    <t>TITANIO TI6AL4V-ELI D17.45MM ASTM F136</t>
  </si>
  <si>
    <t>PV09320</t>
  </si>
  <si>
    <t>707790</t>
  </si>
  <si>
    <t>BASE ESTOJO COMPLEMENTO NEOCONVERT</t>
  </si>
  <si>
    <t>100720</t>
  </si>
  <si>
    <t>707791</t>
  </si>
  <si>
    <t>SUPORTE SILICONE INJ. KIT NEOCONVERT</t>
  </si>
  <si>
    <t>ATUALVED SOLUCOES INDUSTRIAIS LTDA</t>
  </si>
  <si>
    <t>174577/1-2</t>
  </si>
  <si>
    <t>098654</t>
  </si>
  <si>
    <t>096110</t>
  </si>
  <si>
    <t>707847</t>
  </si>
  <si>
    <t>TAMPA ESTOJO COMPLEMENTO LISA</t>
  </si>
  <si>
    <t>099536</t>
  </si>
  <si>
    <t>707858</t>
  </si>
  <si>
    <t>TUBO SILICONE 3.2x2.0x25MM</t>
  </si>
  <si>
    <t>1015996</t>
  </si>
  <si>
    <t>PERFITECNICA PERFIS TECNICOS DE BOR</t>
  </si>
  <si>
    <t>707859</t>
  </si>
  <si>
    <t>TUBO SILICONE 5.0x3.0x25MM</t>
  </si>
  <si>
    <t>1015990</t>
  </si>
  <si>
    <t>707866</t>
  </si>
  <si>
    <t>FUNDO KIT ZI CIRURGIA GUIADA BL</t>
  </si>
  <si>
    <t>097624</t>
  </si>
  <si>
    <t>707867</t>
  </si>
  <si>
    <t>BASE KIT ZI CIRURGIA GUIADA BL</t>
  </si>
  <si>
    <t>097623</t>
  </si>
  <si>
    <t>707868</t>
  </si>
  <si>
    <t>SUPORTE REMOVEDOR DE MONTADOR</t>
  </si>
  <si>
    <t>707902</t>
  </si>
  <si>
    <t>TUBO SILICONE 2.2x1.0x2100MM</t>
  </si>
  <si>
    <t>1015992</t>
  </si>
  <si>
    <t>707903</t>
  </si>
  <si>
    <t>TUBO SILICONE 3.2x2.0x300MM</t>
  </si>
  <si>
    <t>1071310</t>
  </si>
  <si>
    <t>707904</t>
  </si>
  <si>
    <t>TUBO SILICONE 5.0x3.0x120MM</t>
  </si>
  <si>
    <t>1050192</t>
  </si>
  <si>
    <t>708001</t>
  </si>
  <si>
    <t>ETIQUETA DE RASTREABILIDADE 11 DIVISOES</t>
  </si>
  <si>
    <t>4208</t>
  </si>
  <si>
    <t>708071</t>
  </si>
  <si>
    <t>TECAPEEK CLASSIX D8X3000MM BRANCO</t>
  </si>
  <si>
    <t>643362</t>
  </si>
  <si>
    <t>708381</t>
  </si>
  <si>
    <t>POLI.POM-POLIOXIMETILENO D28.0MM BRANCO</t>
  </si>
  <si>
    <t>66612</t>
  </si>
  <si>
    <t>081.201</t>
  </si>
  <si>
    <t>ACO INOX 1.4441 EXT-DURO Ø3.00 h6TLV 103</t>
  </si>
  <si>
    <t>4436876</t>
  </si>
  <si>
    <t>201.011</t>
  </si>
  <si>
    <t>TITANIO TI6AL4V-ELI D3.18MM ASTM F136</t>
  </si>
  <si>
    <t>TITANIUM INDUSTRIES INC.</t>
  </si>
  <si>
    <t>27415DG</t>
  </si>
  <si>
    <t>201.012</t>
  </si>
  <si>
    <t>TITANIO TI6AL4V-ELI D3.95MM ASTM F136</t>
  </si>
  <si>
    <t>PV09815</t>
  </si>
  <si>
    <t>201.013</t>
  </si>
  <si>
    <t>TITANIO TI6AL4V-ELI D4.76MM ASTM F136</t>
  </si>
  <si>
    <t>PV09547</t>
  </si>
  <si>
    <t>PV09406</t>
  </si>
  <si>
    <t>PV10996</t>
  </si>
  <si>
    <t>517429</t>
  </si>
  <si>
    <t>201.017</t>
  </si>
  <si>
    <t>TITANIO TI6AL4V-ELI D15.80MM ASTM F136</t>
  </si>
  <si>
    <t>ACNIS DO BRASIL COMERCIO DE</t>
  </si>
  <si>
    <t>PV11094</t>
  </si>
  <si>
    <t>H37097</t>
  </si>
  <si>
    <t>H37271</t>
  </si>
  <si>
    <t>H39736</t>
  </si>
  <si>
    <t>201.032</t>
  </si>
  <si>
    <t>TITANIO TI6AL4V-ELI D12.70MM ASTM F136</t>
  </si>
  <si>
    <t>PV10234</t>
  </si>
  <si>
    <t>201.056</t>
  </si>
  <si>
    <t>TITANIO GRAU 4 D7.95MM (03130IN)ASTM F67</t>
  </si>
  <si>
    <t>525278</t>
  </si>
  <si>
    <t>201.103</t>
  </si>
  <si>
    <t>TITANIO GRAU 2 2.49X1143X2997MM ASTM F67</t>
  </si>
  <si>
    <t>UNITED PERFORMANCE METALS</t>
  </si>
  <si>
    <t>HN10592</t>
  </si>
  <si>
    <t>201.104</t>
  </si>
  <si>
    <t>TITANIO D13MM TI6AL4V-ELI GRAU 5***</t>
  </si>
  <si>
    <t>194332</t>
  </si>
  <si>
    <t>201.105</t>
  </si>
  <si>
    <t>TITANIO D16MM TI6AL4V-ELI GRAU 5***</t>
  </si>
  <si>
    <t>194333</t>
  </si>
  <si>
    <t>201.107</t>
  </si>
  <si>
    <t>TITANIO TI6AL4V-ELI D19.05MM ASTM F136</t>
  </si>
  <si>
    <t>PDV8114</t>
  </si>
  <si>
    <t>202.001</t>
  </si>
  <si>
    <t>ACO INOX 304 D3.18MM</t>
  </si>
  <si>
    <t>SIDERACO DISTRIBUIDORA DE ACOS LTDA</t>
  </si>
  <si>
    <t>45898</t>
  </si>
  <si>
    <t>202.002</t>
  </si>
  <si>
    <t>ACO INOX 304 D3.95MM</t>
  </si>
  <si>
    <t>97818</t>
  </si>
  <si>
    <t>202.003</t>
  </si>
  <si>
    <t>ACO INOX 304 D4.76MM</t>
  </si>
  <si>
    <t>2765294V</t>
  </si>
  <si>
    <t>202.004</t>
  </si>
  <si>
    <t>ACO INOX 304 D6.35MM</t>
  </si>
  <si>
    <t>69742</t>
  </si>
  <si>
    <t>202.005</t>
  </si>
  <si>
    <t>ACO INOX 304 D7.95MM</t>
  </si>
  <si>
    <t>DH165</t>
  </si>
  <si>
    <t>202.006</t>
  </si>
  <si>
    <t>ACO INOX 304 D9.53MM</t>
  </si>
  <si>
    <t>59820</t>
  </si>
  <si>
    <t>202.007</t>
  </si>
  <si>
    <t>ACO INOX 304 D12.7MM</t>
  </si>
  <si>
    <t>116371</t>
  </si>
  <si>
    <t>202.009</t>
  </si>
  <si>
    <t>ACO INOX 304 D15.8MM</t>
  </si>
  <si>
    <t>1616291</t>
  </si>
  <si>
    <t>202.010</t>
  </si>
  <si>
    <t>ACO INOX 304 D19.0MM</t>
  </si>
  <si>
    <t>0815991</t>
  </si>
  <si>
    <t>202.011</t>
  </si>
  <si>
    <t>ACO INOX 304 D22.2MM</t>
  </si>
  <si>
    <t>0817018</t>
  </si>
  <si>
    <t>202.012</t>
  </si>
  <si>
    <t>ACO INOX 304 D25.4MM</t>
  </si>
  <si>
    <t>CI438</t>
  </si>
  <si>
    <t>202.013</t>
  </si>
  <si>
    <t>ACO INOX 304 D31.75MM</t>
  </si>
  <si>
    <t>0815544</t>
  </si>
  <si>
    <t>202.014</t>
  </si>
  <si>
    <t>ACO INOX 304 D38.1MM</t>
  </si>
  <si>
    <t>0815303</t>
  </si>
  <si>
    <t>202.041</t>
  </si>
  <si>
    <t>ACO INOX 455 D6.35MM</t>
  </si>
  <si>
    <t>101218A</t>
  </si>
  <si>
    <t>202.042</t>
  </si>
  <si>
    <t>ACO INOX 455 D9.53MM</t>
  </si>
  <si>
    <t>132078F</t>
  </si>
  <si>
    <t>202.044</t>
  </si>
  <si>
    <t>ACO INOX 455 D31.75MM</t>
  </si>
  <si>
    <t>155224</t>
  </si>
  <si>
    <t>202.063</t>
  </si>
  <si>
    <t>ACO INOX 304 3.00X1200X2000</t>
  </si>
  <si>
    <t>362553J</t>
  </si>
  <si>
    <t>202.065</t>
  </si>
  <si>
    <t>ACO INOX 455 D12.7MM</t>
  </si>
  <si>
    <t>819850</t>
  </si>
  <si>
    <t>202.073</t>
  </si>
  <si>
    <t>ACO INOX 455 D3.18MM</t>
  </si>
  <si>
    <t>127815A</t>
  </si>
  <si>
    <t>202.088</t>
  </si>
  <si>
    <t>ACO INOX 455 D4.76MM</t>
  </si>
  <si>
    <t>110829</t>
  </si>
  <si>
    <t>202.093</t>
  </si>
  <si>
    <t>ACO INOX 304 1.20X1200MMX3000MM POLIDO</t>
  </si>
  <si>
    <t>861766D</t>
  </si>
  <si>
    <t>202.132</t>
  </si>
  <si>
    <t>ACO INOX M340 D6.30MM</t>
  </si>
  <si>
    <t>ACOS BOHLER-UDDEHOLM DO BRASIL LTDA</t>
  </si>
  <si>
    <t>3036895</t>
  </si>
  <si>
    <t>202.134</t>
  </si>
  <si>
    <t>ACO INOX 304 D5.00MM</t>
  </si>
  <si>
    <t>61700</t>
  </si>
  <si>
    <t>202.142</t>
  </si>
  <si>
    <t>CABO DE INOX 316LVM D0.90MM ASTM F138</t>
  </si>
  <si>
    <t>AXZ24</t>
  </si>
  <si>
    <t>FORT WAYNE METALS</t>
  </si>
  <si>
    <t>202.146</t>
  </si>
  <si>
    <t>ACO INOX M340 D2.78MM</t>
  </si>
  <si>
    <t>11207937</t>
  </si>
  <si>
    <t>202.147</t>
  </si>
  <si>
    <t>ALAVANCA CHAVE CAT.INOX 302 D1.65X92MM</t>
  </si>
  <si>
    <t>74647</t>
  </si>
  <si>
    <t>202.148</t>
  </si>
  <si>
    <t>ACO INOX M340 D12.50MM</t>
  </si>
  <si>
    <t>CEB957</t>
  </si>
  <si>
    <t>202.327</t>
  </si>
  <si>
    <t>ACO INOX 316L EXTRA DURO D5MM</t>
  </si>
  <si>
    <t>6049818</t>
  </si>
  <si>
    <t>203.003</t>
  </si>
  <si>
    <t>TILITE D6.35MM***</t>
  </si>
  <si>
    <t>1003869140</t>
  </si>
  <si>
    <t>203.010</t>
  </si>
  <si>
    <t>COBALTO CROMO MOLIBDENIO D6.35MM</t>
  </si>
  <si>
    <t>MESA DI SALA GIACOMO &amp; C SNC</t>
  </si>
  <si>
    <t>11915</t>
  </si>
  <si>
    <t>203.012</t>
  </si>
  <si>
    <t>COBALTO CROMO MOLIBDENIO D5.00MM</t>
  </si>
  <si>
    <t>12074</t>
  </si>
  <si>
    <t>204.005</t>
  </si>
  <si>
    <t>POLI.POM-POLIOXIMETILENO D8.0MM BRANCO</t>
  </si>
  <si>
    <t>PAG COMERCIO E REPRESENTACOES DE</t>
  </si>
  <si>
    <t>57097</t>
  </si>
  <si>
    <t>204.007</t>
  </si>
  <si>
    <t>POLI.POM-POLIOXIMETILENO D12.0MM BRANCO</t>
  </si>
  <si>
    <t>69768</t>
  </si>
  <si>
    <t>204.008</t>
  </si>
  <si>
    <t>POLI.POM-POLIOXIMETILENO D16.0MM BRANCO</t>
  </si>
  <si>
    <t>64888</t>
  </si>
  <si>
    <t>204.010</t>
  </si>
  <si>
    <t>POLI.POM-POLIOXIMETILENO D25.0MM BRANCO</t>
  </si>
  <si>
    <t>52386</t>
  </si>
  <si>
    <t>204.012</t>
  </si>
  <si>
    <t>POLI.POM-POLIOXIMETILENO D8.0MM PRETO</t>
  </si>
  <si>
    <t>52309</t>
  </si>
  <si>
    <t>204.014</t>
  </si>
  <si>
    <t>POLI.POM-POLIOXIMETILENO D16.0MM PRETO</t>
  </si>
  <si>
    <t>64016</t>
  </si>
  <si>
    <t>204.015</t>
  </si>
  <si>
    <t>POLI.POM-POLIOXIMETILENO D25.0MM PRETO</t>
  </si>
  <si>
    <t>53457</t>
  </si>
  <si>
    <t>204.045</t>
  </si>
  <si>
    <t>TUBO DE SILICONE D8.0XD4.0MM</t>
  </si>
  <si>
    <t>252917</t>
  </si>
  <si>
    <t>204.047</t>
  </si>
  <si>
    <t>TUBO DE SILICONE D12.0XD6.0MM</t>
  </si>
  <si>
    <t>249635</t>
  </si>
  <si>
    <t>204.048</t>
  </si>
  <si>
    <t>TUBO DE SILICONE D6.4XD3.2MM</t>
  </si>
  <si>
    <t>211503</t>
  </si>
  <si>
    <t>204.049</t>
  </si>
  <si>
    <t>PPSU-POLIFENILSULFONA 2.413X1016MM FUME</t>
  </si>
  <si>
    <t>204.056</t>
  </si>
  <si>
    <t>POLIPROPILENO 15.0X1000MM (PP-POLIPROP)</t>
  </si>
  <si>
    <t>6451019</t>
  </si>
  <si>
    <t>72040</t>
  </si>
  <si>
    <t>204.061</t>
  </si>
  <si>
    <t>TEFLON PTFE-POLITETRAFLUORETILENO D35MM</t>
  </si>
  <si>
    <t>131315</t>
  </si>
  <si>
    <t>204.063</t>
  </si>
  <si>
    <t>POLI.POM-POLIOXIMETILENO D45MM PRETO</t>
  </si>
  <si>
    <t>EYK81</t>
  </si>
  <si>
    <t>204.080</t>
  </si>
  <si>
    <t>POLIPROPILENO 20.0X1000MM (PP-POLIPROP)</t>
  </si>
  <si>
    <t>204.104</t>
  </si>
  <si>
    <t>POLI.POM-POLIOXIMETILENO D50.8MM PRETO</t>
  </si>
  <si>
    <t>155995</t>
  </si>
  <si>
    <t>309954</t>
  </si>
  <si>
    <t>204.129</t>
  </si>
  <si>
    <t>POLI.POM-POLIOXIMETILENO D15.8MM LILAS</t>
  </si>
  <si>
    <t>58983</t>
  </si>
  <si>
    <t>204.130</t>
  </si>
  <si>
    <t>POLI.POM-POLIOXIMETILENO D25 MM LILAS</t>
  </si>
  <si>
    <t>57670</t>
  </si>
  <si>
    <t>204.132</t>
  </si>
  <si>
    <t>POLI.POM-POLIOXIMETILENO D40MM CINZA</t>
  </si>
  <si>
    <t>65325</t>
  </si>
  <si>
    <t>204.141</t>
  </si>
  <si>
    <t>POLI.POM-POLIOXIMETILENO D6.MM BRANCO</t>
  </si>
  <si>
    <t>57846</t>
  </si>
  <si>
    <t>204.142</t>
  </si>
  <si>
    <t>POLI.POM-POLIOXIMETILENO D10MM BRANCO</t>
  </si>
  <si>
    <t>60849</t>
  </si>
  <si>
    <t>204.143</t>
  </si>
  <si>
    <t>PEEK POLI-ETER-ETER-CETONA D6MM NATURAL</t>
  </si>
  <si>
    <t>528113</t>
  </si>
  <si>
    <t>204.144</t>
  </si>
  <si>
    <t>PEEK POLI-ETER-ETER-CETONA D8MM NATURAL</t>
  </si>
  <si>
    <t>800269</t>
  </si>
  <si>
    <t>204.151</t>
  </si>
  <si>
    <t>TEFLON PTFE-POLITETRAFLUORETILENO D16MM</t>
  </si>
  <si>
    <t>123194</t>
  </si>
  <si>
    <t>204.161</t>
  </si>
  <si>
    <t>TEFLON PTFE-POLITETRAFLUORETILENO D50MM</t>
  </si>
  <si>
    <t>204.162</t>
  </si>
  <si>
    <t>TEFLON PTFE-POLITETRAFLUORETILENO D10MM</t>
  </si>
  <si>
    <t>110096</t>
  </si>
  <si>
    <t>204.202</t>
  </si>
  <si>
    <t>TECAPEEK CLASSIX D6X3000MM BRANCO</t>
  </si>
  <si>
    <t>782340</t>
  </si>
  <si>
    <t>204.246</t>
  </si>
  <si>
    <t>VESTAKEEP DC4420R GRAU ODONT.D6X1000MM</t>
  </si>
  <si>
    <t>72451111</t>
  </si>
  <si>
    <t>204.247</t>
  </si>
  <si>
    <t>VESTAKEEP DC4420R GRAU ODONT.D8X1000MM</t>
  </si>
  <si>
    <t>72811710</t>
  </si>
  <si>
    <t>204.266</t>
  </si>
  <si>
    <t>POLI.POM-POLIOXIMETILENO D6MM PRETO</t>
  </si>
  <si>
    <t>57139</t>
  </si>
  <si>
    <t>204.267</t>
  </si>
  <si>
    <t>POLIURETANO PU D125X0.76MM DISCO</t>
  </si>
  <si>
    <t>BIXBY INTERNATIONAL</t>
  </si>
  <si>
    <t>204.268</t>
  </si>
  <si>
    <t>POLIETILENO T.GLICOL PETG D125X0.5MM DIS</t>
  </si>
  <si>
    <t>LIANKA COMERCIO E REPRESENTACOES LT</t>
  </si>
  <si>
    <t>205.004</t>
  </si>
  <si>
    <t>ALUMINIO AA6351-T6 D12.7MM</t>
  </si>
  <si>
    <t>2410636</t>
  </si>
  <si>
    <t>205.005</t>
  </si>
  <si>
    <t>ALUMINIO AA6351-T6 D15.8MM</t>
  </si>
  <si>
    <t>43909</t>
  </si>
  <si>
    <t>205.006</t>
  </si>
  <si>
    <t>ALUMINIO AA6351-T6 D19.05MM</t>
  </si>
  <si>
    <t>82749</t>
  </si>
  <si>
    <t>205.007</t>
  </si>
  <si>
    <t>ALUMINIO AA6351-T6 D25.4MM</t>
  </si>
  <si>
    <t>29085</t>
  </si>
  <si>
    <t>206.001</t>
  </si>
  <si>
    <t>LATAO UNS C36000 D4.76MM</t>
  </si>
  <si>
    <t>41402</t>
  </si>
  <si>
    <t>206.003</t>
  </si>
  <si>
    <t>LATAO UNS C36000 D6.35MM</t>
  </si>
  <si>
    <t>0000960137</t>
  </si>
  <si>
    <t>208.027</t>
  </si>
  <si>
    <t>ACO 5160 D9.525MM SAE/AISI/ABNT</t>
  </si>
  <si>
    <t>21305</t>
  </si>
  <si>
    <t>208.052</t>
  </si>
  <si>
    <t>ACO RAPIDO M2 D2.50X35MM</t>
  </si>
  <si>
    <t>06652</t>
  </si>
  <si>
    <t>208.282</t>
  </si>
  <si>
    <t>ACO RAPIDO M2 D2.60X27MM</t>
  </si>
  <si>
    <t>210.001</t>
  </si>
  <si>
    <t>ACO RAPIDO D3.0X60MM</t>
  </si>
  <si>
    <t>ENT16</t>
  </si>
  <si>
    <t>210.002</t>
  </si>
  <si>
    <t>ACO RAPIDO D4.0X30MM</t>
  </si>
  <si>
    <t>5628-1</t>
  </si>
  <si>
    <t>210.004</t>
  </si>
  <si>
    <t>METAL DURO D4.20X80MM***</t>
  </si>
  <si>
    <t>153900</t>
  </si>
  <si>
    <t>210.006</t>
  </si>
  <si>
    <t>ACO RAPIDO D6.0X30MM</t>
  </si>
  <si>
    <t>5704-1</t>
  </si>
  <si>
    <t>210.031</t>
  </si>
  <si>
    <t>METAL DURO D8.0X330MM</t>
  </si>
  <si>
    <t>19-3089</t>
  </si>
  <si>
    <t>TASK DE REPRESENTACAO IMPORTACAO E</t>
  </si>
  <si>
    <t>210.036</t>
  </si>
  <si>
    <t>METAL DURO D6.0MM</t>
  </si>
  <si>
    <t>YV167</t>
  </si>
  <si>
    <t>210.041</t>
  </si>
  <si>
    <t>METAL DURO D14.0MM</t>
  </si>
  <si>
    <t>203111</t>
  </si>
  <si>
    <t>210.049</t>
  </si>
  <si>
    <t>ACO RAPIDO D8X30MM</t>
  </si>
  <si>
    <t>68523</t>
  </si>
  <si>
    <t>210.058</t>
  </si>
  <si>
    <t>METAL DURO D6.0X40MM</t>
  </si>
  <si>
    <t>229000</t>
  </si>
  <si>
    <t>210.060</t>
  </si>
  <si>
    <t>METAL DURO D6.0X50MM</t>
  </si>
  <si>
    <t>17830742</t>
  </si>
  <si>
    <t>210.084</t>
  </si>
  <si>
    <t>ACO RAPIDO D4.0X40MM</t>
  </si>
  <si>
    <t>077093</t>
  </si>
  <si>
    <t>212.022</t>
  </si>
  <si>
    <t>INJETADO ABS PARA POSICIONADORES (RHEIN)</t>
  </si>
  <si>
    <t>218902</t>
  </si>
  <si>
    <t>212.023</t>
  </si>
  <si>
    <t>INJETADO PA440  P/ DISCO DE PROTECAO</t>
  </si>
  <si>
    <t>RHEIN 83 SRL</t>
  </si>
  <si>
    <t>2210000972</t>
  </si>
  <si>
    <t>212.042</t>
  </si>
  <si>
    <t>SUPORTE D4.5 SILICONE INJETADO</t>
  </si>
  <si>
    <t>1054849</t>
  </si>
  <si>
    <t>212.043</t>
  </si>
  <si>
    <t>SUPORTE D6.0 SILICONE INJETADO</t>
  </si>
  <si>
    <t>1041800</t>
  </si>
  <si>
    <t>212.060</t>
  </si>
  <si>
    <t>INJETADO PS PARA BARRA CLIP AZUL</t>
  </si>
  <si>
    <t>166462</t>
  </si>
  <si>
    <t>212.061</t>
  </si>
  <si>
    <t>INJ.POM-CKEPITAL POM F30-03 CLIP AMARELO</t>
  </si>
  <si>
    <t>P200300262</t>
  </si>
  <si>
    <t>212.062</t>
  </si>
  <si>
    <t>INJETADO CAPA CALCINAVEL PS P/CLIP AZUL</t>
  </si>
  <si>
    <t>146930</t>
  </si>
  <si>
    <t>212.104</t>
  </si>
  <si>
    <t>CURETTE SINIO (#1) LONG ALUMINIUM HANDLE</t>
  </si>
  <si>
    <t>9973:001</t>
  </si>
  <si>
    <t>A TITAN INSTRUMENTS</t>
  </si>
  <si>
    <t>212.105</t>
  </si>
  <si>
    <t>CURETTE SINIO (#3) LONG ALUMINIUM HANDLE</t>
  </si>
  <si>
    <t>159644:003</t>
  </si>
  <si>
    <t>212.106</t>
  </si>
  <si>
    <t>CURETTE SINIO (#4) LONG ALUMINIUM HANDLE</t>
  </si>
  <si>
    <t>159644:002</t>
  </si>
  <si>
    <t>212.107</t>
  </si>
  <si>
    <t>CURETTE SINIO (#5) LONG ALUMINIUM HANDLE</t>
  </si>
  <si>
    <t>159644:001</t>
  </si>
  <si>
    <t>212.108</t>
  </si>
  <si>
    <t>CURETTE SINIO (#7) LONG ALUMINIUM HANDLE</t>
  </si>
  <si>
    <t>9667:001</t>
  </si>
  <si>
    <t>212.110</t>
  </si>
  <si>
    <t>PARAFUSO ALLEN ACO INOX 304 M5X20</t>
  </si>
  <si>
    <t>CRV INDUSTRIAL - INDUSTRIA E COM DE</t>
  </si>
  <si>
    <t>336780-1</t>
  </si>
  <si>
    <t>212.111</t>
  </si>
  <si>
    <t>ANEL ACO INOX 302 D0.80XD.INT.6.60 MM</t>
  </si>
  <si>
    <t>66158</t>
  </si>
  <si>
    <t>212.112</t>
  </si>
  <si>
    <t>MOLA ACO INOX 304 D0.80XD.INT.8.9X8.8MM</t>
  </si>
  <si>
    <t>66744</t>
  </si>
  <si>
    <t>212.113</t>
  </si>
  <si>
    <t>MOLA ACO INOX 304 D0.35XD.INT.3.10X15MM</t>
  </si>
  <si>
    <t>72054</t>
  </si>
  <si>
    <t>212.119</t>
  </si>
  <si>
    <t>O-RING SILICONE D1.42XD1.52 VERMELHO</t>
  </si>
  <si>
    <t>110665</t>
  </si>
  <si>
    <t>212.121</t>
  </si>
  <si>
    <t>ESFERA ACO INOX 304 D3.00MM</t>
  </si>
  <si>
    <t>INTEBRA COMERCIAL DE COMPONENTES</t>
  </si>
  <si>
    <t>JVH58</t>
  </si>
  <si>
    <t>212.123</t>
  </si>
  <si>
    <t>LAMINA PARA BISTURI N11</t>
  </si>
  <si>
    <t>220305</t>
  </si>
  <si>
    <t>212.124</t>
  </si>
  <si>
    <t>O-RING PA11 PARA ATTACHMENT BOLA ROSA</t>
  </si>
  <si>
    <t>2204000132</t>
  </si>
  <si>
    <t>212.125</t>
  </si>
  <si>
    <t>O-RING SILICONE D1.19XD1.00MM VERMELHO</t>
  </si>
  <si>
    <t>VL387</t>
  </si>
  <si>
    <t>212.126</t>
  </si>
  <si>
    <t>O-RING SILICONE D2.16XD0.88MM VERMELHO</t>
  </si>
  <si>
    <t>PRESSURE SEALS INC</t>
  </si>
  <si>
    <t>220506110A</t>
  </si>
  <si>
    <t>212.173</t>
  </si>
  <si>
    <t>FUNDO ESTOJO KIT EXTRATOR</t>
  </si>
  <si>
    <t>058902</t>
  </si>
  <si>
    <t>212.175</t>
  </si>
  <si>
    <t>SUP.CHAVE CATRA.BAND.KIT PROT.SILIC.INJ.</t>
  </si>
  <si>
    <t>01/49</t>
  </si>
  <si>
    <t>212.179</t>
  </si>
  <si>
    <t>SUP.CATRACA/SONDA KIT CIRUR.SILICON.INJ.</t>
  </si>
  <si>
    <t>01/50</t>
  </si>
  <si>
    <t>212.180</t>
  </si>
  <si>
    <t>SUP.P/PINCA KIT CIRURG.SILICONE INJ.</t>
  </si>
  <si>
    <t>212.192</t>
  </si>
  <si>
    <t>O-RING PA11 PARA ATTACHMENT EQUATOR ROSA</t>
  </si>
  <si>
    <t>1903001208</t>
  </si>
  <si>
    <t>212.200</t>
  </si>
  <si>
    <t>BLANK BANDEIRINHA ACO INOX 304 7 E 9 MM</t>
  </si>
  <si>
    <t>DUGALE METALURGICA LTDA</t>
  </si>
  <si>
    <t>EEWK3</t>
  </si>
  <si>
    <t>212.214</t>
  </si>
  <si>
    <t>O-RING POM-C EQUATOR VIOLETA (RHEIN)</t>
  </si>
  <si>
    <t>2101000281</t>
  </si>
  <si>
    <t>212.217</t>
  </si>
  <si>
    <t>O-RING PA11 EQUATOR PRETO (RHEIN)</t>
  </si>
  <si>
    <t>WMF97</t>
  </si>
  <si>
    <t>212.238</t>
  </si>
  <si>
    <t>CILINDRO TI ATTAC.EQUATOR C/ O-RING ROSA</t>
  </si>
  <si>
    <t>2001000362</t>
  </si>
  <si>
    <t>2204000137</t>
  </si>
  <si>
    <t>212.244</t>
  </si>
  <si>
    <t>MOLA INOX 304 D0.5.EXT.7XPAS.3.5XCP.40MM</t>
  </si>
  <si>
    <t>35462</t>
  </si>
  <si>
    <t>212.245</t>
  </si>
  <si>
    <t>O-RING SILICONE D10.00X1.00MM VERMELHO</t>
  </si>
  <si>
    <t>44337</t>
  </si>
  <si>
    <t>212.256</t>
  </si>
  <si>
    <t>INJETADO SUPORTE PINCA E CATRACA</t>
  </si>
  <si>
    <t>212.260</t>
  </si>
  <si>
    <t>SUP.CATRA/MART.KIT FACILITY SILIC.INJ.</t>
  </si>
  <si>
    <t>069756</t>
  </si>
  <si>
    <t>085926</t>
  </si>
  <si>
    <t>099809</t>
  </si>
  <si>
    <t>064644</t>
  </si>
  <si>
    <t>212.278</t>
  </si>
  <si>
    <t>083479</t>
  </si>
  <si>
    <t>064427</t>
  </si>
  <si>
    <t>212.280</t>
  </si>
  <si>
    <t>SUPORTE MARTELETE FACILITY SILICONE INJ.</t>
  </si>
  <si>
    <t>089001</t>
  </si>
  <si>
    <t>084818</t>
  </si>
  <si>
    <t>098562</t>
  </si>
  <si>
    <t>212.295</t>
  </si>
  <si>
    <t>BASE EST.KIT CIR.NGS START</t>
  </si>
  <si>
    <t>058442</t>
  </si>
  <si>
    <t>212.296</t>
  </si>
  <si>
    <t>BASE EST.KIT CIR.NGS TITAM.</t>
  </si>
  <si>
    <t>058907</t>
  </si>
  <si>
    <t>083537</t>
  </si>
  <si>
    <t>212.301</t>
  </si>
  <si>
    <t>SUP.GUIA BROCA KIT NEOG.FACILITY.INJ.</t>
  </si>
  <si>
    <t>212.302</t>
  </si>
  <si>
    <t>SUP.GUIA BROCA KIT IMPL.CON.SILIC.INJ.</t>
  </si>
  <si>
    <t>093113</t>
  </si>
  <si>
    <t>212.305</t>
  </si>
  <si>
    <t>FUNDO ESTOJO ALT.40MM USINADO</t>
  </si>
  <si>
    <t>079195</t>
  </si>
  <si>
    <t>084680</t>
  </si>
  <si>
    <t>085559</t>
  </si>
  <si>
    <t>212.319</t>
  </si>
  <si>
    <t>EXTENSOR DE BROCA COM ENGATE RAPIDO</t>
  </si>
  <si>
    <t>HGTV2</t>
  </si>
  <si>
    <t>099084</t>
  </si>
  <si>
    <t>089034</t>
  </si>
  <si>
    <t>212.326</t>
  </si>
  <si>
    <t>BASE ESTOJO CIRURG. COMPACTO IMPLANTE ZI</t>
  </si>
  <si>
    <t>080503</t>
  </si>
  <si>
    <t>097517</t>
  </si>
  <si>
    <t>097261</t>
  </si>
  <si>
    <t>212.345</t>
  </si>
  <si>
    <t>BASE ESTOJO KIT CIR ZIGOM GM</t>
  </si>
  <si>
    <t>092745</t>
  </si>
  <si>
    <t>212.346</t>
  </si>
  <si>
    <t>BASE ESTOJO KIT CIR COMP HELIX GM LG</t>
  </si>
  <si>
    <t>092394</t>
  </si>
  <si>
    <t>212.348</t>
  </si>
  <si>
    <t>FUNDO ESTOJO KIT CIRURGICO COMP CATR</t>
  </si>
  <si>
    <t>092754</t>
  </si>
  <si>
    <t>212.349</t>
  </si>
  <si>
    <t>SUPORTE SONDA ZIGOM SILICONE INJETADO</t>
  </si>
  <si>
    <t>212.350</t>
  </si>
  <si>
    <t>SUPORTE 5 BROCAS ZIGOM SILICONE INJETADO</t>
  </si>
  <si>
    <t>212.352</t>
  </si>
  <si>
    <t>SUPORTE PARA 3 BROCAS SILICONE INJETADO</t>
  </si>
  <si>
    <t>212.353</t>
  </si>
  <si>
    <t>SUPORTE 2 GUIAS BROCA SILICONE INJETADO</t>
  </si>
  <si>
    <t>212.355</t>
  </si>
  <si>
    <t>CORPO MONTADOR/REMOVEDOR DE O-RING</t>
  </si>
  <si>
    <t>215.008</t>
  </si>
  <si>
    <t>ENDURECEDOR PARA TINTAS 700.954.080</t>
  </si>
  <si>
    <t>24102649</t>
  </si>
  <si>
    <t>215.009</t>
  </si>
  <si>
    <t>TINTA BERLAPRINT LILAS PANTONE 520C</t>
  </si>
  <si>
    <t>24401395</t>
  </si>
  <si>
    <t>215.010</t>
  </si>
  <si>
    <t>TINTA BERLAPRINT VERDE RAL 6018</t>
  </si>
  <si>
    <t>24401707</t>
  </si>
  <si>
    <t>215.011</t>
  </si>
  <si>
    <t>TINTA BERLAPRINT AZUL RAL 5015</t>
  </si>
  <si>
    <t>24401880</t>
  </si>
  <si>
    <t>215.012</t>
  </si>
  <si>
    <t>TINTA BERLAPRINT MARROM PANTONE 153C</t>
  </si>
  <si>
    <t>24401394</t>
  </si>
  <si>
    <t>301.069</t>
  </si>
  <si>
    <t>EMB PRIMARIA BLISTER BROCAS CONEX 01 CAV</t>
  </si>
  <si>
    <t>PLASTIBRAS INDUSTRIA DE PLASTICOS L</t>
  </si>
  <si>
    <t>11604</t>
  </si>
  <si>
    <t>65094/01</t>
  </si>
  <si>
    <t>ACC COMERCIO DE EMBALAGENS LTDA</t>
  </si>
  <si>
    <t>23</t>
  </si>
  <si>
    <t>301.083</t>
  </si>
  <si>
    <t>CONJUNTO EMB.PRIMARIA CURETA TAMPA/BASE</t>
  </si>
  <si>
    <t>25</t>
  </si>
  <si>
    <t>301.092</t>
  </si>
  <si>
    <t>FILM TAPE OPP FTB9030190</t>
  </si>
  <si>
    <t>222566</t>
  </si>
  <si>
    <t>215649</t>
  </si>
  <si>
    <t>305.002</t>
  </si>
  <si>
    <t>EMBAL PRIMARIA ENVELOPE DE PAPEL 15 X 35</t>
  </si>
  <si>
    <t>OLGA HITOMI TAKAHASHI MATERIAIS</t>
  </si>
  <si>
    <t>320353/01</t>
  </si>
  <si>
    <t>305.012</t>
  </si>
  <si>
    <t>EMBAL PRIMARIA ENVELOPE DE PAPEL 08 X 25</t>
  </si>
  <si>
    <t>324904/01</t>
  </si>
  <si>
    <t>4632</t>
  </si>
  <si>
    <t>120</t>
  </si>
  <si>
    <t>335.053</t>
  </si>
  <si>
    <t>ETIQUETA PICOTADA BRANCA 6,6X4,4CM</t>
  </si>
  <si>
    <t>4968</t>
  </si>
  <si>
    <t>4337</t>
  </si>
  <si>
    <t>335.205</t>
  </si>
  <si>
    <t>ETIQUETA PRODUTO EM DESENVOLVIMENTO</t>
  </si>
  <si>
    <t>4728</t>
  </si>
  <si>
    <t>335.357</t>
  </si>
  <si>
    <t>ETIQUETA BRANCA 80X48MM</t>
  </si>
  <si>
    <t>4679</t>
  </si>
  <si>
    <t>4560</t>
  </si>
  <si>
    <t>335.482</t>
  </si>
  <si>
    <t>ETIQUETA 30X18MM DEMO NAO USAR HUMAN PT</t>
  </si>
  <si>
    <t>2625</t>
  </si>
  <si>
    <t>335.488</t>
  </si>
  <si>
    <t>ETIQUETA 30X18MM DEMO NAO USAR HUMAN EN</t>
  </si>
  <si>
    <t>2714</t>
  </si>
  <si>
    <t>335.539</t>
  </si>
  <si>
    <t>ETIQUETA BRANCA 28X70MM</t>
  </si>
  <si>
    <t>4731</t>
  </si>
  <si>
    <t>4292</t>
  </si>
  <si>
    <t>504.022</t>
  </si>
  <si>
    <t>LUVA DE NITRILICA BORRACHA GRANDE</t>
  </si>
  <si>
    <t>240404195</t>
  </si>
  <si>
    <t>240404196</t>
  </si>
  <si>
    <t>504.024</t>
  </si>
  <si>
    <t>LUVA DE NITRILICA BORRACHA PEQUENA</t>
  </si>
  <si>
    <t>504.025</t>
  </si>
  <si>
    <t>LUVA DE NITRILICA BORRACHA EXTRA PEQUENA</t>
  </si>
  <si>
    <t>407-24</t>
  </si>
  <si>
    <t>504.046</t>
  </si>
  <si>
    <t>LUVA DE VINIL PEQUENA</t>
  </si>
  <si>
    <t>TVSAH011</t>
  </si>
  <si>
    <t>504.047</t>
  </si>
  <si>
    <t>LUVA DE VINIL MEDIA</t>
  </si>
  <si>
    <t>IVSMB026</t>
  </si>
  <si>
    <t>504.104</t>
  </si>
  <si>
    <t>LUVA DE VINIL GRANDE</t>
  </si>
  <si>
    <t>VB1324</t>
  </si>
  <si>
    <t>4496</t>
  </si>
  <si>
    <t>514.040</t>
  </si>
  <si>
    <t>Pinça Anatômica em Titânio</t>
  </si>
  <si>
    <t>26995</t>
  </si>
  <si>
    <t>HARTE INSTRUMENTOS CIRURGICOS LTDA</t>
  </si>
  <si>
    <t>514.041</t>
  </si>
  <si>
    <t>Pinça Inox</t>
  </si>
  <si>
    <t>HA-204</t>
  </si>
  <si>
    <t>515.021</t>
  </si>
  <si>
    <t>MICRO OLEO ANTICORROSIVO</t>
  </si>
  <si>
    <t>WN159966</t>
  </si>
  <si>
    <t>515.524</t>
  </si>
  <si>
    <t>OLEO PROTETOR PARA MOLDES</t>
  </si>
  <si>
    <t>POLIMOLD INDUSTRIAL S/A</t>
  </si>
  <si>
    <t>055/24</t>
  </si>
  <si>
    <t>522.026</t>
  </si>
  <si>
    <t>ARRUELA DE PRESSAO INOX M4</t>
  </si>
  <si>
    <t>144972</t>
  </si>
  <si>
    <t>533.022</t>
  </si>
  <si>
    <t>ETIQUETA REJEITADO VERMELHA 52X142MM</t>
  </si>
  <si>
    <t>4691</t>
  </si>
  <si>
    <t>2400011617</t>
  </si>
  <si>
    <t>623.011</t>
  </si>
  <si>
    <t>MAT. CONS. ALCOOL ETILICO 70</t>
  </si>
  <si>
    <t>59327</t>
  </si>
  <si>
    <t>623.013</t>
  </si>
  <si>
    <t>ALCOOL ISOPROPILICO</t>
  </si>
  <si>
    <t>16804</t>
  </si>
  <si>
    <t>623.044</t>
  </si>
  <si>
    <t>ADESIVO LOCTITE ANAEROBICO</t>
  </si>
  <si>
    <t>0021</t>
  </si>
  <si>
    <t>0029</t>
  </si>
  <si>
    <t>9998</t>
  </si>
  <si>
    <t>704156</t>
  </si>
  <si>
    <t>ROT UNIV RESIN DENTURE PINK DLP 1L</t>
  </si>
  <si>
    <t>704168</t>
  </si>
  <si>
    <t>ROT UNIV RESIN BITE SPLINT DPL 500ML</t>
  </si>
  <si>
    <t>704356</t>
  </si>
  <si>
    <t>SHRINK POLIOLEFINICO 300MM 30MICRA</t>
  </si>
  <si>
    <t>704429</t>
  </si>
  <si>
    <t>FITA 72MMX1200M 3M SCOTCH 373</t>
  </si>
  <si>
    <t>E226600162</t>
  </si>
  <si>
    <t>4401</t>
  </si>
  <si>
    <t>REAL ODONTOLOGICA INDUSTRIA E COMER</t>
  </si>
  <si>
    <t>100580</t>
  </si>
  <si>
    <t>ESTOJO MODELO ODONTOLÓGICO CLEARCORRECT</t>
  </si>
  <si>
    <t>100582</t>
  </si>
  <si>
    <t>PORTA FOLDER CLEARCORRECT</t>
  </si>
  <si>
    <t>100714</t>
  </si>
  <si>
    <t>ESTUCHE MODELO ODONTOLÓGICO CLEARCORREC</t>
  </si>
  <si>
    <t>EPYL8</t>
  </si>
  <si>
    <t>106000</t>
  </si>
  <si>
    <t>ESCOVA SMILINK COM CASE</t>
  </si>
  <si>
    <t>ORALCLEAR INDUSTRIA E COMERCIO DE</t>
  </si>
  <si>
    <t>340973</t>
  </si>
  <si>
    <t>FRASCO ENVASADO ESMALTE REST. TEMP.</t>
  </si>
  <si>
    <t>YLLER BIOMATERIAIS S.A.</t>
  </si>
  <si>
    <t>704128</t>
  </si>
  <si>
    <t>ROT DENTAL MODEL CLEAR 5L</t>
  </si>
  <si>
    <t>VERSACOLOR ROTULOS E ETIQUETAS ADES</t>
  </si>
  <si>
    <t>704183</t>
  </si>
  <si>
    <t>EMB TRANSP COSMOS RESINS G</t>
  </si>
  <si>
    <t>163301</t>
  </si>
  <si>
    <t>704205</t>
  </si>
  <si>
    <t>EMB CART KIT SHADES</t>
  </si>
  <si>
    <t>27010-002</t>
  </si>
  <si>
    <t>704207</t>
  </si>
  <si>
    <t>EMB. CARD FLOW PACK UNIV RESINS GLAZE</t>
  </si>
  <si>
    <t>30068-001</t>
  </si>
  <si>
    <t>704270</t>
  </si>
  <si>
    <t>GALAO PLASTICO 5L</t>
  </si>
  <si>
    <t>EMPLAS INDUSTRIA DE EMBALAGENS</t>
  </si>
  <si>
    <t>704271</t>
  </si>
  <si>
    <t>FRASCO PLASTICO 1L</t>
  </si>
  <si>
    <t>PXN33</t>
  </si>
  <si>
    <t>704272</t>
  </si>
  <si>
    <t>FRASCO 600ML</t>
  </si>
  <si>
    <t>0024930100</t>
  </si>
  <si>
    <t>704283</t>
  </si>
  <si>
    <t>TAMPA PLASTICA CONTA GOTAS 5ML</t>
  </si>
  <si>
    <t>24150-006</t>
  </si>
  <si>
    <t>704284</t>
  </si>
  <si>
    <t>TETINA BULBO 5ML</t>
  </si>
  <si>
    <t>24150-005</t>
  </si>
  <si>
    <t>704285</t>
  </si>
  <si>
    <t>CANULA DE VIDRO 5ML</t>
  </si>
  <si>
    <t>24150-004</t>
  </si>
  <si>
    <t>IGM RESINS DO BRASIL LTDA</t>
  </si>
  <si>
    <t>Eternal Specialty Materials(Suzhou)</t>
  </si>
  <si>
    <t>704311</t>
  </si>
  <si>
    <t>PIGMENTO BRANQUEADOR ÓTICO</t>
  </si>
  <si>
    <t>DYELUX INDUSTRIA E COMERCIO LTDA</t>
  </si>
  <si>
    <t>704312</t>
  </si>
  <si>
    <t>FOTOINICIADOR OMNIRAD 380</t>
  </si>
  <si>
    <t>0207230648</t>
  </si>
  <si>
    <t>704313</t>
  </si>
  <si>
    <t>PIGMENTO POLASTA S BRANCO 040</t>
  </si>
  <si>
    <t>ASTA QUIMICA LTDA</t>
  </si>
  <si>
    <t>122700</t>
  </si>
  <si>
    <t>704314</t>
  </si>
  <si>
    <t>PIGMENTO POLASTA S MARROM 004</t>
  </si>
  <si>
    <t>123220</t>
  </si>
  <si>
    <t>01/2026</t>
  </si>
  <si>
    <t>SOLUPACK SISTEMAS DE EMBALAGENS LTD</t>
  </si>
  <si>
    <t>704357</t>
  </si>
  <si>
    <t>SHRINK POLIOLEFINICO 500MM 30MICRA</t>
  </si>
  <si>
    <t>25014-1</t>
  </si>
  <si>
    <t>DELTA PACK INDUSTRIA DE MAQUINAS E</t>
  </si>
  <si>
    <t>704384</t>
  </si>
  <si>
    <t>SILMIKRON 1171-900 PST/3</t>
  </si>
  <si>
    <t>V000612002</t>
  </si>
  <si>
    <t>704385</t>
  </si>
  <si>
    <t>DIMETACRILATO DE URETANA (UDMA)</t>
  </si>
  <si>
    <t>820-580</t>
  </si>
  <si>
    <t>Esstech, Inc.</t>
  </si>
  <si>
    <t>704462</t>
  </si>
  <si>
    <t>EMB PLASTICA ALINHADORES PL</t>
  </si>
  <si>
    <t>704669</t>
  </si>
  <si>
    <t>EMB. CART. KIT SMILINK</t>
  </si>
  <si>
    <t>705703</t>
  </si>
  <si>
    <t>EMB. CART. REPOSIÇÃO SMILINK</t>
  </si>
  <si>
    <t>102042100606</t>
  </si>
  <si>
    <t>AFASTADOR LABIAL - EXPANDEX</t>
  </si>
  <si>
    <t>MORDEDOR</t>
  </si>
  <si>
    <t>CORALDENT INDUSTRIA, COMERCIO, IMPO</t>
  </si>
  <si>
    <t>1208112022</t>
  </si>
  <si>
    <t>3934</t>
  </si>
  <si>
    <t>TOTEM PAPEL PROPAGANDA CLEARCORRECT</t>
  </si>
  <si>
    <t>CFFG9</t>
  </si>
  <si>
    <t>OPTAGRAF EDITORA E GRAFICA LTDA</t>
  </si>
  <si>
    <t>GENJ9</t>
  </si>
  <si>
    <t>HNGR9</t>
  </si>
  <si>
    <t>100581</t>
  </si>
  <si>
    <t>QUADRO CLEARCORRECT</t>
  </si>
  <si>
    <t>VISUWOW PROJETOS ESPECIAIS &amp;</t>
  </si>
  <si>
    <t>JZP57</t>
  </si>
  <si>
    <t>GTVC3</t>
  </si>
  <si>
    <t>CORGRAF GRAFICA E EDITORA LTDA</t>
  </si>
  <si>
    <t>100583</t>
  </si>
  <si>
    <t>FOLDER CLEARCORRECT PACIENTE 480.027 </t>
  </si>
  <si>
    <t>GFLK8</t>
  </si>
  <si>
    <t>183EDBB2</t>
  </si>
  <si>
    <t>00014982</t>
  </si>
  <si>
    <t>513610</t>
  </si>
  <si>
    <t>LIMPA VIDROS VEJA VIDREX TRADIC. 500ML</t>
  </si>
  <si>
    <t>COPAPEL COMERCIO E REPRESENTACOES</t>
  </si>
  <si>
    <t>12389302</t>
  </si>
  <si>
    <t>514236</t>
  </si>
  <si>
    <t>LAMINA SEPARADORA (KFR001141)</t>
  </si>
  <si>
    <t>RAPID SHAPE GMBH</t>
  </si>
  <si>
    <t>HTA56</t>
  </si>
  <si>
    <t>514237</t>
  </si>
  <si>
    <t>RESERVATORIO RESINA (RS001493)</t>
  </si>
  <si>
    <t>JTRL7</t>
  </si>
  <si>
    <t>514238</t>
  </si>
  <si>
    <t>PLATAFORMA IMPRESSAO (RS001799)</t>
  </si>
  <si>
    <t>FEM65</t>
  </si>
  <si>
    <t>11.JUL2024</t>
  </si>
  <si>
    <t>514719</t>
  </si>
  <si>
    <t>THINNER 0,900ML 2750</t>
  </si>
  <si>
    <t>AAF831</t>
  </si>
  <si>
    <t>514720</t>
  </si>
  <si>
    <t>ALCOOL 92,8% LIQUIDO</t>
  </si>
  <si>
    <t>101725</t>
  </si>
  <si>
    <t>514739</t>
  </si>
  <si>
    <t>ROLO PERFEX</t>
  </si>
  <si>
    <t>FJXA1</t>
  </si>
  <si>
    <t>185.778</t>
  </si>
  <si>
    <t>GIANT FINISHING</t>
  </si>
  <si>
    <t>JVKV3</t>
  </si>
  <si>
    <t>2304025</t>
  </si>
  <si>
    <t>4996</t>
  </si>
  <si>
    <t>704186</t>
  </si>
  <si>
    <t>EMB TRANSP RESINS G</t>
  </si>
  <si>
    <t>154.832</t>
  </si>
  <si>
    <t>0898720100</t>
  </si>
  <si>
    <t>0457710100</t>
  </si>
  <si>
    <t>704274</t>
  </si>
  <si>
    <t>FRASCO 250ML</t>
  </si>
  <si>
    <t>0839340100</t>
  </si>
  <si>
    <t>704275</t>
  </si>
  <si>
    <t>TAMPA FRASCO 250ML</t>
  </si>
  <si>
    <t>0828420100</t>
  </si>
  <si>
    <t>HB311009</t>
  </si>
  <si>
    <t>27-02-4B</t>
  </si>
  <si>
    <t>704404</t>
  </si>
  <si>
    <t>RIBBON VIDEOJET PRETO UG 55MMX1200M</t>
  </si>
  <si>
    <t>080202156</t>
  </si>
  <si>
    <t>CETEM CENTRO TECNICO DE EMBALAGENS</t>
  </si>
  <si>
    <t>JCT14</t>
  </si>
  <si>
    <t>704494</t>
  </si>
  <si>
    <t>EMBALAGEM TRANSPORTE CC 600X500X100MM</t>
  </si>
  <si>
    <t>HXRN9</t>
  </si>
  <si>
    <t>8961056001</t>
  </si>
  <si>
    <t>54.579</t>
  </si>
  <si>
    <t>704670</t>
  </si>
  <si>
    <t>MANUAL DE USO ALINHADOR SL</t>
  </si>
  <si>
    <t>121231</t>
  </si>
  <si>
    <t>704672</t>
  </si>
  <si>
    <t>SL CASE</t>
  </si>
  <si>
    <t>ADITEK DO BRASIL LTDA</t>
  </si>
  <si>
    <t>MFH95</t>
  </si>
  <si>
    <t>704695</t>
  </si>
  <si>
    <t>ETIQUETA RFID 43X64MM</t>
  </si>
  <si>
    <t>AUTO ADESIVOS PARANA S.A</t>
  </si>
  <si>
    <t>1265964</t>
  </si>
  <si>
    <t>705599</t>
  </si>
  <si>
    <t>ETIQUETA AGUARDANDO 297X210MM</t>
  </si>
  <si>
    <t>4248</t>
  </si>
  <si>
    <t>705600</t>
  </si>
  <si>
    <t>ETIQUETA APROVADO 297X210MM</t>
  </si>
  <si>
    <t>3748</t>
  </si>
  <si>
    <t>705601</t>
  </si>
  <si>
    <t>ETIQUETA REPROVADO 297X210MM</t>
  </si>
  <si>
    <t>4142</t>
  </si>
  <si>
    <t>55.934</t>
  </si>
  <si>
    <t>705785</t>
  </si>
  <si>
    <t>ETIQUETA BRANCA 102X51MM</t>
  </si>
  <si>
    <t>4648</t>
  </si>
  <si>
    <t>707313</t>
  </si>
  <si>
    <t>ZENDURA 35(0.89X125MM)ROUND REF9251</t>
  </si>
  <si>
    <t>2309-255</t>
  </si>
  <si>
    <t>KFNW3</t>
  </si>
  <si>
    <t>707541</t>
  </si>
  <si>
    <t>EMBALAGEM DE TRANSPORTE CC 178X133X130MM</t>
  </si>
  <si>
    <t>167952</t>
  </si>
  <si>
    <t>707563</t>
  </si>
  <si>
    <t>FLYER CLUB SMILINK</t>
  </si>
  <si>
    <t>VLK61</t>
  </si>
  <si>
    <t>707610</t>
  </si>
  <si>
    <t>EMB TRANSP RESINS EXPO 540X1000X1200MM</t>
  </si>
  <si>
    <t>EMBRART IND DE EMBALAGEM E ARTEFATO</t>
  </si>
  <si>
    <t>040442B</t>
  </si>
  <si>
    <t>707806</t>
  </si>
  <si>
    <t>ZENDURA FLX BOBINA 250FT - 9.8"</t>
  </si>
  <si>
    <t>010057</t>
  </si>
  <si>
    <t>STEPHEN GOULD DO BRASIL LTDA</t>
  </si>
  <si>
    <t>707856</t>
  </si>
  <si>
    <t>ZENDURA TRAK 0.38X125MM DIS</t>
  </si>
  <si>
    <t>2401-006</t>
  </si>
  <si>
    <t>708017</t>
  </si>
  <si>
    <t>REBRAND EMB. PATIENT BOX CC</t>
  </si>
  <si>
    <t>KNRV2</t>
  </si>
  <si>
    <t>708018</t>
  </si>
  <si>
    <t>REBRAND EMB. DOCTOR BOX CC</t>
  </si>
  <si>
    <t>157743</t>
  </si>
  <si>
    <t>708019</t>
  </si>
  <si>
    <t>REBRAND EMB. PLASTICAS PARA ALINHADORES</t>
  </si>
  <si>
    <t>JPWL4</t>
  </si>
  <si>
    <t>708020</t>
  </si>
  <si>
    <t>REBRAND ESTOJO PARA ALINHADORES</t>
  </si>
  <si>
    <t>708030</t>
  </si>
  <si>
    <t>REBRAND GUIA DO USUARIO CC</t>
  </si>
  <si>
    <t>155176</t>
  </si>
  <si>
    <t>076957</t>
  </si>
  <si>
    <t>01.05.0001.9</t>
  </si>
  <si>
    <t>SOLT CLEARTEK ACES.P/REMOC.ALINHADOR C/3</t>
  </si>
  <si>
    <t>KPV92</t>
  </si>
  <si>
    <t>20-03885</t>
  </si>
  <si>
    <t>0723A</t>
  </si>
  <si>
    <t>Pla.</t>
  </si>
  <si>
    <t>Dep.</t>
  </si>
  <si>
    <t>Material</t>
  </si>
  <si>
    <t>Número do material</t>
  </si>
  <si>
    <t>Lote</t>
  </si>
  <si>
    <t>Data do vencimento</t>
  </si>
  <si>
    <t>Data prod.</t>
  </si>
  <si>
    <t>Utiliz.livre</t>
  </si>
  <si>
    <t>Nº conta do fornecedor</t>
  </si>
  <si>
    <t>Flag</t>
  </si>
  <si>
    <t>0010</t>
  </si>
  <si>
    <t>0004</t>
  </si>
  <si>
    <t>11896-002</t>
  </si>
  <si>
    <t>11896-004</t>
  </si>
  <si>
    <t>0016</t>
  </si>
  <si>
    <t>Validade</t>
  </si>
  <si>
    <t>TpM</t>
  </si>
  <si>
    <t>506.293</t>
  </si>
  <si>
    <t>V1</t>
  </si>
  <si>
    <t>312.147</t>
  </si>
  <si>
    <t>312.085</t>
  </si>
  <si>
    <t>512.020</t>
  </si>
  <si>
    <t>312.150</t>
  </si>
  <si>
    <t>312.146</t>
  </si>
  <si>
    <t>803.024</t>
  </si>
  <si>
    <t>805.039</t>
  </si>
  <si>
    <t>608.244</t>
  </si>
  <si>
    <t>616.1390</t>
  </si>
  <si>
    <t>801.235</t>
  </si>
  <si>
    <t>801.077</t>
  </si>
  <si>
    <t>533.024</t>
  </si>
  <si>
    <t>517.005</t>
  </si>
  <si>
    <t>504.057</t>
  </si>
  <si>
    <t>703101</t>
  </si>
  <si>
    <t>312.007</t>
  </si>
  <si>
    <t>312.142</t>
  </si>
  <si>
    <t>524.012</t>
  </si>
  <si>
    <t>510.043</t>
  </si>
  <si>
    <t>703264</t>
  </si>
  <si>
    <t>3818</t>
  </si>
  <si>
    <t>505.027</t>
  </si>
  <si>
    <t>707849</t>
  </si>
  <si>
    <t>512.021</t>
  </si>
  <si>
    <t>517.064</t>
  </si>
  <si>
    <t>703908</t>
  </si>
  <si>
    <t>616.1391</t>
  </si>
  <si>
    <t>703917</t>
  </si>
  <si>
    <t>703916</t>
  </si>
  <si>
    <t>703918</t>
  </si>
  <si>
    <t>703914</t>
  </si>
  <si>
    <t>703913</t>
  </si>
  <si>
    <t>703911</t>
  </si>
  <si>
    <t>517.052</t>
  </si>
  <si>
    <t>312.104</t>
  </si>
  <si>
    <t>24895</t>
  </si>
  <si>
    <t>312.112</t>
  </si>
  <si>
    <t>312.028</t>
  </si>
  <si>
    <t>312.043</t>
  </si>
  <si>
    <t>521.197</t>
  </si>
  <si>
    <t>100726</t>
  </si>
  <si>
    <t>100725</t>
  </si>
  <si>
    <t>805.083</t>
  </si>
  <si>
    <t>312.145</t>
  </si>
  <si>
    <t>312.115</t>
  </si>
  <si>
    <t>312.117</t>
  </si>
  <si>
    <t>703905</t>
  </si>
  <si>
    <t>312.030</t>
  </si>
  <si>
    <t>312.020</t>
  </si>
  <si>
    <t>703921</t>
  </si>
  <si>
    <t>703920</t>
  </si>
  <si>
    <t>514698</t>
  </si>
  <si>
    <t>703919</t>
  </si>
  <si>
    <t>703909</t>
  </si>
  <si>
    <t>703910</t>
  </si>
  <si>
    <t>616.432-32</t>
  </si>
  <si>
    <t>312.090</t>
  </si>
  <si>
    <t>335.415</t>
  </si>
  <si>
    <t>803.033</t>
  </si>
  <si>
    <t>606.001</t>
  </si>
  <si>
    <t>616.669</t>
  </si>
  <si>
    <t>608.002</t>
  </si>
  <si>
    <t>703915</t>
  </si>
  <si>
    <t>312.089</t>
  </si>
  <si>
    <t>312.151</t>
  </si>
  <si>
    <t>616.671</t>
  </si>
  <si>
    <t>616.672</t>
  </si>
  <si>
    <t>708386</t>
  </si>
  <si>
    <t>312.143</t>
  </si>
  <si>
    <t>708385</t>
  </si>
  <si>
    <t>708387</t>
  </si>
  <si>
    <t>708384</t>
  </si>
  <si>
    <t>510.065</t>
  </si>
  <si>
    <t>510.074</t>
  </si>
  <si>
    <t>703925</t>
  </si>
  <si>
    <t>708388</t>
  </si>
  <si>
    <t>616.673</t>
  </si>
  <si>
    <t>521.233</t>
  </si>
  <si>
    <t>616.670</t>
  </si>
  <si>
    <t>704755</t>
  </si>
  <si>
    <t>PD</t>
  </si>
  <si>
    <t>335.135</t>
  </si>
  <si>
    <t>335.177</t>
  </si>
  <si>
    <t>335.131</t>
  </si>
  <si>
    <t>212.171</t>
  </si>
  <si>
    <t>704103</t>
  </si>
  <si>
    <t>335.132</t>
  </si>
  <si>
    <t>704104</t>
  </si>
  <si>
    <t>703841</t>
  </si>
  <si>
    <t>521.130</t>
  </si>
  <si>
    <t>703046</t>
  </si>
  <si>
    <t>521.018</t>
  </si>
  <si>
    <t>314169</t>
  </si>
  <si>
    <t>703047</t>
  </si>
  <si>
    <t>703843</t>
  </si>
  <si>
    <t>314170</t>
  </si>
  <si>
    <t>703846</t>
  </si>
  <si>
    <t>522.025</t>
  </si>
  <si>
    <t>522.024</t>
  </si>
  <si>
    <t>521.252</t>
  </si>
  <si>
    <t>521.246</t>
  </si>
  <si>
    <t>521.134</t>
  </si>
  <si>
    <t>521.033</t>
  </si>
  <si>
    <t>704035</t>
  </si>
  <si>
    <t>335.178</t>
  </si>
  <si>
    <t>704298</t>
  </si>
  <si>
    <t>703290</t>
  </si>
  <si>
    <t>313592</t>
  </si>
  <si>
    <t>521.107</t>
  </si>
  <si>
    <t>521.009</t>
  </si>
  <si>
    <t>703845</t>
  </si>
  <si>
    <t>318224</t>
  </si>
  <si>
    <t>707742</t>
  </si>
  <si>
    <t>318222</t>
  </si>
  <si>
    <t>704184</t>
  </si>
  <si>
    <t>704174</t>
  </si>
  <si>
    <t>704166</t>
  </si>
  <si>
    <t>704154</t>
  </si>
  <si>
    <t>704170</t>
  </si>
  <si>
    <t>320535</t>
  </si>
  <si>
    <t>704172</t>
  </si>
  <si>
    <t>704173</t>
  </si>
  <si>
    <t>704185</t>
  </si>
  <si>
    <t>704187</t>
  </si>
  <si>
    <t>083.760</t>
  </si>
  <si>
    <t>312.054</t>
  </si>
  <si>
    <t>704208</t>
  </si>
  <si>
    <t>704206</t>
  </si>
  <si>
    <t>704477</t>
  </si>
  <si>
    <t>705789</t>
  </si>
  <si>
    <t>704448</t>
  </si>
  <si>
    <t>704447</t>
  </si>
  <si>
    <t>301.098</t>
  </si>
  <si>
    <t>704387</t>
  </si>
  <si>
    <t>704388</t>
  </si>
  <si>
    <t>704389</t>
  </si>
  <si>
    <t>704390</t>
  </si>
  <si>
    <t>704176</t>
  </si>
  <si>
    <t>704178</t>
  </si>
  <si>
    <t>704179</t>
  </si>
  <si>
    <t>INMA003710</t>
  </si>
  <si>
    <t>INMA000210</t>
  </si>
  <si>
    <t>313593</t>
  </si>
  <si>
    <t>704475</t>
  </si>
  <si>
    <t>704378</t>
  </si>
  <si>
    <t>704181</t>
  </si>
  <si>
    <t>704182</t>
  </si>
  <si>
    <t>083.757</t>
  </si>
  <si>
    <t>708073</t>
  </si>
  <si>
    <t>704382</t>
  </si>
  <si>
    <t>708021</t>
  </si>
  <si>
    <t>707753</t>
  </si>
  <si>
    <t>INRA025300</t>
  </si>
  <si>
    <t>707975</t>
  </si>
  <si>
    <t>704150</t>
  </si>
  <si>
    <t>708024</t>
  </si>
  <si>
    <t>707696</t>
  </si>
  <si>
    <t>318223</t>
  </si>
  <si>
    <t>341342</t>
  </si>
  <si>
    <t>302.154</t>
  </si>
  <si>
    <t>201.102</t>
  </si>
  <si>
    <t>335.556</t>
  </si>
  <si>
    <t>202.054</t>
  </si>
  <si>
    <t>202.326</t>
  </si>
  <si>
    <t>205.020</t>
  </si>
  <si>
    <t>703021</t>
  </si>
  <si>
    <t>212.354</t>
  </si>
  <si>
    <t>316017</t>
  </si>
  <si>
    <t>316019</t>
  </si>
  <si>
    <t>302.410</t>
  </si>
  <si>
    <t>318125</t>
  </si>
  <si>
    <t>318126</t>
  </si>
  <si>
    <t>301.080</t>
  </si>
  <si>
    <t>316018</t>
  </si>
  <si>
    <t>302.156</t>
  </si>
  <si>
    <t>318127</t>
  </si>
  <si>
    <t>707850</t>
  </si>
  <si>
    <t>705598</t>
  </si>
  <si>
    <t>212.322</t>
  </si>
  <si>
    <t>204.052</t>
  </si>
  <si>
    <t>318129</t>
  </si>
  <si>
    <t>318128</t>
  </si>
  <si>
    <t>335.176</t>
  </si>
  <si>
    <t>703280</t>
  </si>
  <si>
    <t>340183</t>
  </si>
  <si>
    <t>340185</t>
  </si>
  <si>
    <t>340187</t>
  </si>
  <si>
    <t>340189</t>
  </si>
  <si>
    <t>335.148</t>
  </si>
  <si>
    <t>302.155</t>
  </si>
  <si>
    <t>212.356</t>
  </si>
  <si>
    <t>316020</t>
  </si>
  <si>
    <t>704476</t>
  </si>
  <si>
    <t>704386</t>
  </si>
  <si>
    <t>704377</t>
  </si>
  <si>
    <t>704379</t>
  </si>
  <si>
    <t>704381</t>
  </si>
  <si>
    <t>341343</t>
  </si>
  <si>
    <t>314167</t>
  </si>
  <si>
    <t>341337</t>
  </si>
  <si>
    <t>341338</t>
  </si>
  <si>
    <t>341339</t>
  </si>
  <si>
    <t>341340</t>
  </si>
  <si>
    <t>341341</t>
  </si>
  <si>
    <t>704376</t>
  </si>
  <si>
    <t>704276</t>
  </si>
  <si>
    <t>704375</t>
  </si>
  <si>
    <t>704380</t>
  </si>
  <si>
    <t>708452</t>
  </si>
  <si>
    <t>704694</t>
  </si>
  <si>
    <t>704383</t>
  </si>
  <si>
    <t>704391</t>
  </si>
  <si>
    <t>704102</t>
  </si>
  <si>
    <t>335.133</t>
  </si>
  <si>
    <t>701539</t>
  </si>
  <si>
    <t>302.057</t>
  </si>
  <si>
    <t>705762</t>
  </si>
  <si>
    <t>202.066</t>
  </si>
  <si>
    <t>202.084</t>
  </si>
  <si>
    <t>318079</t>
  </si>
  <si>
    <t>212.329</t>
  </si>
  <si>
    <t>131.397</t>
  </si>
  <si>
    <t>019.0703</t>
  </si>
  <si>
    <t>212.351</t>
  </si>
  <si>
    <t>140.032-STM</t>
  </si>
  <si>
    <t>704605</t>
  </si>
  <si>
    <t>342488</t>
  </si>
  <si>
    <t>342487</t>
  </si>
  <si>
    <t>708367</t>
  </si>
  <si>
    <t>708368</t>
  </si>
  <si>
    <t>707969</t>
  </si>
  <si>
    <t>342489</t>
  </si>
  <si>
    <t>707968</t>
  </si>
  <si>
    <t>330762</t>
  </si>
  <si>
    <t>705645</t>
  </si>
  <si>
    <t>705646</t>
  </si>
  <si>
    <t>705661</t>
  </si>
  <si>
    <t>707966</t>
  </si>
  <si>
    <t>707650</t>
  </si>
  <si>
    <t>708371</t>
  </si>
  <si>
    <t>708372</t>
  </si>
  <si>
    <t>707970</t>
  </si>
  <si>
    <t>707971</t>
  </si>
  <si>
    <t>707972</t>
  </si>
  <si>
    <t>707973</t>
  </si>
  <si>
    <t>704351</t>
  </si>
  <si>
    <t>704352</t>
  </si>
  <si>
    <t>707990</t>
  </si>
  <si>
    <t>708370</t>
  </si>
  <si>
    <t>707651</t>
  </si>
  <si>
    <t>707713</t>
  </si>
  <si>
    <t>204.102</t>
  </si>
  <si>
    <t>204.125</t>
  </si>
  <si>
    <t>204.043</t>
  </si>
  <si>
    <t>707987</t>
  </si>
  <si>
    <t>707988</t>
  </si>
  <si>
    <t>707989</t>
  </si>
  <si>
    <t>707991</t>
  </si>
  <si>
    <t>708399</t>
  </si>
  <si>
    <t>707977</t>
  </si>
  <si>
    <t>708003</t>
  </si>
  <si>
    <t>708004</t>
  </si>
  <si>
    <t>302.126</t>
  </si>
  <si>
    <t>616.533-2</t>
  </si>
  <si>
    <t>204.044</t>
  </si>
  <si>
    <t>707925</t>
  </si>
  <si>
    <t>705764</t>
  </si>
  <si>
    <t>707957</t>
  </si>
  <si>
    <t>707958</t>
  </si>
  <si>
    <t>707959</t>
  </si>
  <si>
    <t>707960</t>
  </si>
  <si>
    <t>707961</t>
  </si>
  <si>
    <t>707962</t>
  </si>
  <si>
    <t>707963</t>
  </si>
  <si>
    <t>707964</t>
  </si>
  <si>
    <t>707965</t>
  </si>
  <si>
    <t>707967</t>
  </si>
  <si>
    <t>212.101</t>
  </si>
  <si>
    <t>212.102</t>
  </si>
  <si>
    <t>212.103</t>
  </si>
  <si>
    <t>204.040</t>
  </si>
  <si>
    <t>083.515</t>
  </si>
  <si>
    <t>340184</t>
  </si>
  <si>
    <t>703858</t>
  </si>
  <si>
    <t>707671</t>
  </si>
  <si>
    <t>204.090</t>
  </si>
  <si>
    <t>522.008</t>
  </si>
  <si>
    <t>522.007</t>
  </si>
  <si>
    <t>521.259</t>
  </si>
  <si>
    <t>521.251</t>
  </si>
  <si>
    <t>521.250</t>
  </si>
  <si>
    <t>521.203</t>
  </si>
  <si>
    <t>521.193</t>
  </si>
  <si>
    <t>704057</t>
  </si>
  <si>
    <t>703045</t>
  </si>
  <si>
    <t>521.004</t>
  </si>
  <si>
    <t>330763</t>
  </si>
  <si>
    <t>521.041</t>
  </si>
  <si>
    <t>533.025</t>
  </si>
  <si>
    <t>522.023</t>
  </si>
  <si>
    <t>335.147</t>
  </si>
  <si>
    <t>335.029</t>
  </si>
  <si>
    <t>210.035</t>
  </si>
  <si>
    <t>707371</t>
  </si>
  <si>
    <t>313553</t>
  </si>
  <si>
    <t>707347</t>
  </si>
  <si>
    <t>707793</t>
  </si>
  <si>
    <t>707852</t>
  </si>
  <si>
    <t>708059</t>
  </si>
  <si>
    <t>204.261</t>
  </si>
  <si>
    <t>204.262</t>
  </si>
  <si>
    <t>704350</t>
  </si>
  <si>
    <t>703860</t>
  </si>
  <si>
    <t>704410</t>
  </si>
  <si>
    <t>340188</t>
  </si>
  <si>
    <t>340190</t>
  </si>
  <si>
    <t>707355</t>
  </si>
  <si>
    <t>340186</t>
  </si>
  <si>
    <t>342336</t>
  </si>
  <si>
    <t>704764</t>
  </si>
  <si>
    <t>ND</t>
  </si>
  <si>
    <t>701522</t>
  </si>
  <si>
    <t>302.440</t>
  </si>
  <si>
    <t>607731</t>
  </si>
  <si>
    <t>704765</t>
  </si>
  <si>
    <t>701517</t>
  </si>
  <si>
    <t>701512</t>
  </si>
  <si>
    <t>212.127</t>
  </si>
  <si>
    <t>204.042</t>
  </si>
  <si>
    <t>701535</t>
  </si>
  <si>
    <t>607733</t>
  </si>
  <si>
    <t>302.056</t>
  </si>
  <si>
    <t>201.082</t>
  </si>
  <si>
    <t>701477</t>
  </si>
  <si>
    <t>INMA000310</t>
  </si>
  <si>
    <t>302.010</t>
  </si>
  <si>
    <t>210.089</t>
  </si>
  <si>
    <t>702059</t>
  </si>
  <si>
    <t>302.070</t>
  </si>
  <si>
    <t>707848</t>
  </si>
  <si>
    <t>607732</t>
  </si>
  <si>
    <t>701507</t>
  </si>
  <si>
    <t>701527</t>
  </si>
  <si>
    <t>703912</t>
  </si>
  <si>
    <t>801.034</t>
  </si>
  <si>
    <t>807.015</t>
  </si>
  <si>
    <t>INMA000120</t>
  </si>
  <si>
    <t>320502</t>
  </si>
  <si>
    <t>517.131</t>
  </si>
  <si>
    <t>314168</t>
  </si>
  <si>
    <t>708029</t>
  </si>
  <si>
    <t>302.015</t>
  </si>
  <si>
    <t>704754</t>
  </si>
  <si>
    <t>704762</t>
  </si>
  <si>
    <t>704449</t>
  </si>
  <si>
    <t>320503</t>
  </si>
  <si>
    <t>320501</t>
  </si>
  <si>
    <t>320500</t>
  </si>
  <si>
    <t>607520</t>
  </si>
  <si>
    <t>605708</t>
  </si>
  <si>
    <t>605844</t>
  </si>
  <si>
    <t>314164</t>
  </si>
  <si>
    <t>314166</t>
  </si>
  <si>
    <t>314165</t>
  </si>
  <si>
    <t>521.131</t>
  </si>
  <si>
    <t>521.001</t>
  </si>
  <si>
    <t>704042</t>
  </si>
  <si>
    <t>302.441</t>
  </si>
  <si>
    <t>316013</t>
  </si>
  <si>
    <t>318225</t>
  </si>
  <si>
    <t>707860</t>
  </si>
  <si>
    <t>INMA000410</t>
  </si>
  <si>
    <t>704609</t>
  </si>
  <si>
    <t>702130</t>
  </si>
  <si>
    <t>707881</t>
  </si>
  <si>
    <t>INMA048320</t>
  </si>
  <si>
    <t>705794</t>
  </si>
  <si>
    <t>INMA000110</t>
  </si>
  <si>
    <t>302.442</t>
  </si>
  <si>
    <t>708102</t>
  </si>
  <si>
    <t>212.199</t>
  </si>
  <si>
    <t>335.063</t>
  </si>
  <si>
    <t>517.148</t>
  </si>
  <si>
    <t>Tipo</t>
  </si>
  <si>
    <t>NOVA PIRAMIDAL THERMOPLASTICS SA</t>
  </si>
  <si>
    <t>MEGA ROTULOS COMERCIO E DISTRIBUICA</t>
  </si>
  <si>
    <t>COLORMIX INDUSTRIA E COMERCIO</t>
  </si>
  <si>
    <t>Cód fornecedor</t>
  </si>
  <si>
    <t>Fornecedor</t>
  </si>
  <si>
    <t>Novo planejador</t>
  </si>
  <si>
    <t>Origem</t>
  </si>
  <si>
    <t>Frequencia de entrega</t>
  </si>
  <si>
    <t>Política</t>
  </si>
  <si>
    <t>FAMÍLIA</t>
  </si>
  <si>
    <t>Família Processo</t>
  </si>
  <si>
    <t>Base de Cálculo</t>
  </si>
  <si>
    <t>805.036</t>
  </si>
  <si>
    <t>3Z FITABRAS FITAS E ABRASIVOS</t>
  </si>
  <si>
    <t>Rafael</t>
  </si>
  <si>
    <t>Nacional</t>
  </si>
  <si>
    <t>FITAS</t>
  </si>
  <si>
    <t>PRODUÇÃO</t>
  </si>
  <si>
    <t>Consumo médio</t>
  </si>
  <si>
    <t>Gabriela</t>
  </si>
  <si>
    <t>Importado</t>
  </si>
  <si>
    <t>EM DESENVOLVIMENTO</t>
  </si>
  <si>
    <t xml:space="preserve">Maior entre </t>
  </si>
  <si>
    <t>DYNAMET INC</t>
  </si>
  <si>
    <t>TITÂNIO</t>
  </si>
  <si>
    <t>PROD USINAGEM</t>
  </si>
  <si>
    <t>Plano de Produção</t>
  </si>
  <si>
    <t>POLÍMEROS USINADOS</t>
  </si>
  <si>
    <t>VERIFCAR ONDE É USADO</t>
  </si>
  <si>
    <t>ACOS BOHLER - UDDEHOLM DO BRASIL</t>
  </si>
  <si>
    <t>AÇO IMPORTADO</t>
  </si>
  <si>
    <t xml:space="preserve">ACTIVAS PLASTICOS INDUSTRIAIS LTDA </t>
  </si>
  <si>
    <t>POLÍMEROS INJETADOS</t>
  </si>
  <si>
    <t>PROD INJETORA</t>
  </si>
  <si>
    <t>SMILINK</t>
  </si>
  <si>
    <t>PROD CLEAR</t>
  </si>
  <si>
    <t>ALEGRAF GRAFICA E EDITORA - ME</t>
  </si>
  <si>
    <t>PHASE OUT</t>
  </si>
  <si>
    <t>DIVERSOS</t>
  </si>
  <si>
    <t>NA</t>
  </si>
  <si>
    <t>704269</t>
  </si>
  <si>
    <t>COMPONENTE NÃO METÁLICO</t>
  </si>
  <si>
    <t>PROD MONTAGEM</t>
  </si>
  <si>
    <t>PROD TRS</t>
  </si>
  <si>
    <t>212.241</t>
  </si>
  <si>
    <t>212.240</t>
  </si>
  <si>
    <t xml:space="preserve">AMCOR FLEXIBLES BRASIL LTDA        </t>
  </si>
  <si>
    <t>EMBALAGEM</t>
  </si>
  <si>
    <t>PROD SALA LIMPA</t>
  </si>
  <si>
    <t>APACHE EMBALAGENS PLASTICAS</t>
  </si>
  <si>
    <t>SACO PLÁSTICO</t>
  </si>
  <si>
    <t>PROD PACKING</t>
  </si>
  <si>
    <t>APM BEVERVANSO PLASTICOS EIRELI</t>
  </si>
  <si>
    <t>PIGMENTO RESINA</t>
  </si>
  <si>
    <t>PROD RESINA</t>
  </si>
  <si>
    <t>RESINA</t>
  </si>
  <si>
    <t>ETIQUETAS</t>
  </si>
  <si>
    <t>AVATAR MARQUES ZAHDI 07321493989</t>
  </si>
  <si>
    <t>INDIRETO</t>
  </si>
  <si>
    <t>PROD MANUTENÇÃO</t>
  </si>
  <si>
    <t>CAIXAS</t>
  </si>
  <si>
    <t>LOGíSTICA</t>
  </si>
  <si>
    <t>LOGÍSTICA</t>
  </si>
  <si>
    <t>PROD. ESTERELIZAÇÃO</t>
  </si>
  <si>
    <t xml:space="preserve">CETEM CENTRO TECNICO </t>
  </si>
  <si>
    <t>CHEIRO DE SAUDADE COM FLORES E</t>
  </si>
  <si>
    <t>204.245</t>
  </si>
  <si>
    <t>CONCORDE LOGISTICA &amp; DISTRIBUI</t>
  </si>
  <si>
    <t>LIMPEZA</t>
  </si>
  <si>
    <t>EPI</t>
  </si>
  <si>
    <t>CONTRISO GESTOES VISUAIS LTDA</t>
  </si>
  <si>
    <t>TREINAMENTO E EDUCAÇÃO</t>
  </si>
  <si>
    <t>CRV INDUSTRIAL - INDUSTRIA E COM DE FIXADORES E FERRAMENTAS LTDA</t>
  </si>
  <si>
    <t>SPARE PARTS</t>
  </si>
  <si>
    <t>ALINHADOR</t>
  </si>
  <si>
    <t>DELTA PACK INDUSTRIA DE MAQUIN</t>
  </si>
  <si>
    <t>Plano de produção</t>
  </si>
  <si>
    <t>DIALEVER DIST. DE PRODUTOS</t>
  </si>
  <si>
    <t>AÇO NACIONAL</t>
  </si>
  <si>
    <t>DMK COMERCIAL - EIRELI</t>
  </si>
  <si>
    <t>COMPONENTE METÁLICO</t>
  </si>
  <si>
    <t xml:space="preserve">DYELUX INDUSTRIA </t>
  </si>
  <si>
    <t>VOESTALPINE BOHLER EDELSTAHL GMBH &amp;</t>
  </si>
  <si>
    <t>SEMI ACABADOS</t>
  </si>
  <si>
    <t>EMBLIMA IND E COMERCIO DE PLASTICOS</t>
  </si>
  <si>
    <t>703850</t>
  </si>
  <si>
    <t>FABRICA DE ESCOVAS TATUAPE LTDA</t>
  </si>
  <si>
    <t>PROD AFIAÇÃO</t>
  </si>
  <si>
    <t>PROD ACABAMENTO</t>
  </si>
  <si>
    <t>SANTA RITA - COMERCIO DE ABRAS</t>
  </si>
  <si>
    <t>CURSOS / MKT</t>
  </si>
  <si>
    <t>132.016</t>
  </si>
  <si>
    <t>SLICELAB LABORATORIO DE PROTESE DIG</t>
  </si>
  <si>
    <t>120.074</t>
  </si>
  <si>
    <t>312.154</t>
  </si>
  <si>
    <t>GOTA ADESIVOS E FITAS LTDA</t>
  </si>
  <si>
    <t>PROD ROTULAGEM</t>
  </si>
  <si>
    <t>QUALIDADE</t>
  </si>
  <si>
    <t>ESTOJOS</t>
  </si>
  <si>
    <t>Maior entre</t>
  </si>
  <si>
    <t>212.239</t>
  </si>
  <si>
    <t>212.093</t>
  </si>
  <si>
    <t>Institut Straumann SA</t>
  </si>
  <si>
    <t>Internacional</t>
  </si>
  <si>
    <t>ISABELLA TOFANELLI FERREIRA</t>
  </si>
  <si>
    <t>J. PROLAB INDUSTRIA E COMERCIO DE</t>
  </si>
  <si>
    <t>CARTONADAS</t>
  </si>
  <si>
    <t>702974</t>
  </si>
  <si>
    <t>702973</t>
  </si>
  <si>
    <t>302.412</t>
  </si>
  <si>
    <t>302.098</t>
  </si>
  <si>
    <t>302.071</t>
  </si>
  <si>
    <t xml:space="preserve">KINGRAF INDUSTRIA GRAFICA LTDA     </t>
  </si>
  <si>
    <t>Forecast</t>
  </si>
  <si>
    <t>LUCIMARA BELNIOWSKI BURKOTH</t>
  </si>
  <si>
    <t>PROD MODULA</t>
  </si>
  <si>
    <t xml:space="preserve">A TITAN </t>
  </si>
  <si>
    <t>MP - COMERCIO DE ACRILICOS E P</t>
  </si>
  <si>
    <t>neodent</t>
  </si>
  <si>
    <t>Prod. Clear</t>
  </si>
  <si>
    <t>NITAPLAST IND E COM DE PLASTICOS</t>
  </si>
  <si>
    <t>204.124</t>
  </si>
  <si>
    <t>A definir</t>
  </si>
  <si>
    <t>204.078</t>
  </si>
  <si>
    <t>204.069</t>
  </si>
  <si>
    <t>204.060</t>
  </si>
  <si>
    <t>QUALIFILME EMBALAGENS LTDA</t>
  </si>
  <si>
    <t>120.092</t>
  </si>
  <si>
    <t>A DEFINIR</t>
  </si>
  <si>
    <t>120.082</t>
  </si>
  <si>
    <t>QUIMINUTRI COMERCIO DE ESPECIALIDAD</t>
  </si>
  <si>
    <t>REPLAS COMERCIO DE RESINAS PLASTICA</t>
  </si>
  <si>
    <t>AÇO IMPORTADO - Make to order</t>
  </si>
  <si>
    <t>TINTAS</t>
  </si>
  <si>
    <t>Sem fornecedor</t>
  </si>
  <si>
    <t>VERSACOLOR ROTULOS E ETIQUETAS ADESIVAS</t>
  </si>
  <si>
    <t>REALUM INDUSTRIA</t>
  </si>
  <si>
    <t>SEM HISTÓRICO</t>
  </si>
  <si>
    <t>205.003</t>
  </si>
  <si>
    <t>205.002</t>
  </si>
  <si>
    <t>SITU INDUSTRIA E COMERCIO DE</t>
  </si>
  <si>
    <t>SOLUPACK SISTEMAS DE EMBALAGENS</t>
  </si>
  <si>
    <t>SOMA SUL EQUIPAMENTOS LTDA</t>
  </si>
  <si>
    <t>SQ QUIMICA IMPORTADORA DISTRIBUIDORA DE</t>
  </si>
  <si>
    <t>STUDY MODELS COMERCIO DE MANEQUINS</t>
  </si>
  <si>
    <t>TASK</t>
  </si>
  <si>
    <t>TIPOTIL INDUSTRIA GRAFICA LTDA</t>
  </si>
  <si>
    <t>TRNS COMERCIO DE EMBALAGENS LTDA</t>
  </si>
  <si>
    <t>PROD HIGIENIZAÇÃO</t>
  </si>
  <si>
    <t>VOGA COM E REP DE CORREIAS</t>
  </si>
  <si>
    <t>WURTH DO BRASIL PECAS DE FIXA</t>
  </si>
  <si>
    <t>GUYSON CORPORATION OF USA</t>
  </si>
  <si>
    <t>SUNNYVALE COMERCIO</t>
  </si>
  <si>
    <t>TYROLIT DO BRASIL LTDA</t>
  </si>
  <si>
    <t>516194</t>
  </si>
  <si>
    <t>CRIOS INDUSTRIAL LTDA</t>
  </si>
  <si>
    <t>516195</t>
  </si>
  <si>
    <t>516550</t>
  </si>
  <si>
    <t>516551</t>
  </si>
  <si>
    <t>MORD-Q</t>
  </si>
  <si>
    <t>PACIFIC RESEARCH LABORATORIES</t>
  </si>
  <si>
    <t>Straumann USA, LLC</t>
  </si>
  <si>
    <t>PROD CADCAM</t>
  </si>
  <si>
    <t>516336</t>
  </si>
  <si>
    <t>212.269</t>
  </si>
  <si>
    <t>607105</t>
  </si>
  <si>
    <t>212.272</t>
  </si>
  <si>
    <t>Bay Material</t>
  </si>
  <si>
    <t>WIMAN CORP</t>
  </si>
  <si>
    <t>Eternal Specialty Materials Co., Lt</t>
  </si>
  <si>
    <t>Envio intercompany</t>
  </si>
  <si>
    <t>MASTER POLYMERS LTDA</t>
  </si>
  <si>
    <t>LOOPSMOL INDUSTRIA</t>
  </si>
  <si>
    <t>FERRAMENTAS GERAIS COMERCIO E IMPORTACAO</t>
  </si>
  <si>
    <t>BRUSON METALURGICA LTDA</t>
  </si>
  <si>
    <t>ORBITAL BONE</t>
  </si>
  <si>
    <t>STERILERIGHT PACKAGING MFG INC</t>
  </si>
  <si>
    <t>PRODUÇÃO CLEAR</t>
  </si>
  <si>
    <t>MARABU DO BRASIL IMPORTACAO E EXPOR</t>
  </si>
  <si>
    <t>703906</t>
  </si>
  <si>
    <t>707824</t>
  </si>
  <si>
    <t>LOGÍSTICA CLEAR</t>
  </si>
  <si>
    <t>Comentário</t>
  </si>
  <si>
    <t>✔️</t>
  </si>
  <si>
    <t>Check</t>
  </si>
  <si>
    <t>✖️</t>
  </si>
  <si>
    <t>Validade de 4 anos foi arrumada para sem validade</t>
  </si>
  <si>
    <t>Validade arrumada como sem validade</t>
  </si>
  <si>
    <t>Sem Validade(Confirmar com fornecedor)</t>
  </si>
  <si>
    <t>Validade de 1ano(Verificar dúvida)</t>
  </si>
  <si>
    <t>Responsável</t>
  </si>
  <si>
    <t>Validade de 2anos(Verificar dúvida)</t>
  </si>
  <si>
    <t>Verificar validade com fornecedor</t>
  </si>
  <si>
    <t>UMB</t>
  </si>
  <si>
    <t>Texto breve de material</t>
  </si>
  <si>
    <r>
      <t xml:space="preserve">Responsável
</t>
    </r>
    <r>
      <rPr>
        <b/>
        <i/>
        <sz val="8"/>
        <color theme="0"/>
        <rFont val="Aptos Narrow"/>
        <family val="2"/>
        <scheme val="minor"/>
      </rPr>
      <t>(fórmula)</t>
    </r>
  </si>
  <si>
    <t>Controle de validade</t>
  </si>
  <si>
    <t>Sim</t>
  </si>
  <si>
    <t>Não</t>
  </si>
  <si>
    <t>Comentario</t>
  </si>
  <si>
    <t>Validade 5ANOS</t>
  </si>
  <si>
    <t>Validade 1ANO</t>
  </si>
  <si>
    <t>Validade 3MESES</t>
  </si>
  <si>
    <t>Tmp.valid.restante 1</t>
  </si>
  <si>
    <t>Validade 2ANOS | Tmp.valid.restante</t>
  </si>
  <si>
    <t>3meses</t>
  </si>
  <si>
    <t>PC</t>
  </si>
  <si>
    <t>MM</t>
  </si>
  <si>
    <t>KG</t>
  </si>
  <si>
    <t>TUBO DE SILICONE D2.2XD1.0MM</t>
  </si>
  <si>
    <t>G</t>
  </si>
  <si>
    <t>ESCOVA EM REGUA DE PP E CERDAS DE NYLON</t>
  </si>
  <si>
    <t>BICO CERAMICA GUYSON (TRATAM SUPERFICIE)</t>
  </si>
  <si>
    <t>LAMPADA XENOPHOT 64634 HLX EFR 15V 150W</t>
  </si>
  <si>
    <t>UNIDADE LOGISTICA MASTER C.N.</t>
  </si>
  <si>
    <t>EMBALAGEM TRANSPORTE NIVEL I 439X393X176</t>
  </si>
  <si>
    <t>SACO ZIPER- GG - 30 ALT x 40 LAR C/ 100</t>
  </si>
  <si>
    <t>PAPEL WIPER 23X23</t>
  </si>
  <si>
    <t>CAIXA PAPELAO 60x40x40 PAR FOLHA DUP EST</t>
  </si>
  <si>
    <t>ENVELOPE MALOTE INTERNO</t>
  </si>
  <si>
    <t>BOX KIT DEMONSTRACAO PORTFOLIO EF</t>
  </si>
  <si>
    <t>PP-POLIPROPILENO 25X115X185MM</t>
  </si>
  <si>
    <t>PP-POLIPROPILENO ADITI.31.8X1016MMBRANCO</t>
  </si>
  <si>
    <t>ARRUELA LISA POLIDA / ACO ZINCADO 12MM</t>
  </si>
  <si>
    <t>ARRUELA LISA  M4</t>
  </si>
  <si>
    <t>ARRUELA LISA 03 INOX</t>
  </si>
  <si>
    <t>PORCA SEXTAVADA M4</t>
  </si>
  <si>
    <t>PF A.ATAR CB CHATA PHILIPS D3.5X9.5 I304</t>
  </si>
  <si>
    <t>PF A.ATAR CB CHATA PHILIPS D4.8X19 IN304</t>
  </si>
  <si>
    <t>PARAFUSO ALLEN C/ CAB CHATA INOX M3X20</t>
  </si>
  <si>
    <t>PARAFUSO ALLEN S\ CAB M4X4</t>
  </si>
  <si>
    <t>PORCA SEXTAVADA M3,00</t>
  </si>
  <si>
    <t>PARAFUSO ALLEN C/ CAB CHATA M3X10</t>
  </si>
  <si>
    <t>PARAFUSO ALLEN C/ CAB CIL M5X30</t>
  </si>
  <si>
    <t>PARAFUSO ALLEN INOX C/ CAB CIL M4X6</t>
  </si>
  <si>
    <t>METAL DURO D8.0X40MM</t>
  </si>
  <si>
    <t>TITANIO 4TITUDE D4.00MM</t>
  </si>
  <si>
    <t>ARRUELA DE PRESSAO INOX M5</t>
  </si>
  <si>
    <t>ARRUELA DE PRESSAO INOX M3</t>
  </si>
  <si>
    <t>PORCA BORBOLETA INOX 304</t>
  </si>
  <si>
    <t>PARAF CAB PAN PHILIPS M3X8 DIN 7985 INOX</t>
  </si>
  <si>
    <t>PORCA SEXTAVADA M6,00</t>
  </si>
  <si>
    <t>PARAFUSO ALLEN C/ CAB CIL M10X25 INOX</t>
  </si>
  <si>
    <t>ACO INOX 304 D101.60X45MM</t>
  </si>
  <si>
    <t>ACO INOX M340 D25.40MM</t>
  </si>
  <si>
    <t>PORCA SEXTAVADA MA 4.00MM INOX 304</t>
  </si>
  <si>
    <t>ALUMINIO AA6351-T6 D22.22MM</t>
  </si>
  <si>
    <t>ROT.EMB.CART. 200X250X100 NEODENT PROMO</t>
  </si>
  <si>
    <t>ETIQUETA MADE IN BRAZIL</t>
  </si>
  <si>
    <t>EMB PRIM CONJ EMBAL COMP OURO TAMPA/BASE</t>
  </si>
  <si>
    <t>ETIQUETA PESQUISA EM ANIMAIS</t>
  </si>
  <si>
    <t>ETIQUETA PESQUISA EM HUMANOS</t>
  </si>
  <si>
    <t>ETIQUETA EXCLUSIVELY FOR CLINICAL INV.</t>
  </si>
  <si>
    <t>BASE ESTOJO KIT CIR COMP IMP ZI 4.3/5.0</t>
  </si>
  <si>
    <t>BASE ESTOJO PROTETICO GM CC PSU POLISULF</t>
  </si>
  <si>
    <t>TERMO-INJETAVEL COC 6013***</t>
  </si>
  <si>
    <t>MODULO ZI</t>
  </si>
  <si>
    <t>ROTULAGEM EMB DRIVE CM ACQUA SEM CE</t>
  </si>
  <si>
    <t>ETIQUETA VENEZUELA CHAVES CONEXOES CURUR</t>
  </si>
  <si>
    <t>ETIQUETA VENEZUELA IMPLANTE ZIGOMATICO</t>
  </si>
  <si>
    <t>ETIQUETA VENEZUELA CICATRIZADOR</t>
  </si>
  <si>
    <t>ETIQUETA VENEZUELA BROCAS</t>
  </si>
  <si>
    <t>ETIQUETA VENEZUELA INSTRUMENTAIS TITANIO</t>
  </si>
  <si>
    <t>ETIQUETA VENEZUELA CHAVES</t>
  </si>
  <si>
    <t>ETIQUETA VENEZUELA IMPLANTES</t>
  </si>
  <si>
    <t>ETIQUETA VENEZUELA ANCORAGEM</t>
  </si>
  <si>
    <t>FUNDO ESTOJO CIRURGICO PSU</t>
  </si>
  <si>
    <t>EMB CART IMPLANTE ALVIM CM 50X103X32 MM</t>
  </si>
  <si>
    <t>EMB CART IMPLANTE ALVIM TI 50X103X32 MM</t>
  </si>
  <si>
    <t>EMB CART IMPL ALVIM II PLUS 50X103X32 MM</t>
  </si>
  <si>
    <t>BASE TRANSPORTADORA 03</t>
  </si>
  <si>
    <t>BASE TRANSPORTADORA 04</t>
  </si>
  <si>
    <t>BASE TRANSPORTADORA 01</t>
  </si>
  <si>
    <t>MODULO MACRO GRAND MORSE (5X)</t>
  </si>
  <si>
    <t>UN</t>
  </si>
  <si>
    <t>CD EMB. CART. IMPLANTE CF DEMO</t>
  </si>
  <si>
    <t>TRITAN MX731</t>
  </si>
  <si>
    <t>ETIQUETA DESTRUTIVEL PARA KITS</t>
  </si>
  <si>
    <t>BOX KIT DEMONSTRACAO PORTFOLIO CF</t>
  </si>
  <si>
    <t>ETIQUETA SRBB 25X22MM</t>
  </si>
  <si>
    <t>CORPO IMPLANTE DE ZIRCONIA 4.3X8</t>
  </si>
  <si>
    <t>CORPO IMPLANTE DE ZIRCONIA 5.0X8</t>
  </si>
  <si>
    <t>CORPO IMPLANTE DE ZIRCONIA 5.0X10</t>
  </si>
  <si>
    <t>CORPO IMPLANTE DE ZIRCONIA 5.0X11.5</t>
  </si>
  <si>
    <t>CORPO IMPLANTE DE ZIRCONIA 5.0X13</t>
  </si>
  <si>
    <t>C. BASE DE ZIRCONIA ROTACIONAL 3.75X4.5</t>
  </si>
  <si>
    <t>C. BASE DE ZIRCONIA ROTACIONAL 3.75X3.5</t>
  </si>
  <si>
    <t>C. BASE DE ZIRCONIA ROTACIONAL 3.75X2.5</t>
  </si>
  <si>
    <t>C. BASE DE ZIRCONIA ROTACIONAL 3.75X1.5</t>
  </si>
  <si>
    <t>C. BASE DE ZIRCONIA ROTACIONAL 4.5X4.5</t>
  </si>
  <si>
    <t>C. BASE DE ZIRCONIA ROTACIONAL 4.5X3.5</t>
  </si>
  <si>
    <t>C. BASE DE ZIRCONIA ROTACIONAL 4.5X2.5</t>
  </si>
  <si>
    <t>C. BASE DE ZIRCONIA ROTACIONAL 4.5X1.5</t>
  </si>
  <si>
    <t>CORPO BASE DE ZIRCONIA 4.5X4.5</t>
  </si>
  <si>
    <t>CORPO BASE DE ZIRCONIA C 3.5</t>
  </si>
  <si>
    <t>CORPO BASE DE ZIRCONIA C 4.5</t>
  </si>
  <si>
    <t>C BASE DE ZIRCONIA 3.75X4.0X2.5</t>
  </si>
  <si>
    <t>EMB. CART. DEMO IMPLANTE HELIX NGM</t>
  </si>
  <si>
    <t>ACO INOX 455 D15.8MM</t>
  </si>
  <si>
    <t>ACO INOX 455 D25.40MM</t>
  </si>
  <si>
    <t>METAL DURO D10.0X70MM</t>
  </si>
  <si>
    <t>EMB. CART. IMPLANTE ALVIM II PLUS ACQUA</t>
  </si>
  <si>
    <t>EMB. CART. IMPLANTE TITAMAX WS MEDULAR</t>
  </si>
  <si>
    <t>EMB CART IMPLANTE ANCORAGEM ORTODONTICA</t>
  </si>
  <si>
    <t>INJETADO SUPORTE P/ 7 GUIAS DE BROCA NGS</t>
  </si>
  <si>
    <t>SUP.SEL.PROTETICA CM ANAT.SILICONE INJ.</t>
  </si>
  <si>
    <t>SUP.SEL.PROTETICA CM 4.5 SILICONE INJ.</t>
  </si>
  <si>
    <t>SUP.SEL.PROTETICA CM 3.3 SILICONE INJ.</t>
  </si>
  <si>
    <t>TUBO DE SILICONE D5.0XD3.0MM</t>
  </si>
  <si>
    <t>TUBO DE SILICONE D3.2XD2.0MM</t>
  </si>
  <si>
    <t>FITA DE SILICONE 7.0X20.0MM</t>
  </si>
  <si>
    <t>PF.AUTO-ATAR.PAN.FEND.INOX 304 3.9X9.5MM</t>
  </si>
  <si>
    <t>POLI.POM-POLIOXIMETILENO D15.8MM CINZA</t>
  </si>
  <si>
    <t>PIGMENTO MASTERBATCH AZUL PP E POM</t>
  </si>
  <si>
    <t>L</t>
  </si>
  <si>
    <t>BICO CERAMICA D7.9MM (ACABAMENTO SABUGO)</t>
  </si>
  <si>
    <t>LAMPADA HALOGEMA DICROICA 50W - 130V</t>
  </si>
  <si>
    <t>LUVA DE NITRILICA BORRACHA EXTRA GRANDE</t>
  </si>
  <si>
    <t>TUBO DE SILICONE D2.4XD1.5MM</t>
  </si>
  <si>
    <t>PARAFUSO ALLEN INOX C/ CAB CIL M5X30</t>
  </si>
  <si>
    <t>PARAFUSO ALLEN C/ CAB CIL M3X20</t>
  </si>
  <si>
    <t>CX</t>
  </si>
  <si>
    <t>ALGODAO HIDROFILO C/500G</t>
  </si>
  <si>
    <t>CAPA PROTECAO PINCA PARAFUSADEIRA</t>
  </si>
  <si>
    <t>PLACA RODAC 60X10MM SEM DIVISORIA</t>
  </si>
  <si>
    <t>REBOLO ART 152,4x19x31,75  FE 38 A120K</t>
  </si>
  <si>
    <t>CINTA DE LIXA</t>
  </si>
  <si>
    <t>SUPORTE 5 BROCAS CHAVE ZIGO SILICONE INJ</t>
  </si>
  <si>
    <t>BUCHA DISP. MONT. IMP. TRS AMARELO 3.9</t>
  </si>
  <si>
    <t>BOX KIT DEMONSTRACAO PORTFOLIO IF</t>
  </si>
  <si>
    <t>ESTOJO NEODENT MACRO GM MOD P-021 CINZA</t>
  </si>
  <si>
    <t>coron Mat-ID=526 redondo 98.3 x 15mm</t>
  </si>
  <si>
    <t>LIXA DAGUA GR1500</t>
  </si>
  <si>
    <t>LIXA FERRO GR100</t>
  </si>
  <si>
    <t>CABO DE BISTURI</t>
  </si>
  <si>
    <t>PAC</t>
  </si>
  <si>
    <t>ETIQ BC 99X139 SEM IMPRES(PAPEL COUCHE)</t>
  </si>
  <si>
    <t>BUCHA DISP. MONT. IMP. TRS AZUL 5.0</t>
  </si>
  <si>
    <t>PASTA BRANCA PARA POLIMENTO</t>
  </si>
  <si>
    <t>RODA CONVOLUTA SFN 25X150 F25(FINA)</t>
  </si>
  <si>
    <t>LAMPADA XENOPHOT HLX64640 150W 24V G6,35</t>
  </si>
  <si>
    <t>JALECO TNT DESCARTAVEL</t>
  </si>
  <si>
    <t>ETIQUETA PRODUTOS REVISADO</t>
  </si>
  <si>
    <t>UNIDADE LOGISTICA MASTER C.A.</t>
  </si>
  <si>
    <t>SACO ZODY PACK N§6 12 X 17</t>
  </si>
  <si>
    <t>SACO PLASTICO 40X60MM</t>
  </si>
  <si>
    <t>SACO ZIPER - PP - 10 ALT x 07 LAR</t>
  </si>
  <si>
    <t>INJETADO PU MANDIBULA</t>
  </si>
  <si>
    <t>LIXA FERRO GR220</t>
  </si>
  <si>
    <t>LIXA FERRO GR50</t>
  </si>
  <si>
    <t>LIXA DAGUA GR400 ESCURA</t>
  </si>
  <si>
    <t>LIXA DAGUA GR500 T223 CLASSE 82C</t>
  </si>
  <si>
    <t>LIXA DAGUA GR1200</t>
  </si>
  <si>
    <t>LIXA DAGUA GR360</t>
  </si>
  <si>
    <t>LIXA DAGUA GR220</t>
  </si>
  <si>
    <t>LACRE LOGISTICA NEODENT</t>
  </si>
  <si>
    <t>BUCHA DISP. MONT. IMP. TRS VERMELHO 6.0</t>
  </si>
  <si>
    <t>BUCHA DISP. MONT. IMP. TRS VIOLETA 4.4</t>
  </si>
  <si>
    <t>BUCHA DISP. MONT. IMP. TRS VERDE 3.4</t>
  </si>
  <si>
    <t>BUCHA PROT. TRAT. SUPERF. IMP. FACILITY</t>
  </si>
  <si>
    <t>PLACA DE PETRI 90X15MM SEM DIVISORIA</t>
  </si>
  <si>
    <t>PEDRA DRES  1/2"X1/2"/6" BDS2098 C320FLT</t>
  </si>
  <si>
    <t>SERRA MANUAL AR 1/2X12IN - 24 DENTES</t>
  </si>
  <si>
    <t>ETIQUETA AGUARD LIBER AMARELA 50X142MM</t>
  </si>
  <si>
    <t>MANTA POLIETILENO 8MM (25X1,20M)</t>
  </si>
  <si>
    <t>PORCA BORBOLETA  MA 4.00MM INOX 304</t>
  </si>
  <si>
    <t>PORCA SEXTAVADA ACO INOX  M4,00</t>
  </si>
  <si>
    <t>PARAFUSO ALLEN INOX C/ CAB CIL M3X6</t>
  </si>
  <si>
    <t>RIBBON MARKEM 3520 BLACK TTR</t>
  </si>
  <si>
    <t>ETIQUETA BRANCA 20X40MM</t>
  </si>
  <si>
    <t>ETIQUETA VENEZUELA COMPONENTES</t>
  </si>
  <si>
    <t>UNIDADE LOGIS ESTOJO GRAND 362X210X310MM</t>
  </si>
  <si>
    <t>SACO ZIPER - 12 ALT x 8 LAR</t>
  </si>
  <si>
    <t>SACO ZIPER Nº 12 35 X 45 CM</t>
  </si>
  <si>
    <t>SACO PLASTICO TRANSPARENTE 100x60x0,10CM</t>
  </si>
  <si>
    <t>SACO ZIPER M 20ALT x 28LAR (VERMELHO)</t>
  </si>
  <si>
    <t>SACO ZIPER - P - 22 ALT x 15 LAR</t>
  </si>
  <si>
    <t>LIXA FERRO GR320</t>
  </si>
  <si>
    <t>LIXA DAGUA GR600 ESCURA</t>
  </si>
  <si>
    <t>LIXA DAGUA GR320</t>
  </si>
  <si>
    <t>LIXA DAGUA GR100</t>
  </si>
  <si>
    <t>GUIA CIRURGICA HANDS ON NGS GM P/ 2 IMPL</t>
  </si>
  <si>
    <t>PINCA PARA ALGODAO NUMERO 17</t>
  </si>
  <si>
    <t>VASELINA LIQUIDA</t>
  </si>
  <si>
    <t>ROT PRO RESINS DENTAL MODEL Y BEIGE 1L</t>
  </si>
  <si>
    <t>ETIQUETA USO INTERNO 142X50MM</t>
  </si>
  <si>
    <t>EMB. CART. PATIENT BOX CLEARCORRECT PTBR</t>
  </si>
  <si>
    <t>EMB. CART. DOCTOR BOX CLEARCORRECT</t>
  </si>
  <si>
    <t>ROT UNIV SURGICAL GUIDE DLP 500ML</t>
  </si>
  <si>
    <t>ROT UNIV RESIN A3 DPL 500ML</t>
  </si>
  <si>
    <t>ROT UNIV RESIN ORTHO IBT DLP 1L</t>
  </si>
  <si>
    <t>EMB TRANSP RESINS GG</t>
  </si>
  <si>
    <t>EMB TRANSP RESINS M</t>
  </si>
  <si>
    <t>EMB TRANSP RESINS P</t>
  </si>
  <si>
    <t>EMB TRANSP COSMOS RESINS M</t>
  </si>
  <si>
    <t>EMB TRANSP COSMOS RESINS P</t>
  </si>
  <si>
    <t>ROT UNIV RESIN DENTURE B1 DLP 1L</t>
  </si>
  <si>
    <t>ROT UNIV RESIN BITE SPLINT SLA 500ML</t>
  </si>
  <si>
    <t>ROT UNIV RESIN A1 DPL 500ML</t>
  </si>
  <si>
    <t>ROT UNIV RESIN B1 DPL 500ML</t>
  </si>
  <si>
    <t>ROT UNIV RESIN B1 SLA 500ML</t>
  </si>
  <si>
    <t>ROT UNIV RESIN BLEACH DLP 500ML</t>
  </si>
  <si>
    <t>DIACRILATO DE TRIPROPILENO GLICOL TPGDA</t>
  </si>
  <si>
    <t>PIGMENTO POLASTA S AZUL 002</t>
  </si>
  <si>
    <t>POLIETILENOGLICOL 400 P.A.</t>
  </si>
  <si>
    <t>PIGMENTO MAGENTA FLUORESCENTE</t>
  </si>
  <si>
    <t>PIGMENTO FLUORESCENTE AZUL</t>
  </si>
  <si>
    <t>PIGMENTO FLUORESCENTE AMARELO LIMAO</t>
  </si>
  <si>
    <t>OMNIMER IBOA</t>
  </si>
  <si>
    <t>2-(2-ETHOXYETHOXY) ETHYL ACRYLATE EOEOEA</t>
  </si>
  <si>
    <t>GM62B00(1,6-HEXANEDIOL DIACRYLATE HDDA)</t>
  </si>
  <si>
    <t>GU3300W(ALIPHATIC URETHANE DIACRYLATE)</t>
  </si>
  <si>
    <t>BISPHENOL-A EPOXY DIACRYLATE EM 25TPGDA</t>
  </si>
  <si>
    <t>RESINA BPA(10) EODMA</t>
  </si>
  <si>
    <t>SHRINK PVC 300MM 30MICRA</t>
  </si>
  <si>
    <t>POLASTA S PRETO 009</t>
  </si>
  <si>
    <t>PIGMENTO MALUX OCRE LIP -1142</t>
  </si>
  <si>
    <t>PIGMENTO SILUX PRETO XM-8407</t>
  </si>
  <si>
    <t>PIGMENTO MALUX MARROM</t>
  </si>
  <si>
    <t>PIGMENTO MICROLUX VERMELHO</t>
  </si>
  <si>
    <t>PIGMENTO VIOLETA</t>
  </si>
  <si>
    <t>AEROSIL R972</t>
  </si>
  <si>
    <t>OMNIRAD TPO</t>
  </si>
  <si>
    <t>PIGMENTO MALUX VERMELHO</t>
  </si>
  <si>
    <t>EMBALAGEM PLASTICA PARA ALINHADORES</t>
  </si>
  <si>
    <t>DETERGENTE ALCALINO CIPTON</t>
  </si>
  <si>
    <t>EMB. CART. PATIENT BOX CLEARCORRECT ESP</t>
  </si>
  <si>
    <t>ESTOJO PARA ALINHADORES/CONTENÇÃO</t>
  </si>
  <si>
    <t>Cilindro porcela polimento 1.7mm x 5mm</t>
  </si>
  <si>
    <t>SACOLA JEANS SL</t>
  </si>
  <si>
    <t>CORPO MUNHAO CR DE Zi REGULAR ALT4.5</t>
  </si>
  <si>
    <t>CORPO MUNHAO CR 17G DE Zi ESTR ALT3.5</t>
  </si>
  <si>
    <t>EMB. CART. BOX NEODENT GM NARROW</t>
  </si>
  <si>
    <t>EMB. CART. BOX NEODENT EASYGUIDE </t>
  </si>
  <si>
    <t>CORPO CHAVE DIGITAL AS LONGA</t>
  </si>
  <si>
    <t>CORPO CHAVE DIGITAL AS CURTA</t>
  </si>
  <si>
    <t>CORPO CHAVE DIGITAL AS REGULAR</t>
  </si>
  <si>
    <t>Plaquette prothétique N°5708</t>
  </si>
  <si>
    <t>Plaquette prothétique N°5844</t>
  </si>
  <si>
    <t>Plaquette prothétique N°7520</t>
  </si>
  <si>
    <t>LIXA DAGUA GR1000</t>
  </si>
  <si>
    <t>Plaquette prothétique N°7733</t>
  </si>
  <si>
    <t>Plaquette prothétique N°7731</t>
  </si>
  <si>
    <t>Plaquette prothétique N°7732</t>
  </si>
  <si>
    <t>EMB.CART.FULL KIT P/ 302.172 + 48 COMP.</t>
  </si>
  <si>
    <t>ROT.EMB. M.OND. NEODENT 116X96X38</t>
  </si>
  <si>
    <t>EMB.CART.FULL KIT P/ 302.172 + 38 COMP.</t>
  </si>
  <si>
    <t>EMB. CART. DEMO COMPONENTE NGM 02 CAV.</t>
  </si>
  <si>
    <t>EMB. CART. DEMO COMPONENTE NGM 01 CAV.</t>
  </si>
  <si>
    <t>EMB.CART.FULL KIT P/ 302.418 + 33 COMP.</t>
  </si>
  <si>
    <t>Módulo Macro GM 5x</t>
  </si>
  <si>
    <t>EMB. CART. IMPLANTE HELIX HS</t>
  </si>
  <si>
    <t>EMB. CART. INSTRUMENTAL HS 60X90MM</t>
  </si>
  <si>
    <t>EMB CART ESTOJO 130x240x70</t>
  </si>
  <si>
    <t>MANDÍBULA</t>
  </si>
  <si>
    <t>Wear &amp; Care Guide: Book #2 INV-0112</t>
  </si>
  <si>
    <t>ETIQUETA 25X10 MM</t>
  </si>
  <si>
    <t>Doctor Box Shipper 65986 INV-0099  Docto</t>
  </si>
  <si>
    <t>Box, Doctor Outer sleeve INV-0094</t>
  </si>
  <si>
    <t>Box, Doctor Main Tray INV-0095</t>
  </si>
  <si>
    <t>Plastic Aligner Retainer Case INV-0133</t>
  </si>
  <si>
    <t>Box, Patient Collapsible Rigid INV-0093</t>
  </si>
  <si>
    <t>FT</t>
  </si>
  <si>
    <t>Plastic Zendura FLX 9265 9.8" INV-0135</t>
  </si>
  <si>
    <t>Small Doctor Shipping Box 180x120x38mm</t>
  </si>
  <si>
    <t>Small Doctor Box CE 172x114x30mm</t>
  </si>
  <si>
    <t>Doctor and Patient Box Shipper 65985 INV</t>
  </si>
  <si>
    <t>ZENDURA A DISCO 125MM</t>
  </si>
  <si>
    <t>FOTOINICIADOR OMNIRAD 819</t>
  </si>
  <si>
    <t>EMB. CART. DENT. CONV. PACK BROCAS</t>
  </si>
  <si>
    <t>ROT PRO RESINS MODEL Y BEIGE 5L LADO 1</t>
  </si>
  <si>
    <t>PIGMENTO REST. TEMPORARIA - BRANCO</t>
  </si>
  <si>
    <t>PIGMENTO REST. TEMPORARIA - PRETO</t>
  </si>
  <si>
    <t>ETIQUETA UNIV RESINS 60X23MM</t>
  </si>
  <si>
    <t>EMB FLOW PACK UNIV RESINS</t>
  </si>
  <si>
    <t>PIGMENTO REST. TEMPORARIA - GENGIVA</t>
  </si>
  <si>
    <t>PIGMENTO REST. TEMPORARIA – MARROM</t>
  </si>
  <si>
    <t>PIGMENTO REST. TEMPORARIA - AZUL</t>
  </si>
  <si>
    <t>PIGMENTO REST. TEMPORARIA - ESMALTE</t>
  </si>
  <si>
    <t>PIGMENTO REST. TEMPORARIA - OCRE</t>
  </si>
  <si>
    <t>C. IMP. CERAM. TL D5.0X11.5 COM TRAT.</t>
  </si>
  <si>
    <t>C. IMP. CERAM. TL D5.0X5 COM TRAT.</t>
  </si>
  <si>
    <t>ADESIVO TECHNOMELT SUPRA 351</t>
  </si>
  <si>
    <t>VICTREX PEEK CLASSIX BC1 NATURAL</t>
  </si>
  <si>
    <t>ROT. FABRICANTE PATIENT BOX CC PTBR</t>
  </si>
  <si>
    <t>TUBO SILICONE 5.0X3.0X120MM</t>
  </si>
  <si>
    <t>SILMIKRON 1171-900</t>
  </si>
  <si>
    <t>EMB. RIGIDA PATIENT BOX CC PTBR</t>
  </si>
  <si>
    <t>ESTOJO PARA ALINHADORES CLEARCORRECT</t>
  </si>
  <si>
    <t>Ti 9.9367 TAN Ø3.00 h7 TLV 107267</t>
  </si>
  <si>
    <t>EMB. CART. BOX NEODENT GUIDED SURGERY</t>
  </si>
  <si>
    <t>CPO REMOVEDOR DE MONTADOR ZI</t>
  </si>
  <si>
    <t>REBOLOS FELTRO 150X20 ANK 15020 (MOLE)</t>
  </si>
  <si>
    <t>C. IMP. CERAM. TL D5.0X10 COM TRAT.</t>
  </si>
  <si>
    <t>C. IMP. CERAM. TL D5.0X8 COM TRAT.</t>
  </si>
  <si>
    <t>C. IMP. CERAM. TL D5.0X10 SEM TRAT.</t>
  </si>
  <si>
    <t>C. IMP. CERAM. TL D5.0X11.5 SEM TRAT.</t>
  </si>
  <si>
    <t>CORPO IMPLANTE DE ZIRCONIA D3.75 x 8</t>
  </si>
  <si>
    <t>C. IMP. CERAM. TL D5.0X8 SEM TRAT.</t>
  </si>
  <si>
    <t>C. IMP. CERAM. TL D5.0X5 SEM TRAT.</t>
  </si>
  <si>
    <t>GUIA CIRURGICA EASY GUIDE</t>
  </si>
  <si>
    <t>GUIA CIRURGICA BLX</t>
  </si>
  <si>
    <t>GUIA PARA 3 IMPLANTES</t>
  </si>
  <si>
    <t>Ti 3.7065 Grade 4 Ø10.00 h7 TLV 202</t>
  </si>
  <si>
    <t>ROT UNIV RESIN DENMODEL BG DLP 1L</t>
  </si>
  <si>
    <t>TINTA SERIGRAFICA VERDE RAL 6018</t>
  </si>
  <si>
    <t>TINTA SERIGRAFICA LILAS PANTONE 520C</t>
  </si>
  <si>
    <t>TINTA SERIGRAFICA AZUL RAL 5015</t>
  </si>
  <si>
    <t>TINTA SERIGRAFICA AZUL CL PANTONE 291C</t>
  </si>
  <si>
    <t>TINTA SERIGRAFICA CINZA PANTONE 426C</t>
  </si>
  <si>
    <t>TINTA SERIGRAFICA VERDE PANTONE 7473C</t>
  </si>
  <si>
    <t>TINTA SERIGRAFICA MARROM PANTONE 153C</t>
  </si>
  <si>
    <t>TINTA SERIGRAFICA ROSA PANTONE 223C</t>
  </si>
  <si>
    <t>TINTA SERIGRAFICA CORAL PANTONE 7416C</t>
  </si>
  <si>
    <t>TINTA SERIGRAFICA AMARELO PANTONE 136C</t>
  </si>
  <si>
    <t>TINTA SERIGRAFICA BRANCO 000C</t>
  </si>
  <si>
    <t>ML</t>
  </si>
  <si>
    <t>DILUENTE MGLV</t>
  </si>
  <si>
    <t>RETARDANTE SV11</t>
  </si>
  <si>
    <t>ENDURECEDOR MGLH</t>
  </si>
  <si>
    <t>TINTA SERIGRAFICA VERMELHA PANTONE 2347C</t>
  </si>
  <si>
    <t>TINTA SERIGRAFICA VERDE PANTONE 2291C</t>
  </si>
  <si>
    <t>TINTA SERIGRAFICA CINZA PANTONE 4281C</t>
  </si>
  <si>
    <t>ETIQUETA RETRABALHO LARANJA 50X142MM</t>
  </si>
  <si>
    <t>DISPERBIK 168</t>
  </si>
  <si>
    <t>EMB. CART. BROCAS E CONEXOES ZI TL</t>
  </si>
  <si>
    <t>EMB. CART. IMPLANTE ZI TL</t>
  </si>
  <si>
    <t>EMB. CART. ESTOJO ZI TL</t>
  </si>
  <si>
    <t>EMB. CART. COMPONENTE ZI TL 01CAV</t>
  </si>
  <si>
    <t>EMB. CART. COMPONENTE ZI TL 02 CAV</t>
  </si>
  <si>
    <t>C. BASE CERAM. UNIV. TL D5.5X0.3MM</t>
  </si>
  <si>
    <t>EMB. CART COMP. 1CV 20NCM</t>
  </si>
  <si>
    <t>C. BASE CERAM. UNIV. TL D5.5X1.0MM</t>
  </si>
  <si>
    <t>C. BASE CERAM. UNIV. TL D5.5X1.5MM</t>
  </si>
  <si>
    <t>REBRAND EMB. SMALL DOCTOR BOX CC</t>
  </si>
  <si>
    <t>DIMETACRILATO BISFENOL-A ETOXILADO (4)</t>
  </si>
  <si>
    <t>EMB. CART. COMP. ZI TL 02 CAV 32N/cm</t>
  </si>
  <si>
    <t>DIMETACRILATO BISFENOL-A ETOXILADO(4) AK</t>
  </si>
  <si>
    <t>ETIQUETA BRANCA STRAUMANN 60 X 35 MM</t>
  </si>
  <si>
    <t>CAIXA DE PAPEL BRANCO Nø3,5 (50)</t>
  </si>
  <si>
    <t>EMB. CART. COMPONENTE ZI TL 02CAV, DEMO</t>
  </si>
  <si>
    <t>EMB. CART. COMP. NGM 01 CAV. 20N/CM</t>
  </si>
  <si>
    <t>EMB. CART. COMPONENTE ZI TL 01CAV, DEMO</t>
  </si>
  <si>
    <t>EMB. CART. IMPLANTE ZI TL, DEMO</t>
  </si>
  <si>
    <t>EMB. CART. COMP. GM 01 CAV. 20N/CM</t>
  </si>
  <si>
    <t>coron Mat-ID=526 redondo 98.3 x 8mm</t>
  </si>
  <si>
    <t>ZERION, 70 MAT-ID=5444 DISCO 98,3 X 20MM</t>
  </si>
  <si>
    <t>ZERION, 25 MAT-ID=5439 DISCO 98,3 X 20MM</t>
  </si>
  <si>
    <t>ZERION, 40 MAT-ID=5441 DISCO 98,3 X 20MM</t>
  </si>
  <si>
    <t>TITANIO TI6AL4V-ELI D101.60MM ASTM F136</t>
  </si>
  <si>
    <t>ZERION, 10 MAT-ID=5437 DISCO 98,3 X 20MM</t>
  </si>
  <si>
    <t>ZERION, 60 MAT-ID=5443 DISCO 98,3 X 20MM</t>
  </si>
  <si>
    <t>ZERION, 50 MAT-ID=5442 DISCO 98,3 X 20MM</t>
  </si>
  <si>
    <t>COBALTO CROMO D15 H7 TLV 107060</t>
  </si>
  <si>
    <t>M</t>
  </si>
  <si>
    <t>ROT. EMB. CART. EASY PACK HELIX GM</t>
  </si>
  <si>
    <t>ROT. EMB. CART. EASY PACK HELIX GM ACQUA</t>
  </si>
  <si>
    <t>PTFE CHAPA ESP. 10 X 1200 x 1200 MM</t>
  </si>
  <si>
    <t>PTFE NATURAL TARUGO DIA. 80 X 2000 MM</t>
  </si>
  <si>
    <t>PTFE NATURAL TARUGO DIA. 8 X 2000 MM</t>
  </si>
  <si>
    <t>PTFE NATURAL TARUGO DIA. 6 X 2000 MM</t>
  </si>
  <si>
    <t>PTFE NATURAL TARUGO DIA. 65 X 2000 MM</t>
  </si>
  <si>
    <t>MASSA SOLIDA BASE ALUMINA CALCINADA</t>
  </si>
  <si>
    <t>BASE MULTKIT ZI 5.0</t>
  </si>
  <si>
    <t>FUNDO MULTKIT ZI 5.0</t>
  </si>
  <si>
    <t>Ti 9.9367 TAN Ø3.00 h6 TLV 206</t>
  </si>
  <si>
    <t>Ti 9.9367 TAN Ø5.00 h5 TLV 206</t>
  </si>
  <si>
    <t>Ti 9.9367 TAN Ø3.00 h5 TLV 206</t>
  </si>
  <si>
    <t>ETIQUETA BRANCA 99X139 (BOPP)</t>
  </si>
  <si>
    <t>BRAVOLUZ COMERCIAL - EIRELI</t>
  </si>
  <si>
    <t>ABRASPAR INDUSTRIA, COMERCIO E</t>
  </si>
  <si>
    <t xml:space="preserve">TECSYSTEM SOLUCOES EM HIGIENIZACAO </t>
  </si>
  <si>
    <t>Este material possivelmente foi criado ou modificado para ficar sem controle de lote</t>
  </si>
  <si>
    <t>Input</t>
  </si>
  <si>
    <t>Tempo de Validade</t>
  </si>
  <si>
    <t>Val.Indusbello</t>
  </si>
  <si>
    <t>Validade2</t>
  </si>
  <si>
    <t>708062</t>
  </si>
  <si>
    <t>708369</t>
  </si>
  <si>
    <t>355058</t>
  </si>
  <si>
    <t>355056</t>
  </si>
  <si>
    <t>355057</t>
  </si>
  <si>
    <t>708649</t>
  </si>
  <si>
    <t>708647</t>
  </si>
  <si>
    <t>120.109</t>
  </si>
  <si>
    <t>100773</t>
  </si>
  <si>
    <t>708648</t>
  </si>
  <si>
    <t>100774</t>
  </si>
  <si>
    <t>Alexandra</t>
  </si>
  <si>
    <t>Val.Almeida</t>
  </si>
  <si>
    <t>Val.Brazmix</t>
  </si>
  <si>
    <t>Val.Nova piramidal</t>
  </si>
  <si>
    <t>Val.Colorfix</t>
  </si>
  <si>
    <t>PAPEL GRAU CIRURGICO 90 GSM (POLYBOND)</t>
  </si>
  <si>
    <t>FITA ENCINTADORA BOPP 37 MICRAS</t>
  </si>
  <si>
    <t>PAPEL GRAU CIRÚRGICO TYVEK REVESTIDO</t>
  </si>
  <si>
    <t>EMB. CART. COMP. ZIGOMÁTICO GM 02 CAV.</t>
  </si>
  <si>
    <t>EMB. CART. EST. DEMO 33X17,3X70</t>
  </si>
  <si>
    <t>EMB. CART. CATRACA 11,5X47X29</t>
  </si>
  <si>
    <t>EMB. CART/HORLLE DEMO EDUC 75X132X297MM</t>
  </si>
  <si>
    <t>EMB. CARTONADA CATRACA 28X51X113MM</t>
  </si>
  <si>
    <t>C BASE DE ZIRCONIA 4.5X4.0X1.5</t>
  </si>
  <si>
    <t>EMB.CART.IMPLANTE TITAMAX TI CORTICAL</t>
  </si>
  <si>
    <t>EMBALAGEM TRANSPOR NIVEL III 810X465X370</t>
  </si>
  <si>
    <t>EMBALAGEM TRANSPORT NIVEL II 445X400X360</t>
  </si>
  <si>
    <t>UNIDADE LOGISTICA COMPONENTES</t>
  </si>
  <si>
    <t>SACO ZIPER- G - 33 ALT x 29 LAR</t>
  </si>
  <si>
    <t>U.L. MASTER COMPONENTES - 345X190X132</t>
  </si>
  <si>
    <t>RIBBON MARKEM 3510 BLACK TTR</t>
  </si>
  <si>
    <t>EMB. CART. COMP. ZI TL 01 CAV 32N/cm</t>
  </si>
  <si>
    <t>EMB. CART. COMP. HS 01 CAV. 20N/CM</t>
  </si>
  <si>
    <t>C. MINI PILAR ZI BL ANTI-ROTACIONAL 4.0</t>
  </si>
  <si>
    <t>C. MINI PILAR ZI BL ANTI-ROTACIONAL 2.0</t>
  </si>
  <si>
    <t>C. MINI PILAR ZI BL ANTI-ROTACIONAL 3.0</t>
  </si>
  <si>
    <t>PIGMENTO MASTERBATCH BRANCO GELO PEAD</t>
  </si>
  <si>
    <t>PEAD INEOS HD5226EA-M</t>
  </si>
  <si>
    <t>ZI GUIA CIRURGICA HANDS-ON</t>
  </si>
  <si>
    <t>TOPAS COC 6013M-07</t>
  </si>
  <si>
    <t>BOX PRINT (NEW PRINT EMBALAGENS E DISPLAYS LTD)</t>
  </si>
  <si>
    <t>FCC CIENCIA DOS MATERIAIS LTDA</t>
  </si>
  <si>
    <t>1 Ano</t>
  </si>
  <si>
    <t>Val.Imprime</t>
  </si>
  <si>
    <t>Validade 1ANO | Não fabricam mais o documento</t>
  </si>
  <si>
    <t>3 Anos</t>
  </si>
  <si>
    <t>18 Meses</t>
  </si>
  <si>
    <t>Val.Rosler</t>
  </si>
  <si>
    <t>Val.Victoria</t>
  </si>
  <si>
    <t>Val.MegaRotulos</t>
  </si>
  <si>
    <t>Antigo Responsável</t>
  </si>
  <si>
    <t>Precisa informar?</t>
  </si>
  <si>
    <t>44000491</t>
  </si>
  <si>
    <t>Paloma verificando com o Thiago Riberto para atualizar as infos do item.</t>
  </si>
  <si>
    <t>Compra solicitada pela Erika Nascimento, para teste</t>
  </si>
  <si>
    <t>Material em esgotamento, considerar política 0</t>
  </si>
  <si>
    <t>Cada setor comprará o seu</t>
  </si>
  <si>
    <t>phase out</t>
  </si>
  <si>
    <t>Mudança de projeto, entrada do Rebranding</t>
  </si>
  <si>
    <t>44001794</t>
  </si>
  <si>
    <t>Material em desenvolvimento, projeto NeoResins com processo não liberado (máquina de misturar Pigmento) - Helo</t>
  </si>
  <si>
    <t>Phase out</t>
  </si>
  <si>
    <t>Considerar politica 0 para itens de mkt</t>
  </si>
  <si>
    <t>44002078</t>
  </si>
  <si>
    <t>DUCORTE FERRAMENTAS LIMITADA</t>
  </si>
  <si>
    <t>ELASTOBRAS INDUSTRIA DE ARTEFATOS</t>
  </si>
  <si>
    <t>Material em desenvolvimento, considerar política 0?</t>
  </si>
  <si>
    <t>Item não planejado</t>
  </si>
  <si>
    <t>ENTEC DO BRASIL COMERCIO DE RESINAS</t>
  </si>
  <si>
    <t>44002336</t>
  </si>
  <si>
    <t>Rebolos, esta em transição para ser controlado pelo Preset</t>
  </si>
  <si>
    <t>Será comprado pela ferramentaria</t>
  </si>
  <si>
    <t>44007527</t>
  </si>
  <si>
    <t>44000149</t>
  </si>
  <si>
    <t>Projeto Zi - make to order</t>
  </si>
  <si>
    <t>Classificação ND</t>
  </si>
  <si>
    <t>EM ANÁLISE</t>
  </si>
  <si>
    <t>Material descontinuado</t>
  </si>
  <si>
    <t>GTLAB SERVICOS DE PROTESE DENTARIA</t>
  </si>
  <si>
    <t>Msg Anderson Rosario | teams Paloma</t>
  </si>
  <si>
    <t>esgotamento</t>
  </si>
  <si>
    <t>Fora do Dispodaten</t>
  </si>
  <si>
    <t>44008825</t>
  </si>
  <si>
    <t>GRIF ROTULOS E ETIQUETAS ADESIVAS LTDA</t>
  </si>
  <si>
    <t>Homologação</t>
  </si>
  <si>
    <t>44008922</t>
  </si>
  <si>
    <t>MASTER PRINT IMPRESSOS S/A - INDUSCOM</t>
  </si>
  <si>
    <t>A manta código 524.012 tem a espessura maior da que utilizamos, está característica do material impossibilita a montagem na caixa master. - Paulo Quadros</t>
  </si>
  <si>
    <t>44005612</t>
  </si>
  <si>
    <t>Item não tee consumo nos últimos anos e não esta vinculado a lista técnica.
Incluso como Phaseout</t>
  </si>
  <si>
    <t>PCP</t>
  </si>
  <si>
    <t>44007186</t>
  </si>
  <si>
    <t>Será substituído pelo código 707902</t>
  </si>
  <si>
    <t>Será substituído pelo código 707859 e 707904</t>
  </si>
  <si>
    <t>PFB INDUSTRIA E COMERCIO DE PRODUTO</t>
  </si>
  <si>
    <t>Item não compõem o Dispodaten, planejador A01 - A08</t>
  </si>
  <si>
    <t>REPLAS SP COMERCIO DE PLASTICOS LTDA</t>
  </si>
  <si>
    <t>Make to order</t>
  </si>
  <si>
    <t>44006869</t>
  </si>
  <si>
    <t>STAMM AG HALLAU</t>
  </si>
  <si>
    <t xml:space="preserve">SANDINOX COMERCIO, IMPORTACAO E    </t>
  </si>
  <si>
    <t xml:space="preserve">Será substituído pelo cod </t>
  </si>
  <si>
    <t>verificar onde é usado</t>
  </si>
  <si>
    <t>44001765</t>
  </si>
  <si>
    <t>Verificar com Eder se ainda é usado</t>
  </si>
  <si>
    <t>44001889</t>
  </si>
  <si>
    <t>Item substituído pelos códigos 707858 + 707903</t>
  </si>
  <si>
    <t>Sem política</t>
  </si>
  <si>
    <t>TACHIBANA &amp; CIA LTDA</t>
  </si>
  <si>
    <t>8922</t>
  </si>
  <si>
    <t>44002260</t>
  </si>
  <si>
    <t>44005119</t>
  </si>
  <si>
    <t>Item alternativo ao Tyvec</t>
  </si>
  <si>
    <t>44000454</t>
  </si>
  <si>
    <t>44002285</t>
  </si>
  <si>
    <t>Item alternativo ao 707355</t>
  </si>
  <si>
    <t>Item transferido para Manutenção</t>
  </si>
  <si>
    <t>44007483</t>
  </si>
  <si>
    <t>44007486</t>
  </si>
  <si>
    <t>44007789</t>
  </si>
  <si>
    <t>44005217</t>
  </si>
  <si>
    <t>Item alternativo ao 120</t>
  </si>
  <si>
    <t>44001721</t>
  </si>
  <si>
    <t>44002388</t>
  </si>
  <si>
    <t>NEON COMERCIAL LTDA</t>
  </si>
  <si>
    <t>44006980</t>
  </si>
  <si>
    <t>TOP LAMPADAS COMERCIAL</t>
  </si>
  <si>
    <t>item novo</t>
  </si>
  <si>
    <t>44005696</t>
  </si>
  <si>
    <t>44000875</t>
  </si>
  <si>
    <t>44008222</t>
  </si>
  <si>
    <t>Projeto impression Post</t>
  </si>
  <si>
    <t>8081</t>
  </si>
  <si>
    <t>Política ajustada devido a troca de fornecedor</t>
  </si>
  <si>
    <t>Sem planejados</t>
  </si>
  <si>
    <t>44006942</t>
  </si>
  <si>
    <t>Projeto Narrow</t>
  </si>
  <si>
    <t>44007536</t>
  </si>
  <si>
    <t>44005274</t>
  </si>
  <si>
    <t>44006604</t>
  </si>
  <si>
    <t>*</t>
  </si>
  <si>
    <t>44005660</t>
  </si>
  <si>
    <t>em alteração com Jackson Novicki</t>
  </si>
  <si>
    <t>Material em desenvolvimento com Erika Nascimento</t>
  </si>
  <si>
    <t>44000108</t>
  </si>
  <si>
    <t>44003242</t>
  </si>
  <si>
    <t>44001862</t>
  </si>
  <si>
    <t>JATI-SERVICOS COMERCIO E IMPORTACAO</t>
  </si>
  <si>
    <t>44006264</t>
  </si>
  <si>
    <t>SUL DISTRIBUIDORA LTDA</t>
  </si>
  <si>
    <t>44001805</t>
  </si>
  <si>
    <t>Material usado para corte de Discos na Clear</t>
  </si>
  <si>
    <t>SINOCURE CHEMICAL CO.,LTD.</t>
  </si>
  <si>
    <t>44006950</t>
  </si>
  <si>
    <t>Proj. Denture Conv. Aguardando aprovação para comprar</t>
  </si>
  <si>
    <t>Perguntar ao Gustavo Bernardes onde é usado</t>
  </si>
  <si>
    <t>Falar com a Fernanda sobre andamento do Projeto</t>
  </si>
  <si>
    <t>CR Japão</t>
  </si>
  <si>
    <t>Utiliado pela Qualidade para guardar amostras</t>
  </si>
  <si>
    <t>Utilizado pela qualidade para armazenagem de amostras</t>
  </si>
  <si>
    <t>Item irá substituir item 703979</t>
  </si>
  <si>
    <t>44008869</t>
  </si>
  <si>
    <t>44005972</t>
  </si>
  <si>
    <t>Item substituiu parcialmente o item 204.043</t>
  </si>
  <si>
    <t>Item inativado</t>
  </si>
  <si>
    <t>Item substituiu parcialmente o item 204.044</t>
  </si>
  <si>
    <t>44004752</t>
  </si>
  <si>
    <t>44005699</t>
  </si>
  <si>
    <t>44000122</t>
  </si>
  <si>
    <t>Material subst. Do 201.019</t>
  </si>
  <si>
    <t>Material em desenvolvimento com Layane Ribeiro</t>
  </si>
  <si>
    <t>44001942</t>
  </si>
  <si>
    <t>GLOBOPACK EMBALAGENS LTDA</t>
  </si>
  <si>
    <t>Caixas</t>
  </si>
  <si>
    <t>44008581</t>
  </si>
  <si>
    <t>Item substituido pelo código 204.090</t>
  </si>
  <si>
    <t>44004636</t>
  </si>
  <si>
    <t>RSG DISTRIBUIDORA DE MAQUINAS E</t>
  </si>
  <si>
    <t>44008717</t>
  </si>
  <si>
    <t>44009024</t>
  </si>
  <si>
    <t>LF COMERCIAL DE BENS LTDA</t>
  </si>
  <si>
    <t>44006521</t>
  </si>
  <si>
    <t>Material subst. Do 201.021</t>
  </si>
  <si>
    <t>44004662</t>
  </si>
  <si>
    <t>44000146</t>
  </si>
  <si>
    <t>CLEARCORRECT OPERATING LLC</t>
  </si>
  <si>
    <t>Em desenvolvimento</t>
  </si>
  <si>
    <t>Material irá substituir o 704046, a definir a política</t>
  </si>
  <si>
    <t>Rebranding Clear</t>
  </si>
  <si>
    <t>44001976</t>
  </si>
  <si>
    <t>44004084</t>
  </si>
  <si>
    <t>FIXWELL COMERCIO DE PARAFUSOS LTDA</t>
  </si>
  <si>
    <t>44006312</t>
  </si>
  <si>
    <t xml:space="preserve">44005766 </t>
  </si>
  <si>
    <t>44009548</t>
  </si>
  <si>
    <t xml:space="preserve"> LF COMERCIAL DE BENS LTDA</t>
  </si>
  <si>
    <t>44009367</t>
  </si>
  <si>
    <t>44004448</t>
  </si>
  <si>
    <t>ABRASIVOS MONTAGNA LTDA</t>
  </si>
  <si>
    <t>Novo bisfenol</t>
  </si>
  <si>
    <t>44009708</t>
  </si>
  <si>
    <t>DESCARPACK DESCARTAVEIS DO BRASIL</t>
  </si>
  <si>
    <t>44001780</t>
  </si>
  <si>
    <t>44004886</t>
  </si>
  <si>
    <t>44008750</t>
  </si>
  <si>
    <t>POSGRAPH EDITORA E GRAFICA LTDA</t>
  </si>
  <si>
    <t>44005651</t>
  </si>
  <si>
    <t>44004957</t>
  </si>
  <si>
    <t>44001772</t>
  </si>
  <si>
    <t>Previsão de lançamento do proj em Março/25, início da prod em jan/25</t>
  </si>
  <si>
    <t>MP para produção de dispositivos "escovões" utilizados na produção | Maria Vint</t>
  </si>
  <si>
    <t>44004003</t>
  </si>
  <si>
    <t>44009961</t>
  </si>
  <si>
    <t>nova etiqueta para envio dos casos Clear para o México</t>
  </si>
  <si>
    <t>44010231</t>
  </si>
  <si>
    <t>LAMPCINE COMERCIO E SERVICO LTDA</t>
  </si>
  <si>
    <t>44000038</t>
  </si>
  <si>
    <t>Resinas</t>
  </si>
  <si>
    <t>Injeção</t>
  </si>
  <si>
    <t>Projeto GT+, previsto para 2027 | Rafael Salem</t>
  </si>
  <si>
    <t>A compra será via OPI</t>
  </si>
  <si>
    <t>Thaynara esta tentando alterar o planejador, mas estava data erro - 25/4</t>
  </si>
  <si>
    <t>708665</t>
  </si>
  <si>
    <t>Bel Air </t>
  </si>
  <si>
    <t>PROD USINAGEM / ACABAMENTO</t>
  </si>
  <si>
    <t>Leandro Martins esta testando esse item para substituir o cód 514547</t>
  </si>
  <si>
    <t>355161</t>
  </si>
  <si>
    <t>355162</t>
  </si>
  <si>
    <t>355163</t>
  </si>
  <si>
    <t>708669</t>
  </si>
  <si>
    <t>708670</t>
  </si>
  <si>
    <t>708618</t>
  </si>
  <si>
    <r>
      <t xml:space="preserve">Origem
</t>
    </r>
    <r>
      <rPr>
        <b/>
        <i/>
        <sz val="8"/>
        <color theme="0"/>
        <rFont val="Aptos Narrow"/>
        <family val="2"/>
        <scheme val="minor"/>
      </rPr>
      <t>(fórmula)</t>
    </r>
  </si>
  <si>
    <r>
      <t xml:space="preserve">Fornecedor
</t>
    </r>
    <r>
      <rPr>
        <b/>
        <i/>
        <sz val="8"/>
        <color theme="0"/>
        <rFont val="Aptos Narrow"/>
        <family val="2"/>
        <scheme val="minor"/>
      </rPr>
      <t>(fórmula)</t>
    </r>
  </si>
  <si>
    <r>
      <t xml:space="preserve">Familia
</t>
    </r>
    <r>
      <rPr>
        <b/>
        <i/>
        <sz val="8"/>
        <color theme="0"/>
        <rFont val="Aptos Narrow"/>
        <family val="2"/>
        <scheme val="minor"/>
      </rPr>
      <t>(fórmula)</t>
    </r>
  </si>
  <si>
    <t>2 Anos</t>
  </si>
  <si>
    <t>5 Anos</t>
  </si>
  <si>
    <t>Val.Quiminutri</t>
  </si>
  <si>
    <t>2 anos</t>
  </si>
  <si>
    <t>1 ano</t>
  </si>
  <si>
    <t>Porém, como padrão, trabalhamos com o prazo de validade de 6 meses, conforme vem do fornecedor.</t>
  </si>
  <si>
    <t>Esse produto não tem prazo de validade pra uso, mas é utlizado o prazo de validade de 6 meses, conforme vem do fornecedor</t>
  </si>
  <si>
    <t>6 Meses</t>
  </si>
  <si>
    <t>Val.Eurostar</t>
  </si>
  <si>
    <t>3 anos</t>
  </si>
  <si>
    <t>5 anos</t>
  </si>
  <si>
    <t>2,5 anos</t>
  </si>
  <si>
    <t>Val.Evertis</t>
  </si>
  <si>
    <t>Val.Stephen</t>
  </si>
  <si>
    <t>4 Anos</t>
  </si>
  <si>
    <t>Precisa dos lotes de cada item</t>
  </si>
  <si>
    <t>Não consigo contato com o fornecedor</t>
  </si>
  <si>
    <t>Certificados/Laudos</t>
  </si>
  <si>
    <t>302066</t>
  </si>
  <si>
    <t>Item inativo, informado via MKT</t>
  </si>
  <si>
    <t>Slow mover</t>
  </si>
  <si>
    <t>Item inativo</t>
  </si>
  <si>
    <t>Itens Cursos e MKT</t>
  </si>
  <si>
    <t>T&amp;E Global (Daniel Azevedo) e cursos (Romulo Tavares) não promovem mais nada de CM</t>
  </si>
  <si>
    <t>TESTES AFIAÇÃO - PRODUÇÃO, PROJETOS E LIM</t>
  </si>
  <si>
    <t>Item inativo, informado via OPI</t>
  </si>
  <si>
    <t>Material será substituído pelo Zendura Track</t>
  </si>
  <si>
    <t>MKT | Demanda via Layane</t>
  </si>
  <si>
    <t>Itens DEMO | Demanda via OPI</t>
  </si>
  <si>
    <t>Slow Mover</t>
  </si>
  <si>
    <t>44010918</t>
  </si>
  <si>
    <t>44004719</t>
  </si>
  <si>
    <t>708433</t>
  </si>
  <si>
    <t>44005602</t>
  </si>
  <si>
    <t>708703</t>
  </si>
  <si>
    <t>IMCD BRASIL COMERCIO E INDUSTRIA DE</t>
  </si>
  <si>
    <t>44006051</t>
  </si>
  <si>
    <t>522653</t>
  </si>
  <si>
    <t>44010303</t>
  </si>
  <si>
    <t>RS HUGHES COMPANY</t>
  </si>
  <si>
    <t>522652</t>
  </si>
  <si>
    <t>44006878</t>
  </si>
  <si>
    <t>DEFENCE DENTAL CENTER</t>
  </si>
  <si>
    <t>522654</t>
  </si>
  <si>
    <t>44001824</t>
  </si>
  <si>
    <t>521448</t>
  </si>
  <si>
    <t>707997</t>
  </si>
  <si>
    <t>534.571</t>
  </si>
  <si>
    <t>534.572</t>
  </si>
  <si>
    <t>LF COM DE EPIS LTDA</t>
  </si>
  <si>
    <t>DURAZZO COMERCIAL LTDA</t>
  </si>
  <si>
    <t>BOX PRINT (B PRINT EMBALAGENS E DISPLAYS LTDA)</t>
  </si>
  <si>
    <t>BOX PRINT ( B PRINT EMBALAGENS E DISPLAYS LTDA)</t>
  </si>
  <si>
    <t>FRANCESCHI &amp; COSTA E SILVA LTDA \ TASK</t>
  </si>
  <si>
    <t>ETIQUETA BRANCA 82X45/40X5MM</t>
  </si>
  <si>
    <t>708777</t>
  </si>
  <si>
    <t>708798</t>
  </si>
  <si>
    <t>708800</t>
  </si>
  <si>
    <t>708804</t>
  </si>
  <si>
    <t>ETIQUETA RUSSIA NUVO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</si>
</sst>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8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8"/>
      <color theme="0"/>
      <name val="Aptos Narrow"/>
      <family val="2"/>
      <scheme val="minor"/>
    </font>
    <font>
      <u/>
      <sz val="10"/>
      <color theme="10"/>
      <name val="Arial"/>
      <family val="2"/>
    </font>
    <font>
      <b/>
      <sz val="11"/>
      <color theme="0"/>
      <name val="Aptos Display"/>
      <family val="2"/>
      <scheme val="major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4">
    <xf numFmtId="0" fontId="0" fillId="0" borderId="0"/>
    <xf numFmtId="0" fontId="34" fillId="0" borderId="0" applyNumberFormat="0" applyFill="0" applyBorder="0" applyAlignment="0" applyProtection="0"/>
    <xf numFmtId="0" fontId="15" fillId="0" borderId="0"/>
    <xf numFmtId="0" fontId="2" fillId="0" borderId="0"/>
  </cellStyleXfs>
  <cellXfs count="88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top"/>
    </xf>
    <xf numFmtId="0" fontId="27" fillId="2" borderId="2" xfId="0" applyFont="1" applyFill="1" applyBorder="1" applyAlignment="1">
      <alignment horizontal="center"/>
    </xf>
    <xf numFmtId="0" fontId="28" fillId="3" borderId="0" xfId="0" applyFont="1" applyFill="1" applyAlignment="1">
      <alignment horizontal="center" vertical="top"/>
    </xf>
    <xf numFmtId="0" fontId="29" fillId="4" borderId="1" xfId="0" applyFont="1" applyFill="1" applyBorder="1" applyAlignment="1">
      <alignment vertical="top"/>
    </xf>
    <xf numFmtId="0" fontId="29" fillId="4" borderId="1" xfId="0" applyFont="1" applyFill="1" applyBorder="1" applyAlignment="1">
      <alignment horizontal="center" vertical="top"/>
    </xf>
    <xf numFmtId="0" fontId="31" fillId="0" borderId="3" xfId="0" applyFont="1" applyBorder="1" applyAlignment="1">
      <alignment horizontal="left" vertical="center"/>
    </xf>
    <xf numFmtId="0" fontId="31" fillId="0" borderId="4" xfId="0" applyFont="1" applyBorder="1" applyAlignment="1">
      <alignment horizontal="left" vertical="center"/>
    </xf>
    <xf numFmtId="0" fontId="32" fillId="0" borderId="4" xfId="0" applyFont="1" applyBorder="1" applyAlignment="1">
      <alignment horizontal="left" vertical="center"/>
    </xf>
    <xf numFmtId="0" fontId="31" fillId="0" borderId="3" xfId="0" quotePrefix="1" applyFont="1" applyBorder="1" applyAlignment="1">
      <alignment horizontal="left" vertical="center"/>
    </xf>
    <xf numFmtId="0" fontId="31" fillId="8" borderId="3" xfId="0" applyFont="1" applyFill="1" applyBorder="1" applyAlignment="1">
      <alignment horizontal="left" vertical="center"/>
    </xf>
    <xf numFmtId="0" fontId="30" fillId="9" borderId="3" xfId="0" applyFont="1" applyFill="1" applyBorder="1" applyAlignment="1">
      <alignment horizontal="center" vertical="center" wrapText="1"/>
    </xf>
    <xf numFmtId="0" fontId="30" fillId="9" borderId="4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top"/>
    </xf>
    <xf numFmtId="0" fontId="26" fillId="0" borderId="4" xfId="0" applyFont="1" applyBorder="1" applyAlignment="1">
      <alignment horizontal="center" vertical="center"/>
    </xf>
    <xf numFmtId="14" fontId="26" fillId="0" borderId="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0" fillId="0" borderId="4" xfId="0" applyFont="1" applyBorder="1" applyAlignment="1">
      <alignment horizontal="center" vertical="center"/>
    </xf>
    <xf numFmtId="0" fontId="34" fillId="0" borderId="4" xfId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31" fillId="6" borderId="3" xfId="0" applyFont="1" applyFill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31" fillId="7" borderId="3" xfId="0" applyFont="1" applyFill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7" fillId="7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3" fontId="31" fillId="0" borderId="3" xfId="0" applyNumberFormat="1" applyFont="1" applyBorder="1" applyAlignment="1">
      <alignment horizontal="left" vertical="center"/>
    </xf>
    <xf numFmtId="0" fontId="16" fillId="7" borderId="4" xfId="0" applyFont="1" applyFill="1" applyBorder="1" applyAlignment="1">
      <alignment horizontal="center" vertical="center"/>
    </xf>
    <xf numFmtId="0" fontId="31" fillId="6" borderId="3" xfId="0" quotePrefix="1" applyFont="1" applyFill="1" applyBorder="1" applyAlignment="1">
      <alignment horizontal="left" vertical="center"/>
    </xf>
    <xf numFmtId="0" fontId="15" fillId="7" borderId="4" xfId="0" applyFont="1" applyFill="1" applyBorder="1" applyAlignment="1">
      <alignment horizontal="center" vertical="center"/>
    </xf>
    <xf numFmtId="0" fontId="26" fillId="7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34" fillId="7" borderId="4" xfId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2" fillId="7" borderId="4" xfId="0" applyFont="1" applyFill="1" applyBorder="1" applyAlignment="1">
      <alignment horizontal="center" vertical="center"/>
    </xf>
    <xf numFmtId="0" fontId="11" fillId="7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20" fillId="7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19" fillId="7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5" fillId="10" borderId="4" xfId="3" applyFont="1" applyFill="1" applyBorder="1" applyAlignment="1">
      <alignment vertical="center"/>
    </xf>
    <xf numFmtId="49" fontId="35" fillId="10" borderId="4" xfId="3" applyNumberFormat="1" applyFont="1" applyFill="1" applyBorder="1" applyAlignment="1">
      <alignment vertical="center"/>
    </xf>
    <xf numFmtId="0" fontId="35" fillId="10" borderId="4" xfId="3" applyFont="1" applyFill="1" applyBorder="1" applyAlignment="1">
      <alignment vertical="center" wrapText="1"/>
    </xf>
    <xf numFmtId="0" fontId="2" fillId="0" borderId="0" xfId="3" applyAlignment="1">
      <alignment vertical="center"/>
    </xf>
    <xf numFmtId="0" fontId="2" fillId="0" borderId="4" xfId="3" applyBorder="1"/>
    <xf numFmtId="49" fontId="2" fillId="0" borderId="4" xfId="3" applyNumberFormat="1" applyBorder="1"/>
    <xf numFmtId="0" fontId="36" fillId="0" borderId="4" xfId="3" applyFont="1" applyBorder="1"/>
    <xf numFmtId="0" fontId="2" fillId="0" borderId="0" xfId="3"/>
    <xf numFmtId="0" fontId="2" fillId="0" borderId="4" xfId="3" applyBorder="1" applyAlignment="1">
      <alignment vertical="top"/>
    </xf>
    <xf numFmtId="49" fontId="2" fillId="0" borderId="4" xfId="3" applyNumberFormat="1" applyBorder="1" applyAlignment="1">
      <alignment vertical="top"/>
    </xf>
    <xf numFmtId="0" fontId="2" fillId="0" borderId="4" xfId="3" quotePrefix="1" applyBorder="1"/>
    <xf numFmtId="0" fontId="2" fillId="0" borderId="4" xfId="3" applyBorder="1" applyAlignment="1">
      <alignment vertical="center"/>
    </xf>
    <xf numFmtId="0" fontId="36" fillId="0" borderId="4" xfId="3" applyFont="1" applyBorder="1" applyAlignment="1">
      <alignment vertical="center"/>
    </xf>
    <xf numFmtId="0" fontId="2" fillId="0" borderId="4" xfId="3" applyBorder="1" applyAlignment="1">
      <alignment vertical="center" wrapText="1"/>
    </xf>
    <xf numFmtId="0" fontId="2" fillId="5" borderId="4" xfId="3" applyFill="1" applyBorder="1"/>
    <xf numFmtId="3" fontId="2" fillId="0" borderId="4" xfId="3" quotePrefix="1" applyNumberFormat="1" applyBorder="1"/>
    <xf numFmtId="0" fontId="31" fillId="8" borderId="3" xfId="3" applyFont="1" applyFill="1" applyBorder="1" applyAlignment="1">
      <alignment horizontal="left" vertical="center"/>
    </xf>
    <xf numFmtId="0" fontId="37" fillId="0" borderId="6" xfId="3" applyFont="1" applyBorder="1"/>
    <xf numFmtId="0" fontId="2" fillId="0" borderId="5" xfId="3" applyBorder="1"/>
    <xf numFmtId="0" fontId="31" fillId="8" borderId="3" xfId="3" quotePrefix="1" applyFont="1" applyFill="1" applyBorder="1" applyAlignment="1">
      <alignment horizontal="left" vertical="center"/>
    </xf>
    <xf numFmtId="49" fontId="2" fillId="0" borderId="0" xfId="3" applyNumberFormat="1"/>
    <xf numFmtId="0" fontId="31" fillId="7" borderId="3" xfId="0" quotePrefix="1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center" vertical="center"/>
    </xf>
  </cellXfs>
  <cellStyles count="4">
    <cellStyle name="Hiperlink" xfId="1" builtinId="8"/>
    <cellStyle name="Normal" xfId="0" builtinId="0"/>
    <cellStyle name="Normal 2" xfId="2" xr:uid="{6FDA425C-EFDB-4323-A842-96D1015F0DC0}"/>
    <cellStyle name="Normal 3" xfId="3" xr:uid="{76785D20-C7FE-4C46-897C-68F1A740C7B9}"/>
  </cellStyles>
  <dxfs count="9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9"/>
          <bgColor theme="9"/>
        </patternFill>
      </fill>
    </dxf>
    <dxf>
      <font>
        <strike val="0"/>
        <color rgb="FFFF0000"/>
      </font>
      <fill>
        <patternFill>
          <fgColor rgb="FFFF0000"/>
          <bgColor rgb="FFC00000"/>
        </patternFill>
      </fill>
    </dxf>
    <dxf>
      <font>
        <color rgb="FFD20000"/>
      </font>
      <fill>
        <patternFill>
          <bgColor rgb="FFFF4B4B"/>
        </patternFill>
      </fill>
    </dxf>
    <dxf>
      <font>
        <b/>
        <i val="0"/>
        <u val="none"/>
        <color rgb="FFFF5757"/>
      </font>
      <fill>
        <patternFill patternType="none">
          <fgColor indexed="64"/>
          <bgColor auto="1"/>
        </patternFill>
      </fill>
    </dxf>
    <dxf>
      <font>
        <b/>
        <i val="0"/>
        <color rgb="FFAC0000"/>
      </font>
      <fill>
        <patternFill>
          <bgColor rgb="FFFF4747"/>
        </patternFill>
      </fill>
    </dxf>
    <dxf>
      <font>
        <b/>
        <i val="0"/>
        <color rgb="FF4CD86D"/>
      </font>
      <fill>
        <patternFill>
          <bgColor rgb="FF1C8226"/>
        </patternFill>
      </fill>
    </dxf>
    <dxf>
      <font>
        <b/>
        <i val="0"/>
        <color rgb="FFFF4B4B"/>
      </font>
      <fill>
        <patternFill patternType="solid">
          <bgColor rgb="FFBC0000"/>
        </patternFill>
      </fill>
    </dxf>
    <dxf>
      <font>
        <color theme="0" tint="-0.3499862666707357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u val="none"/>
        <color rgb="FFFF0000"/>
      </font>
    </dxf>
    <dxf>
      <font>
        <b/>
        <i val="0"/>
        <strike/>
        <color rgb="FFC00000"/>
      </font>
    </dxf>
    <dxf>
      <font>
        <b/>
        <i val="0"/>
        <strike/>
        <color rgb="FFC00000"/>
      </font>
    </dxf>
    <dxf>
      <font>
        <b/>
        <i val="0"/>
        <strike/>
        <u val="none"/>
        <color rgb="FFFF0000"/>
      </font>
    </dxf>
    <dxf>
      <font>
        <b/>
        <i val="0"/>
        <strike/>
        <color rgb="FFC00000"/>
      </font>
    </dxf>
    <dxf>
      <font>
        <b/>
        <i val="0"/>
        <strike/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/>
        <u val="none"/>
        <color rgb="FFFF0000"/>
      </font>
    </dxf>
    <dxf>
      <font>
        <b/>
        <i val="0"/>
        <strike/>
        <color rgb="FFC00000"/>
      </font>
    </dxf>
    <dxf>
      <font>
        <b/>
        <i val="0"/>
        <strike/>
        <color rgb="FFC00000"/>
      </font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4B4B"/>
      <color rgb="FFBC0000"/>
      <color rgb="FF4CD86D"/>
      <color rgb="FF1C8226"/>
      <color rgb="FFAC0000"/>
      <color rgb="FFDE0000"/>
      <color rgb="FFFF4747"/>
      <color rgb="FFC80000"/>
      <color rgb="FFFF5757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briela Dias" id="{86419E35-B494-4531-AC93-970578F36545}" userId="S::u127906@STRAUMANN.COM::35f5b4e6-3f82-4723-9d35-94486eaf40e3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8478A41-6747-49ED-A6AE-935DACFD6C0E}" autoFormatId="16" applyNumberFormats="0" applyBorderFormats="0" applyFontFormats="0" applyPatternFormats="0" applyAlignmentFormats="0" applyWidthHeightFormats="0">
  <queryTableRefresh nextId="3">
    <queryTableFields count="2">
      <queryTableField id="1" name="Material" tableColumnId="1"/>
      <queryTableField id="2" name="TpM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58FA3-5AB5-4EFB-A0F9-BBE8B746912C}" name="Dispodaten2" displayName="Dispodaten2" ref="A1:B1217" tableType="queryTable" totalsRowShown="0">
  <autoFilter ref="A1:B1217" xr:uid="{17358FA3-5AB5-4EFB-A0F9-BBE8B746912C}"/>
  <tableColumns count="2">
    <tableColumn id="1" xr3:uid="{5E36FBF7-FD2C-4E80-994F-7BD64B9B3E60}" uniqueName="1" name="Material" queryTableFieldId="1" dataDxfId="89"/>
    <tableColumn id="2" xr3:uid="{A792AACC-52C9-438F-95A3-C6B9228AB7CA}" uniqueName="2" name="TpM" queryTableFieldId="2" dataDxfId="8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03" dT="2024-01-08T18:15:27.90" personId="{86419E35-B494-4531-AC93-970578F36545}" id="{94E341DA-350B-4707-A395-0F43A427A739}">
    <text xml:space="preserve"> "atualmente a Straumann produz um parafuso pra gente com essa, aí a gente comprou a MP deles para tentar produzir esse parafuso aqui, então por enquanto estamos testando se vamos conseguir reproduzir esse parafuso aqui"
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Certificado%20de%20Validade/Certificado%20Almeida%20-%20Lote%2007-51.pdf" TargetMode="External"/><Relationship Id="rId117" Type="http://schemas.openxmlformats.org/officeDocument/2006/relationships/hyperlink" Target="../Certificado%20de%20Validade/Imprime.pdf" TargetMode="External"/><Relationship Id="rId21" Type="http://schemas.openxmlformats.org/officeDocument/2006/relationships/hyperlink" Target="../Certificado%20de%20Validade/Certificado%20Almeida%20-%20Lote%2007-51.pdf" TargetMode="External"/><Relationship Id="rId42" Type="http://schemas.openxmlformats.org/officeDocument/2006/relationships/hyperlink" Target="../Certificado%20de%20Validade/Imprime.pdf" TargetMode="External"/><Relationship Id="rId47" Type="http://schemas.openxmlformats.org/officeDocument/2006/relationships/hyperlink" Target="../Certificado%20de%20Validade/Imprime.pdf" TargetMode="External"/><Relationship Id="rId63" Type="http://schemas.openxmlformats.org/officeDocument/2006/relationships/hyperlink" Target="../Certificado%20de%20Validade/Indusbello.pdf" TargetMode="External"/><Relationship Id="rId68" Type="http://schemas.openxmlformats.org/officeDocument/2006/relationships/hyperlink" Target="../Certificado%20de%20Validade/Indusbello.pdf" TargetMode="External"/><Relationship Id="rId84" Type="http://schemas.openxmlformats.org/officeDocument/2006/relationships/hyperlink" Target="../Certificado%20de%20Validade/Indusbello.pdf" TargetMode="External"/><Relationship Id="rId89" Type="http://schemas.openxmlformats.org/officeDocument/2006/relationships/hyperlink" Target="../Certificado%20de%20Validade/Indusbello.pdf" TargetMode="External"/><Relationship Id="rId112" Type="http://schemas.openxmlformats.org/officeDocument/2006/relationships/hyperlink" Target="../Certificado%20de%20Validade/Shelf%20Life%20Stephen%20Gould.pdf" TargetMode="External"/><Relationship Id="rId16" Type="http://schemas.openxmlformats.org/officeDocument/2006/relationships/hyperlink" Target="../Certificado%20de%20Validade/Glutaron(Victoria).pdf" TargetMode="External"/><Relationship Id="rId107" Type="http://schemas.openxmlformats.org/officeDocument/2006/relationships/hyperlink" Target="../Certificado%20de%20Validade/Imprime.pdf" TargetMode="External"/><Relationship Id="rId11" Type="http://schemas.openxmlformats.org/officeDocument/2006/relationships/hyperlink" Target="../Certificado%20de%20Validade/Alcool%2070(victoria).pdf" TargetMode="External"/><Relationship Id="rId32" Type="http://schemas.openxmlformats.org/officeDocument/2006/relationships/hyperlink" Target="../Certificado%20de%20Validade/Laudo%20Colorfix.pdf" TargetMode="External"/><Relationship Id="rId37" Type="http://schemas.openxmlformats.org/officeDocument/2006/relationships/hyperlink" Target="../Certificado%20de%20Validade/Imprime.pdf" TargetMode="External"/><Relationship Id="rId53" Type="http://schemas.openxmlformats.org/officeDocument/2006/relationships/hyperlink" Target="../Certificado%20de%20Validade/Indusbello.pdf" TargetMode="External"/><Relationship Id="rId58" Type="http://schemas.openxmlformats.org/officeDocument/2006/relationships/hyperlink" Target="../Certificado%20de%20Validade/Indusbello.pdf" TargetMode="External"/><Relationship Id="rId74" Type="http://schemas.openxmlformats.org/officeDocument/2006/relationships/hyperlink" Target="../Certificado%20de%20Validade/Indusbello.pdf" TargetMode="External"/><Relationship Id="rId79" Type="http://schemas.openxmlformats.org/officeDocument/2006/relationships/hyperlink" Target="../Certificado%20de%20Validade/Indusbello.pdf" TargetMode="External"/><Relationship Id="rId102" Type="http://schemas.openxmlformats.org/officeDocument/2006/relationships/hyperlink" Target="../Certificado%20de%20Validade/Imprime.pdf" TargetMode="External"/><Relationship Id="rId5" Type="http://schemas.openxmlformats.org/officeDocument/2006/relationships/hyperlink" Target="../Certificado%20de%20Validade/Laudo%20Colorfix.pdf" TargetMode="External"/><Relationship Id="rId61" Type="http://schemas.openxmlformats.org/officeDocument/2006/relationships/hyperlink" Target="../Certificado%20de%20Validade/Indusbello.pdf" TargetMode="External"/><Relationship Id="rId82" Type="http://schemas.openxmlformats.org/officeDocument/2006/relationships/hyperlink" Target="../Certificado%20de%20Validade/Indusbello.pdf" TargetMode="External"/><Relationship Id="rId90" Type="http://schemas.openxmlformats.org/officeDocument/2006/relationships/hyperlink" Target="../Certificado%20de%20Validade/Indusbello.pdf" TargetMode="External"/><Relationship Id="rId95" Type="http://schemas.openxmlformats.org/officeDocument/2006/relationships/hyperlink" Target="../Certificado%20de%20Validade/Imprime.pdf" TargetMode="External"/><Relationship Id="rId19" Type="http://schemas.openxmlformats.org/officeDocument/2006/relationships/hyperlink" Target="../Certificado%20de%20Validade/Certificado%20Almeida%20-%20Lote%2007-51.pdf" TargetMode="External"/><Relationship Id="rId14" Type="http://schemas.openxmlformats.org/officeDocument/2006/relationships/hyperlink" Target="../Certificado%20de%20Validade/Bisturi%20Vict&#243;ria.pdf" TargetMode="External"/><Relationship Id="rId22" Type="http://schemas.openxmlformats.org/officeDocument/2006/relationships/hyperlink" Target="../Certificado%20de%20Validade/Certificado%20Almeida%20-%20Lote%2007-51.pdf" TargetMode="External"/><Relationship Id="rId27" Type="http://schemas.openxmlformats.org/officeDocument/2006/relationships/hyperlink" Target="../Certificado%20de%20Validade/Certificado%20Almeida%20-%20Lote%2007-51.pdf" TargetMode="External"/><Relationship Id="rId30" Type="http://schemas.openxmlformats.org/officeDocument/2006/relationships/hyperlink" Target="../Certificado%20de%20Validade/Certificado%20Almeida%20-%20Lote%2007-51.pdf" TargetMode="External"/><Relationship Id="rId35" Type="http://schemas.openxmlformats.org/officeDocument/2006/relationships/hyperlink" Target="../Certificado%20de%20Validade/Laudo%20Colorfix.pdf" TargetMode="External"/><Relationship Id="rId43" Type="http://schemas.openxmlformats.org/officeDocument/2006/relationships/hyperlink" Target="../Certificado%20de%20Validade/Imprime.pdf" TargetMode="External"/><Relationship Id="rId48" Type="http://schemas.openxmlformats.org/officeDocument/2006/relationships/hyperlink" Target="../Certificado%20de%20Validade/Imprime.pdf" TargetMode="External"/><Relationship Id="rId56" Type="http://schemas.openxmlformats.org/officeDocument/2006/relationships/hyperlink" Target="../Certificado%20de%20Validade/Indusbello.pdf" TargetMode="External"/><Relationship Id="rId64" Type="http://schemas.openxmlformats.org/officeDocument/2006/relationships/hyperlink" Target="../Certificado%20de%20Validade/Indusbello.pdf" TargetMode="External"/><Relationship Id="rId69" Type="http://schemas.openxmlformats.org/officeDocument/2006/relationships/hyperlink" Target="../Certificado%20de%20Validade/Indusbello.pdf" TargetMode="External"/><Relationship Id="rId77" Type="http://schemas.openxmlformats.org/officeDocument/2006/relationships/hyperlink" Target="../Certificado%20de%20Validade/Indusbello.pdf" TargetMode="External"/><Relationship Id="rId100" Type="http://schemas.openxmlformats.org/officeDocument/2006/relationships/hyperlink" Target="../Certificado%20de%20Validade/Imprime.pdf" TargetMode="External"/><Relationship Id="rId105" Type="http://schemas.openxmlformats.org/officeDocument/2006/relationships/hyperlink" Target="../Certificado%20de%20Validade/Imprime.pdf" TargetMode="External"/><Relationship Id="rId113" Type="http://schemas.openxmlformats.org/officeDocument/2006/relationships/hyperlink" Target="../Certificado%20de%20Validade/Shelf%20Life%20Stephen%20Gould.pdf" TargetMode="External"/><Relationship Id="rId118" Type="http://schemas.openxmlformats.org/officeDocument/2006/relationships/hyperlink" Target="../Certificado%20de%20Validade/Imprime.pdf" TargetMode="External"/><Relationship Id="rId8" Type="http://schemas.openxmlformats.org/officeDocument/2006/relationships/hyperlink" Target="../Certificado%20de%20Validade/Sapatilha%20e%20Barba(Victoria).pdf" TargetMode="External"/><Relationship Id="rId51" Type="http://schemas.openxmlformats.org/officeDocument/2006/relationships/hyperlink" Target="../Certificado%20de%20Validade/Imprime.pdf" TargetMode="External"/><Relationship Id="rId72" Type="http://schemas.openxmlformats.org/officeDocument/2006/relationships/hyperlink" Target="../Certificado%20de%20Validade/Indusbello.pdf" TargetMode="External"/><Relationship Id="rId80" Type="http://schemas.openxmlformats.org/officeDocument/2006/relationships/hyperlink" Target="../Certificado%20de%20Validade/Indusbello.pdf" TargetMode="External"/><Relationship Id="rId85" Type="http://schemas.openxmlformats.org/officeDocument/2006/relationships/hyperlink" Target="../Certificado%20de%20Validade/Indusbello.pdf" TargetMode="External"/><Relationship Id="rId93" Type="http://schemas.openxmlformats.org/officeDocument/2006/relationships/hyperlink" Target="../Certificado%20de%20Validade/Quiminutri.pdf" TargetMode="External"/><Relationship Id="rId98" Type="http://schemas.openxmlformats.org/officeDocument/2006/relationships/hyperlink" Target="../Certificado%20de%20Validade/Imprime.pdf" TargetMode="External"/><Relationship Id="rId121" Type="http://schemas.openxmlformats.org/officeDocument/2006/relationships/printerSettings" Target="../printerSettings/printerSettings1.bin"/><Relationship Id="rId3" Type="http://schemas.openxmlformats.org/officeDocument/2006/relationships/hyperlink" Target="../Certificado%20de%20Validade/Laudo%20Brazmix.pdf" TargetMode="External"/><Relationship Id="rId12" Type="http://schemas.openxmlformats.org/officeDocument/2006/relationships/hyperlink" Target="../Certificado%20de%20Validade/Equipo%20Victoria.pdf" TargetMode="External"/><Relationship Id="rId17" Type="http://schemas.openxmlformats.org/officeDocument/2006/relationships/hyperlink" Target="../Certificado%20de%20Validade/Mega%20R&#243;tulos.pdf" TargetMode="External"/><Relationship Id="rId25" Type="http://schemas.openxmlformats.org/officeDocument/2006/relationships/hyperlink" Target="../Certificado%20de%20Validade/Certificado%20Almeida%20-%20Lote%2007-51.pdf" TargetMode="External"/><Relationship Id="rId33" Type="http://schemas.openxmlformats.org/officeDocument/2006/relationships/hyperlink" Target="../Certificado%20de%20Validade/Laudo%20Colorfix.pdf" TargetMode="External"/><Relationship Id="rId38" Type="http://schemas.openxmlformats.org/officeDocument/2006/relationships/hyperlink" Target="../Certificado%20de%20Validade/Imprime.pdf" TargetMode="External"/><Relationship Id="rId46" Type="http://schemas.openxmlformats.org/officeDocument/2006/relationships/hyperlink" Target="../Certificado%20de%20Validade/Imprime.pdf" TargetMode="External"/><Relationship Id="rId59" Type="http://schemas.openxmlformats.org/officeDocument/2006/relationships/hyperlink" Target="../Certificado%20de%20Validade/Indusbello.pdf" TargetMode="External"/><Relationship Id="rId67" Type="http://schemas.openxmlformats.org/officeDocument/2006/relationships/hyperlink" Target="../Certificado%20de%20Validade/Indusbello.pdf" TargetMode="External"/><Relationship Id="rId103" Type="http://schemas.openxmlformats.org/officeDocument/2006/relationships/hyperlink" Target="../Certificado%20de%20Validade/Imprime.pdf" TargetMode="External"/><Relationship Id="rId108" Type="http://schemas.openxmlformats.org/officeDocument/2006/relationships/hyperlink" Target="../Certificado%20de%20Validade/Imprime.pdf" TargetMode="External"/><Relationship Id="rId116" Type="http://schemas.openxmlformats.org/officeDocument/2006/relationships/hyperlink" Target="../Certificado%20de%20Validade/Imprime.pdf" TargetMode="External"/><Relationship Id="rId20" Type="http://schemas.openxmlformats.org/officeDocument/2006/relationships/hyperlink" Target="../Certificado%20de%20Validade/Certificado%20Almeida%20-%20Lote%2007-51.pdf" TargetMode="External"/><Relationship Id="rId41" Type="http://schemas.openxmlformats.org/officeDocument/2006/relationships/hyperlink" Target="../Certificado%20de%20Validade/Imprime.pdf" TargetMode="External"/><Relationship Id="rId54" Type="http://schemas.openxmlformats.org/officeDocument/2006/relationships/hyperlink" Target="../Certificado%20de%20Validade/Indusbello.pdf" TargetMode="External"/><Relationship Id="rId62" Type="http://schemas.openxmlformats.org/officeDocument/2006/relationships/hyperlink" Target="../Certificado%20de%20Validade/Indusbello.pdf" TargetMode="External"/><Relationship Id="rId70" Type="http://schemas.openxmlformats.org/officeDocument/2006/relationships/hyperlink" Target="../Certificado%20de%20Validade/Indusbello.pdf" TargetMode="External"/><Relationship Id="rId75" Type="http://schemas.openxmlformats.org/officeDocument/2006/relationships/hyperlink" Target="../Certificado%20de%20Validade/Indusbello.pdf" TargetMode="External"/><Relationship Id="rId83" Type="http://schemas.openxmlformats.org/officeDocument/2006/relationships/hyperlink" Target="../Certificado%20de%20Validade/Indusbello.pdf" TargetMode="External"/><Relationship Id="rId88" Type="http://schemas.openxmlformats.org/officeDocument/2006/relationships/hyperlink" Target="../Certificado%20de%20Validade/Indusbello.pdf" TargetMode="External"/><Relationship Id="rId91" Type="http://schemas.openxmlformats.org/officeDocument/2006/relationships/hyperlink" Target="../Certificado%20de%20Validade/Sapatilha%20e%20Barba(Victoria).pdf" TargetMode="External"/><Relationship Id="rId96" Type="http://schemas.openxmlformats.org/officeDocument/2006/relationships/hyperlink" Target="../Certificado%20de%20Validade/Imprime.pdf" TargetMode="External"/><Relationship Id="rId111" Type="http://schemas.openxmlformats.org/officeDocument/2006/relationships/hyperlink" Target="../Certificado%20de%20Validade/Shelf%20Life%20Stephen%20Gould.pdf" TargetMode="External"/><Relationship Id="rId1" Type="http://schemas.openxmlformats.org/officeDocument/2006/relationships/hyperlink" Target="../Certificado%20de%20Validade/Indusbello.pdf" TargetMode="External"/><Relationship Id="rId6" Type="http://schemas.openxmlformats.org/officeDocument/2006/relationships/hyperlink" Target="../Certificado%20de%20Validade/Imprime.pdf" TargetMode="External"/><Relationship Id="rId15" Type="http://schemas.openxmlformats.org/officeDocument/2006/relationships/hyperlink" Target="../Certificado%20de%20Validade/Isopropilico%20Victoria.pdf" TargetMode="External"/><Relationship Id="rId23" Type="http://schemas.openxmlformats.org/officeDocument/2006/relationships/hyperlink" Target="../Certificado%20de%20Validade/Certificado%20Almeida%20-%20Lote%2007-51.pdf" TargetMode="External"/><Relationship Id="rId28" Type="http://schemas.openxmlformats.org/officeDocument/2006/relationships/hyperlink" Target="../Certificado%20de%20Validade/Certificado%20Almeida%20-%20Lote%2007-51.pdf" TargetMode="External"/><Relationship Id="rId36" Type="http://schemas.openxmlformats.org/officeDocument/2006/relationships/hyperlink" Target="../Certificado%20de%20Validade/Laudo%20Colorfix.pdf" TargetMode="External"/><Relationship Id="rId49" Type="http://schemas.openxmlformats.org/officeDocument/2006/relationships/hyperlink" Target="../Certificado%20de%20Validade/Imprime.pdf" TargetMode="External"/><Relationship Id="rId57" Type="http://schemas.openxmlformats.org/officeDocument/2006/relationships/hyperlink" Target="../Certificado%20de%20Validade/Indusbello.pdf" TargetMode="External"/><Relationship Id="rId106" Type="http://schemas.openxmlformats.org/officeDocument/2006/relationships/hyperlink" Target="../Certificado%20de%20Validade/Imprime.pdf" TargetMode="External"/><Relationship Id="rId114" Type="http://schemas.openxmlformats.org/officeDocument/2006/relationships/hyperlink" Target="../Certificado%20de%20Validade/Shelf%20Life%20Stephen%20Gould.pdf" TargetMode="External"/><Relationship Id="rId119" Type="http://schemas.openxmlformats.org/officeDocument/2006/relationships/hyperlink" Target="../Certificado%20de%20Validade/Imprime.pdf" TargetMode="External"/><Relationship Id="rId10" Type="http://schemas.openxmlformats.org/officeDocument/2006/relationships/hyperlink" Target="../Certificado%20de%20Validade/Algod&#227;o%20Victoria.pdf" TargetMode="External"/><Relationship Id="rId31" Type="http://schemas.openxmlformats.org/officeDocument/2006/relationships/hyperlink" Target="../Certificado%20de%20Validade/Certificado%20Almeida%20-%20Lote%2007-51.pdf" TargetMode="External"/><Relationship Id="rId44" Type="http://schemas.openxmlformats.org/officeDocument/2006/relationships/hyperlink" Target="../Certificado%20de%20Validade/Imprime.pdf" TargetMode="External"/><Relationship Id="rId52" Type="http://schemas.openxmlformats.org/officeDocument/2006/relationships/hyperlink" Target="../Certificado%20de%20Validade/Imprime.pdf" TargetMode="External"/><Relationship Id="rId60" Type="http://schemas.openxmlformats.org/officeDocument/2006/relationships/hyperlink" Target="../Certificado%20de%20Validade/Indusbello.pdf" TargetMode="External"/><Relationship Id="rId65" Type="http://schemas.openxmlformats.org/officeDocument/2006/relationships/hyperlink" Target="../Certificado%20de%20Validade/Indusbello.pdf" TargetMode="External"/><Relationship Id="rId73" Type="http://schemas.openxmlformats.org/officeDocument/2006/relationships/hyperlink" Target="../Certificado%20de%20Validade/Indusbello.pdf" TargetMode="External"/><Relationship Id="rId78" Type="http://schemas.openxmlformats.org/officeDocument/2006/relationships/hyperlink" Target="../Certificado%20de%20Validade/Indusbello.pdf" TargetMode="External"/><Relationship Id="rId81" Type="http://schemas.openxmlformats.org/officeDocument/2006/relationships/hyperlink" Target="../Certificado%20de%20Validade/Indusbello.pdf" TargetMode="External"/><Relationship Id="rId86" Type="http://schemas.openxmlformats.org/officeDocument/2006/relationships/hyperlink" Target="../Certificado%20de%20Validade/Indusbello.pdf" TargetMode="External"/><Relationship Id="rId94" Type="http://schemas.openxmlformats.org/officeDocument/2006/relationships/hyperlink" Target="../Certificado%20de%20Validade/Imprime.pdf" TargetMode="External"/><Relationship Id="rId99" Type="http://schemas.openxmlformats.org/officeDocument/2006/relationships/hyperlink" Target="../Certificado%20de%20Validade/Imprime.pdf" TargetMode="External"/><Relationship Id="rId101" Type="http://schemas.openxmlformats.org/officeDocument/2006/relationships/hyperlink" Target="../Certificado%20de%20Validade/Imprime.pdf" TargetMode="External"/><Relationship Id="rId4" Type="http://schemas.openxmlformats.org/officeDocument/2006/relationships/hyperlink" Target="../Certificado%20de%20Validade/Nova%20piramidal.pdf" TargetMode="External"/><Relationship Id="rId9" Type="http://schemas.openxmlformats.org/officeDocument/2006/relationships/hyperlink" Target="../Certificado%20de%20Validade/Mascara%20Vict&#243;ria.pdf" TargetMode="External"/><Relationship Id="rId13" Type="http://schemas.openxmlformats.org/officeDocument/2006/relationships/hyperlink" Target="../Certificado%20de%20Validade/Touca%20Victoria.pdf" TargetMode="External"/><Relationship Id="rId18" Type="http://schemas.openxmlformats.org/officeDocument/2006/relationships/hyperlink" Target="../Certificado%20de%20Validade/Certificado%20Almeida%20-%20Lote%2007-51.pdf" TargetMode="External"/><Relationship Id="rId39" Type="http://schemas.openxmlformats.org/officeDocument/2006/relationships/hyperlink" Target="../Certificado%20de%20Validade/Imprime.pdf" TargetMode="External"/><Relationship Id="rId109" Type="http://schemas.openxmlformats.org/officeDocument/2006/relationships/hyperlink" Target="../Certificado%20de%20Validade/LAUDO%20EUROSTAR.pdf" TargetMode="External"/><Relationship Id="rId34" Type="http://schemas.openxmlformats.org/officeDocument/2006/relationships/hyperlink" Target="../Certificado%20de%20Validade/Laudo%20Colorfix.pdf" TargetMode="External"/><Relationship Id="rId50" Type="http://schemas.openxmlformats.org/officeDocument/2006/relationships/hyperlink" Target="../Certificado%20de%20Validade/Imprime.pdf" TargetMode="External"/><Relationship Id="rId55" Type="http://schemas.openxmlformats.org/officeDocument/2006/relationships/hyperlink" Target="../Certificado%20de%20Validade/Indusbello.pdf" TargetMode="External"/><Relationship Id="rId76" Type="http://schemas.openxmlformats.org/officeDocument/2006/relationships/hyperlink" Target="../Certificado%20de%20Validade/Indusbello.pdf" TargetMode="External"/><Relationship Id="rId97" Type="http://schemas.openxmlformats.org/officeDocument/2006/relationships/hyperlink" Target="../Certificado%20de%20Validade/Imprime.pdf" TargetMode="External"/><Relationship Id="rId104" Type="http://schemas.openxmlformats.org/officeDocument/2006/relationships/hyperlink" Target="../Certificado%20de%20Validade/Imprime.pdf" TargetMode="External"/><Relationship Id="rId120" Type="http://schemas.openxmlformats.org/officeDocument/2006/relationships/hyperlink" Target="../Certificado%20de%20Validade/Imprime.pdf" TargetMode="External"/><Relationship Id="rId7" Type="http://schemas.openxmlformats.org/officeDocument/2006/relationships/hyperlink" Target="../Certificado%20de%20Validade/Rosler.pdf" TargetMode="External"/><Relationship Id="rId71" Type="http://schemas.openxmlformats.org/officeDocument/2006/relationships/hyperlink" Target="../Certificado%20de%20Validade/Indusbello.pdf" TargetMode="External"/><Relationship Id="rId92" Type="http://schemas.openxmlformats.org/officeDocument/2006/relationships/hyperlink" Target="../Certificado%20de%20Validade/Sapatilha%20e%20Barba(Victoria).pdf" TargetMode="External"/><Relationship Id="rId2" Type="http://schemas.openxmlformats.org/officeDocument/2006/relationships/hyperlink" Target="../Certificado%20de%20Validade/Certificado%20Almeida%20-%20Lote%2007-51.pdf" TargetMode="External"/><Relationship Id="rId29" Type="http://schemas.openxmlformats.org/officeDocument/2006/relationships/hyperlink" Target="../Certificado%20de%20Validade/Certificado%20Almeida%20-%20Lote%2007-51.pdf" TargetMode="External"/><Relationship Id="rId24" Type="http://schemas.openxmlformats.org/officeDocument/2006/relationships/hyperlink" Target="../Certificado%20de%20Validade/Certificado%20Almeida%20-%20Lote%2007-51.pdf" TargetMode="External"/><Relationship Id="rId40" Type="http://schemas.openxmlformats.org/officeDocument/2006/relationships/hyperlink" Target="../Certificado%20de%20Validade/Imprime.pdf" TargetMode="External"/><Relationship Id="rId45" Type="http://schemas.openxmlformats.org/officeDocument/2006/relationships/hyperlink" Target="../Certificado%20de%20Validade/Imprime.pdf" TargetMode="External"/><Relationship Id="rId66" Type="http://schemas.openxmlformats.org/officeDocument/2006/relationships/hyperlink" Target="../Certificado%20de%20Validade/Indusbello.pdf" TargetMode="External"/><Relationship Id="rId87" Type="http://schemas.openxmlformats.org/officeDocument/2006/relationships/hyperlink" Target="../Certificado%20de%20Validade/Indusbello.pdf" TargetMode="External"/><Relationship Id="rId110" Type="http://schemas.openxmlformats.org/officeDocument/2006/relationships/hyperlink" Target="../Certificado%20de%20Validade/Evertis.pdf" TargetMode="External"/><Relationship Id="rId115" Type="http://schemas.openxmlformats.org/officeDocument/2006/relationships/hyperlink" Target="../Certificado%20de%20Validade/Shelf%20Life%20Stephen%20Gould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DFE1-67A1-45C6-AF8F-5606301A2228}">
  <sheetPr filterMode="1"/>
  <dimension ref="A1:N1067"/>
  <sheetViews>
    <sheetView tabSelected="1" zoomScaleNormal="100" workbookViewId="0">
      <selection activeCell="I1068" sqref="I1068"/>
    </sheetView>
  </sheetViews>
  <sheetFormatPr defaultRowHeight="12.75" x14ac:dyDescent="0.2"/>
  <cols>
    <col min="1" max="1" width="13.140625" bestFit="1" customWidth="1"/>
    <col min="2" max="2" width="9.5703125" bestFit="1" customWidth="1"/>
    <col min="3" max="3" width="41.7109375" bestFit="1" customWidth="1"/>
    <col min="4" max="4" width="57.85546875" bestFit="1" customWidth="1"/>
    <col min="5" max="5" width="12.140625" bestFit="1" customWidth="1"/>
    <col min="6" max="6" width="17.140625" bestFit="1" customWidth="1"/>
    <col min="7" max="7" width="24.42578125" bestFit="1" customWidth="1"/>
    <col min="8" max="8" width="16.28515625" bestFit="1" customWidth="1"/>
    <col min="9" max="9" width="14.42578125" bestFit="1" customWidth="1"/>
    <col min="10" max="10" width="22" style="26" bestFit="1" customWidth="1"/>
    <col min="11" max="11" width="10.28515625" bestFit="1" customWidth="1"/>
    <col min="13" max="13" width="13.140625" bestFit="1" customWidth="1"/>
    <col min="14" max="14" width="114.42578125" bestFit="1" customWidth="1"/>
  </cols>
  <sheetData>
    <row r="1" spans="1:14" ht="30" x14ac:dyDescent="0.2">
      <c r="A1" s="13" t="s">
        <v>1972</v>
      </c>
      <c r="B1" s="13" t="s">
        <v>2566</v>
      </c>
      <c r="C1" s="13" t="s">
        <v>2567</v>
      </c>
      <c r="D1" s="14" t="s">
        <v>3184</v>
      </c>
      <c r="E1" s="14" t="s">
        <v>3183</v>
      </c>
      <c r="F1" s="14" t="s">
        <v>2568</v>
      </c>
      <c r="G1" s="14" t="s">
        <v>3185</v>
      </c>
      <c r="H1" s="14" t="s">
        <v>2569</v>
      </c>
      <c r="I1" s="14" t="s">
        <v>2947</v>
      </c>
      <c r="J1" s="14" t="s">
        <v>3203</v>
      </c>
      <c r="K1" s="14" t="s">
        <v>2946</v>
      </c>
      <c r="L1" s="14" t="s">
        <v>1979</v>
      </c>
      <c r="M1" s="14" t="s">
        <v>2949</v>
      </c>
      <c r="N1" s="14" t="s">
        <v>2572</v>
      </c>
    </row>
    <row r="2" spans="1:14" ht="15" hidden="1" x14ac:dyDescent="0.2">
      <c r="A2" s="8" t="s">
        <v>516</v>
      </c>
      <c r="B2" s="8" t="s">
        <v>2579</v>
      </c>
      <c r="C2" s="8" t="s">
        <v>517</v>
      </c>
      <c r="D2" s="9" t="s">
        <v>28</v>
      </c>
      <c r="E2" s="9" t="s">
        <v>2388</v>
      </c>
      <c r="F2" s="10" t="s">
        <v>2387</v>
      </c>
      <c r="G2" s="9" t="s">
        <v>2471</v>
      </c>
      <c r="H2" s="16" t="s">
        <v>2570</v>
      </c>
      <c r="I2" s="40" t="s">
        <v>3187</v>
      </c>
      <c r="J2" s="26" t="s">
        <v>2948</v>
      </c>
      <c r="K2" s="16">
        <v>1</v>
      </c>
      <c r="L2" s="3" t="s">
        <v>2556</v>
      </c>
      <c r="M2" s="17">
        <f>INDEX(Validade!H:H,MATCH('Controle de Validade'!A2,Validade!C:C,0))</f>
        <v>47261</v>
      </c>
      <c r="N2" s="18"/>
    </row>
    <row r="3" spans="1:14" ht="15" hidden="1" x14ac:dyDescent="0.2">
      <c r="A3" s="8" t="s">
        <v>509</v>
      </c>
      <c r="B3" s="8" t="s">
        <v>2579</v>
      </c>
      <c r="C3" s="8" t="s">
        <v>510</v>
      </c>
      <c r="D3" s="9" t="s">
        <v>28</v>
      </c>
      <c r="E3" s="9" t="s">
        <v>2388</v>
      </c>
      <c r="F3" s="10" t="s">
        <v>2387</v>
      </c>
      <c r="G3" s="9" t="s">
        <v>2471</v>
      </c>
      <c r="H3" s="16" t="s">
        <v>2570</v>
      </c>
      <c r="I3" s="40" t="s">
        <v>3187</v>
      </c>
      <c r="J3" s="26" t="s">
        <v>2948</v>
      </c>
      <c r="K3" s="16">
        <v>1</v>
      </c>
      <c r="L3" s="3" t="s">
        <v>2556</v>
      </c>
      <c r="M3" s="17">
        <f>INDEX(Validade!H:H,MATCH('Controle de Validade'!A3,Validade!C:C,0))</f>
        <v>47233</v>
      </c>
      <c r="N3" s="18"/>
    </row>
    <row r="4" spans="1:14" ht="15" hidden="1" x14ac:dyDescent="0.2">
      <c r="A4" s="8" t="s">
        <v>503</v>
      </c>
      <c r="B4" s="8" t="s">
        <v>2579</v>
      </c>
      <c r="C4" s="8" t="s">
        <v>504</v>
      </c>
      <c r="D4" s="9" t="s">
        <v>28</v>
      </c>
      <c r="E4" s="9" t="s">
        <v>2388</v>
      </c>
      <c r="F4" s="10" t="s">
        <v>2387</v>
      </c>
      <c r="G4" s="9" t="s">
        <v>2471</v>
      </c>
      <c r="H4" s="16" t="s">
        <v>2570</v>
      </c>
      <c r="I4" s="40" t="s">
        <v>3187</v>
      </c>
      <c r="J4" s="26" t="s">
        <v>2948</v>
      </c>
      <c r="K4" s="16">
        <v>1</v>
      </c>
      <c r="L4" s="3" t="s">
        <v>2556</v>
      </c>
      <c r="M4" s="17">
        <f>INDEX(Validade!H:H,MATCH('Controle de Validade'!A4,Validade!C:C,0))</f>
        <v>47314</v>
      </c>
      <c r="N4" s="18"/>
    </row>
    <row r="5" spans="1:14" ht="15" hidden="1" x14ac:dyDescent="0.2">
      <c r="A5" s="8" t="s">
        <v>500</v>
      </c>
      <c r="B5" s="8" t="s">
        <v>2579</v>
      </c>
      <c r="C5" s="8" t="s">
        <v>501</v>
      </c>
      <c r="D5" s="9" t="s">
        <v>28</v>
      </c>
      <c r="E5" s="9" t="s">
        <v>2388</v>
      </c>
      <c r="F5" s="10" t="s">
        <v>2387</v>
      </c>
      <c r="G5" s="9" t="s">
        <v>2471</v>
      </c>
      <c r="H5" s="16" t="s">
        <v>2570</v>
      </c>
      <c r="I5" s="40" t="s">
        <v>3187</v>
      </c>
      <c r="J5" s="26" t="s">
        <v>2948</v>
      </c>
      <c r="K5" s="16">
        <v>1</v>
      </c>
      <c r="L5" s="3" t="s">
        <v>2556</v>
      </c>
      <c r="M5" s="17">
        <f>INDEX(Validade!H:H,MATCH('Controle de Validade'!A5,Validade!C:C,0))</f>
        <v>47163</v>
      </c>
      <c r="N5" s="18"/>
    </row>
    <row r="6" spans="1:14" ht="15" hidden="1" x14ac:dyDescent="0.2">
      <c r="A6" s="8" t="s">
        <v>457</v>
      </c>
      <c r="B6" s="8" t="s">
        <v>2579</v>
      </c>
      <c r="C6" s="8" t="s">
        <v>458</v>
      </c>
      <c r="D6" s="9" t="s">
        <v>28</v>
      </c>
      <c r="E6" s="9" t="s">
        <v>2388</v>
      </c>
      <c r="F6" s="10" t="s">
        <v>2387</v>
      </c>
      <c r="G6" s="9" t="s">
        <v>2471</v>
      </c>
      <c r="H6" s="16" t="s">
        <v>2570</v>
      </c>
      <c r="I6" s="40" t="s">
        <v>3187</v>
      </c>
      <c r="J6" s="26" t="s">
        <v>2948</v>
      </c>
      <c r="K6" s="16">
        <v>1</v>
      </c>
      <c r="L6" s="3" t="s">
        <v>2556</v>
      </c>
      <c r="M6" s="17">
        <f>INDEX(Validade!H:H,MATCH('Controle de Validade'!A6,Validade!C:C,0))</f>
        <v>47062</v>
      </c>
      <c r="N6" s="18"/>
    </row>
    <row r="7" spans="1:14" ht="15" hidden="1" x14ac:dyDescent="0.2">
      <c r="A7" s="8" t="s">
        <v>1548</v>
      </c>
      <c r="B7" s="8" t="s">
        <v>2579</v>
      </c>
      <c r="C7" s="8" t="s">
        <v>1549</v>
      </c>
      <c r="D7" s="9" t="s">
        <v>1471</v>
      </c>
      <c r="E7" s="9" t="s">
        <v>2393</v>
      </c>
      <c r="F7" s="10" t="s">
        <v>2387</v>
      </c>
      <c r="G7" s="9" t="s">
        <v>2414</v>
      </c>
      <c r="H7" s="16" t="s">
        <v>2571</v>
      </c>
      <c r="I7" s="25" t="s">
        <v>2412</v>
      </c>
      <c r="J7" s="25" t="s">
        <v>2412</v>
      </c>
      <c r="K7" s="16">
        <v>0</v>
      </c>
      <c r="L7" s="3" t="s">
        <v>2556</v>
      </c>
      <c r="M7" s="17">
        <f>INDEX(Validade!H:H,MATCH('Controle de Validade'!A7,Validade!C:C,0))</f>
        <v>0</v>
      </c>
      <c r="N7" s="18"/>
    </row>
    <row r="8" spans="1:14" ht="15" hidden="1" x14ac:dyDescent="0.2">
      <c r="A8" s="8" t="s">
        <v>1543</v>
      </c>
      <c r="B8" s="8" t="s">
        <v>2579</v>
      </c>
      <c r="C8" s="8" t="s">
        <v>1544</v>
      </c>
      <c r="D8" s="9" t="s">
        <v>1030</v>
      </c>
      <c r="E8" s="9" t="s">
        <v>2388</v>
      </c>
      <c r="F8" s="10" t="s">
        <v>2961</v>
      </c>
      <c r="G8" s="9" t="s">
        <v>2414</v>
      </c>
      <c r="H8" s="16" t="s">
        <v>2570</v>
      </c>
      <c r="I8" s="32" t="s">
        <v>2993</v>
      </c>
      <c r="J8" s="26" t="s">
        <v>2962</v>
      </c>
      <c r="K8" s="16">
        <v>1</v>
      </c>
      <c r="L8" s="3" t="s">
        <v>2556</v>
      </c>
      <c r="M8" s="17">
        <f>INDEX(Validade!H:H,MATCH('Controle de Validade'!A8,Validade!C:C,0))</f>
        <v>45785</v>
      </c>
      <c r="N8" s="18"/>
    </row>
    <row r="9" spans="1:14" ht="15" hidden="1" x14ac:dyDescent="0.2">
      <c r="A9" s="8" t="s">
        <v>1527</v>
      </c>
      <c r="B9" s="8" t="s">
        <v>2579</v>
      </c>
      <c r="C9" s="8" t="s">
        <v>1528</v>
      </c>
      <c r="D9" s="9" t="s">
        <v>1471</v>
      </c>
      <c r="E9" s="9" t="s">
        <v>2393</v>
      </c>
      <c r="F9" s="10" t="s">
        <v>2387</v>
      </c>
      <c r="G9" s="9" t="s">
        <v>2414</v>
      </c>
      <c r="H9" s="16" t="s">
        <v>2571</v>
      </c>
      <c r="I9" s="25" t="s">
        <v>2412</v>
      </c>
      <c r="J9" s="25" t="s">
        <v>2412</v>
      </c>
      <c r="K9" s="16">
        <v>0</v>
      </c>
      <c r="L9" s="3" t="s">
        <v>2556</v>
      </c>
      <c r="M9" s="17">
        <f>INDEX(Validade!H:H,MATCH('Controle de Validade'!A9,Validade!C:C,0))</f>
        <v>0</v>
      </c>
      <c r="N9" s="18"/>
    </row>
    <row r="10" spans="1:14" ht="15" hidden="1" x14ac:dyDescent="0.2">
      <c r="A10" s="8" t="s">
        <v>1488</v>
      </c>
      <c r="B10" s="8" t="s">
        <v>2579</v>
      </c>
      <c r="C10" s="8" t="s">
        <v>1489</v>
      </c>
      <c r="D10" s="9" t="s">
        <v>2489</v>
      </c>
      <c r="E10" s="9" t="s">
        <v>2393</v>
      </c>
      <c r="F10" s="10" t="s">
        <v>2387</v>
      </c>
      <c r="G10" s="9" t="s">
        <v>2456</v>
      </c>
      <c r="H10" s="20" t="s">
        <v>2571</v>
      </c>
      <c r="I10" s="25" t="s">
        <v>2412</v>
      </c>
      <c r="J10" s="25" t="s">
        <v>2412</v>
      </c>
      <c r="K10" s="16">
        <v>0</v>
      </c>
      <c r="L10" s="3" t="s">
        <v>2556</v>
      </c>
      <c r="M10" s="17">
        <f>INDEX(Validade!H:H,MATCH('Controle de Validade'!A10,Validade!C:C,0))</f>
        <v>0</v>
      </c>
      <c r="N10" s="18"/>
    </row>
    <row r="11" spans="1:14" ht="15" hidden="1" x14ac:dyDescent="0.2">
      <c r="A11" s="8" t="s">
        <v>443</v>
      </c>
      <c r="B11" s="8" t="s">
        <v>2579</v>
      </c>
      <c r="C11" s="8" t="s">
        <v>444</v>
      </c>
      <c r="D11" s="9" t="s">
        <v>28</v>
      </c>
      <c r="E11" s="9" t="s">
        <v>2388</v>
      </c>
      <c r="F11" s="10" t="s">
        <v>2387</v>
      </c>
      <c r="G11" s="9" t="s">
        <v>2471</v>
      </c>
      <c r="H11" s="16" t="s">
        <v>2570</v>
      </c>
      <c r="I11" s="40" t="s">
        <v>3187</v>
      </c>
      <c r="J11" s="26" t="s">
        <v>2948</v>
      </c>
      <c r="K11" s="16">
        <v>1</v>
      </c>
      <c r="L11" s="3" t="s">
        <v>2556</v>
      </c>
      <c r="M11" s="17">
        <f>INDEX(Validade!H:H,MATCH('Controle de Validade'!A11,Validade!C:C,0))</f>
        <v>47077</v>
      </c>
      <c r="N11" s="18"/>
    </row>
    <row r="12" spans="1:14" ht="15" hidden="1" x14ac:dyDescent="0.2">
      <c r="A12" s="8" t="s">
        <v>440</v>
      </c>
      <c r="B12" s="8" t="s">
        <v>2579</v>
      </c>
      <c r="C12" s="8" t="s">
        <v>441</v>
      </c>
      <c r="D12" s="9" t="s">
        <v>28</v>
      </c>
      <c r="E12" s="9" t="s">
        <v>2388</v>
      </c>
      <c r="F12" s="10" t="s">
        <v>2387</v>
      </c>
      <c r="G12" s="9" t="s">
        <v>2471</v>
      </c>
      <c r="H12" s="16" t="s">
        <v>2570</v>
      </c>
      <c r="I12" s="40" t="s">
        <v>3187</v>
      </c>
      <c r="J12" s="26" t="s">
        <v>2948</v>
      </c>
      <c r="K12" s="16">
        <v>1</v>
      </c>
      <c r="L12" s="3" t="s">
        <v>2556</v>
      </c>
      <c r="M12" s="17">
        <f>INDEX(Validade!H:H,MATCH('Controle de Validade'!A12,Validade!C:C,0))</f>
        <v>47141</v>
      </c>
      <c r="N12" s="18"/>
    </row>
    <row r="13" spans="1:14" ht="15" hidden="1" x14ac:dyDescent="0.2">
      <c r="A13" s="8" t="s">
        <v>1469</v>
      </c>
      <c r="B13" s="8" t="s">
        <v>2579</v>
      </c>
      <c r="C13" s="8" t="s">
        <v>1470</v>
      </c>
      <c r="D13" s="9" t="s">
        <v>1471</v>
      </c>
      <c r="E13" s="9" t="s">
        <v>2393</v>
      </c>
      <c r="F13" s="10" t="s">
        <v>2387</v>
      </c>
      <c r="G13" s="9" t="s">
        <v>2414</v>
      </c>
      <c r="H13" s="16" t="s">
        <v>2571</v>
      </c>
      <c r="I13" s="25" t="s">
        <v>2412</v>
      </c>
      <c r="J13" s="25" t="s">
        <v>2412</v>
      </c>
      <c r="K13" s="16">
        <v>0</v>
      </c>
      <c r="L13" s="3" t="s">
        <v>2556</v>
      </c>
      <c r="M13" s="17">
        <f>INDEX(Validade!H:H,MATCH('Controle de Validade'!A13,Validade!C:C,0))</f>
        <v>0</v>
      </c>
      <c r="N13" s="18"/>
    </row>
    <row r="14" spans="1:14" ht="15" hidden="1" x14ac:dyDescent="0.2">
      <c r="A14" s="8" t="s">
        <v>1310</v>
      </c>
      <c r="B14" s="8" t="s">
        <v>2580</v>
      </c>
      <c r="C14" s="8" t="s">
        <v>1311</v>
      </c>
      <c r="D14" s="9" t="s">
        <v>1019</v>
      </c>
      <c r="E14" s="9" t="s">
        <v>2388</v>
      </c>
      <c r="F14" s="10" t="s">
        <v>2387</v>
      </c>
      <c r="G14" s="9" t="s">
        <v>2400</v>
      </c>
      <c r="H14" s="29" t="s">
        <v>2571</v>
      </c>
      <c r="I14" s="25" t="s">
        <v>2412</v>
      </c>
      <c r="J14" s="25" t="s">
        <v>2412</v>
      </c>
      <c r="K14" s="16">
        <v>0</v>
      </c>
      <c r="L14" s="3" t="s">
        <v>2556</v>
      </c>
      <c r="M14" s="17">
        <f>INDEX(Validade!H:H,MATCH('Controle de Validade'!A14,Validade!C:C,0))</f>
        <v>62458</v>
      </c>
      <c r="N14" s="18"/>
    </row>
    <row r="15" spans="1:14" ht="15" hidden="1" x14ac:dyDescent="0.2">
      <c r="A15" s="8" t="s">
        <v>1271</v>
      </c>
      <c r="B15" s="8" t="s">
        <v>2580</v>
      </c>
      <c r="C15" s="8" t="s">
        <v>1272</v>
      </c>
      <c r="D15" s="9" t="s">
        <v>1176</v>
      </c>
      <c r="E15" s="9" t="s">
        <v>2393</v>
      </c>
      <c r="F15" s="10" t="s">
        <v>2392</v>
      </c>
      <c r="G15" s="9" t="s">
        <v>2403</v>
      </c>
      <c r="H15" s="16" t="s">
        <v>2571</v>
      </c>
      <c r="I15" s="25" t="s">
        <v>2412</v>
      </c>
      <c r="J15" s="25" t="s">
        <v>2412</v>
      </c>
      <c r="K15" s="16">
        <v>0</v>
      </c>
      <c r="L15" s="3" t="s">
        <v>2556</v>
      </c>
      <c r="M15" s="17">
        <f>INDEX(Validade!H:H,MATCH('Controle de Validade'!A15,Validade!C:C,0))</f>
        <v>0</v>
      </c>
      <c r="N15" s="18"/>
    </row>
    <row r="16" spans="1:14" ht="15" hidden="1" x14ac:dyDescent="0.2">
      <c r="A16" s="8" t="s">
        <v>1265</v>
      </c>
      <c r="B16" s="8" t="s">
        <v>2580</v>
      </c>
      <c r="C16" s="8" t="s">
        <v>1266</v>
      </c>
      <c r="D16" s="9" t="s">
        <v>1176</v>
      </c>
      <c r="E16" s="9" t="s">
        <v>2393</v>
      </c>
      <c r="F16" s="10" t="s">
        <v>2392</v>
      </c>
      <c r="G16" s="9" t="s">
        <v>2403</v>
      </c>
      <c r="H16" s="16" t="s">
        <v>2571</v>
      </c>
      <c r="I16" s="25" t="s">
        <v>2412</v>
      </c>
      <c r="J16" s="25" t="s">
        <v>2412</v>
      </c>
      <c r="K16" s="16">
        <v>0</v>
      </c>
      <c r="L16" s="3" t="s">
        <v>2556</v>
      </c>
      <c r="M16" s="17">
        <f>INDEX(Validade!H:H,MATCH('Controle de Validade'!A16,Validade!C:C,0))</f>
        <v>0</v>
      </c>
      <c r="N16" s="18"/>
    </row>
    <row r="17" spans="1:14" ht="15" hidden="1" x14ac:dyDescent="0.2">
      <c r="A17" s="8" t="s">
        <v>1226</v>
      </c>
      <c r="B17" s="8" t="s">
        <v>2580</v>
      </c>
      <c r="C17" s="8" t="s">
        <v>1227</v>
      </c>
      <c r="D17" s="9" t="s">
        <v>1215</v>
      </c>
      <c r="E17" s="9" t="s">
        <v>2388</v>
      </c>
      <c r="F17" s="10" t="s">
        <v>2392</v>
      </c>
      <c r="G17" s="9" t="s">
        <v>2451</v>
      </c>
      <c r="H17" s="16" t="s">
        <v>2571</v>
      </c>
      <c r="I17" s="25" t="s">
        <v>2412</v>
      </c>
      <c r="J17" s="25" t="s">
        <v>2412</v>
      </c>
      <c r="K17" s="16">
        <v>0</v>
      </c>
      <c r="L17" s="3" t="s">
        <v>2556</v>
      </c>
      <c r="M17" s="17">
        <f>INDEX(Validade!H:H,MATCH('Controle de Validade'!A17,Validade!C:C,0))</f>
        <v>62458</v>
      </c>
      <c r="N17" s="18"/>
    </row>
    <row r="18" spans="1:14" ht="15" hidden="1" x14ac:dyDescent="0.2">
      <c r="A18" s="8" t="s">
        <v>90</v>
      </c>
      <c r="B18" s="8" t="s">
        <v>2581</v>
      </c>
      <c r="C18" s="8" t="s">
        <v>91</v>
      </c>
      <c r="D18" s="9" t="s">
        <v>2373</v>
      </c>
      <c r="E18" s="9" t="s">
        <v>2388</v>
      </c>
      <c r="F18" s="10" t="s">
        <v>2961</v>
      </c>
      <c r="G18" s="9" t="s">
        <v>2405</v>
      </c>
      <c r="H18" s="16" t="s">
        <v>2570</v>
      </c>
      <c r="I18" s="32" t="s">
        <v>2993</v>
      </c>
      <c r="J18" s="26" t="s">
        <v>2964</v>
      </c>
      <c r="K18" s="16">
        <v>1</v>
      </c>
      <c r="L18" s="15" t="s">
        <v>2556</v>
      </c>
      <c r="M18" s="17">
        <f>INDEX(Validade!H:H,MATCH('Controle de Validade'!A18,Validade!C:C,0))</f>
        <v>46138</v>
      </c>
      <c r="N18" s="18"/>
    </row>
    <row r="19" spans="1:14" ht="15" hidden="1" x14ac:dyDescent="0.2">
      <c r="A19" s="8" t="s">
        <v>1238</v>
      </c>
      <c r="B19" s="8" t="s">
        <v>2580</v>
      </c>
      <c r="C19" s="8" t="s">
        <v>1239</v>
      </c>
      <c r="D19" s="9" t="s">
        <v>1215</v>
      </c>
      <c r="E19" s="9" t="s">
        <v>2388</v>
      </c>
      <c r="F19" s="10" t="s">
        <v>2392</v>
      </c>
      <c r="G19" s="9" t="s">
        <v>2451</v>
      </c>
      <c r="H19" s="16" t="s">
        <v>2571</v>
      </c>
      <c r="I19" s="25" t="s">
        <v>2412</v>
      </c>
      <c r="J19" s="25" t="s">
        <v>2412</v>
      </c>
      <c r="K19" s="16">
        <v>0</v>
      </c>
      <c r="L19" s="3" t="s">
        <v>2556</v>
      </c>
      <c r="M19" s="17">
        <f>INDEX(Validade!H:H,MATCH('Controle de Validade'!A19,Validade!C:C,0))</f>
        <v>62458</v>
      </c>
      <c r="N19" s="18"/>
    </row>
    <row r="20" spans="1:14" ht="15" hidden="1" x14ac:dyDescent="0.2">
      <c r="A20" s="11" t="s">
        <v>2274</v>
      </c>
      <c r="B20" s="8" t="s">
        <v>2580</v>
      </c>
      <c r="C20" s="8" t="s">
        <v>2582</v>
      </c>
      <c r="D20" s="9" t="s">
        <v>1141</v>
      </c>
      <c r="E20" s="9" t="s">
        <v>2388</v>
      </c>
      <c r="F20" s="10" t="s">
        <v>2961</v>
      </c>
      <c r="G20" s="9" t="s">
        <v>2410</v>
      </c>
      <c r="H20" s="16" t="s">
        <v>2571</v>
      </c>
      <c r="I20" s="25" t="s">
        <v>2412</v>
      </c>
      <c r="J20" s="25" t="s">
        <v>2412</v>
      </c>
      <c r="K20" s="16">
        <v>0</v>
      </c>
      <c r="L20" s="3" t="s">
        <v>2556</v>
      </c>
      <c r="M20" s="17" t="e">
        <f>INDEX(Validade!H:H,MATCH('Controle de Validade'!A20,Validade!C:C,0))</f>
        <v>#N/A</v>
      </c>
      <c r="N20" s="18"/>
    </row>
    <row r="21" spans="1:14" ht="15" hidden="1" x14ac:dyDescent="0.2">
      <c r="A21" s="8" t="s">
        <v>1303</v>
      </c>
      <c r="B21" s="8" t="s">
        <v>2580</v>
      </c>
      <c r="C21" s="8" t="s">
        <v>1304</v>
      </c>
      <c r="D21" s="9" t="s">
        <v>1305</v>
      </c>
      <c r="E21" s="9" t="s">
        <v>2393</v>
      </c>
      <c r="F21" s="10" t="s">
        <v>2392</v>
      </c>
      <c r="G21" s="9" t="s">
        <v>2403</v>
      </c>
      <c r="H21" s="16" t="s">
        <v>2571</v>
      </c>
      <c r="I21" s="25" t="s">
        <v>2412</v>
      </c>
      <c r="J21" s="25" t="s">
        <v>2412</v>
      </c>
      <c r="K21" s="16">
        <v>0</v>
      </c>
      <c r="L21" s="3" t="s">
        <v>2556</v>
      </c>
      <c r="M21" s="17">
        <f>INDEX(Validade!H:H,MATCH('Controle de Validade'!A21,Validade!C:C,0))</f>
        <v>0</v>
      </c>
      <c r="N21" s="18"/>
    </row>
    <row r="22" spans="1:14" ht="15" hidden="1" x14ac:dyDescent="0.2">
      <c r="A22" s="8" t="s">
        <v>119</v>
      </c>
      <c r="B22" s="8" t="s">
        <v>2579</v>
      </c>
      <c r="C22" s="8" t="s">
        <v>120</v>
      </c>
      <c r="D22" s="9" t="s">
        <v>28</v>
      </c>
      <c r="E22" s="9" t="s">
        <v>2388</v>
      </c>
      <c r="F22" s="10" t="s">
        <v>2387</v>
      </c>
      <c r="G22" s="9" t="s">
        <v>2471</v>
      </c>
      <c r="H22" s="16" t="s">
        <v>2570</v>
      </c>
      <c r="I22" s="40" t="s">
        <v>3187</v>
      </c>
      <c r="J22" s="26" t="s">
        <v>2948</v>
      </c>
      <c r="K22" s="16">
        <v>1</v>
      </c>
      <c r="L22" s="3" t="s">
        <v>2556</v>
      </c>
      <c r="M22" s="17">
        <f>INDEX(Validade!H:H,MATCH('Controle de Validade'!A22,Validade!C:C,0))</f>
        <v>47390</v>
      </c>
      <c r="N22" s="18"/>
    </row>
    <row r="23" spans="1:14" ht="15" hidden="1" x14ac:dyDescent="0.2">
      <c r="A23" s="8" t="s">
        <v>117</v>
      </c>
      <c r="B23" s="8" t="s">
        <v>2579</v>
      </c>
      <c r="C23" s="8" t="s">
        <v>118</v>
      </c>
      <c r="D23" s="9" t="s">
        <v>28</v>
      </c>
      <c r="E23" s="9" t="s">
        <v>2388</v>
      </c>
      <c r="F23" s="10" t="s">
        <v>2387</v>
      </c>
      <c r="G23" s="9" t="s">
        <v>2471</v>
      </c>
      <c r="H23" s="16" t="s">
        <v>2570</v>
      </c>
      <c r="I23" s="40" t="s">
        <v>3187</v>
      </c>
      <c r="J23" s="26" t="s">
        <v>2948</v>
      </c>
      <c r="K23" s="16">
        <v>1</v>
      </c>
      <c r="L23" s="3" t="s">
        <v>2556</v>
      </c>
      <c r="M23" s="17">
        <f>INDEX(Validade!H:H,MATCH('Controle de Validade'!A23,Validade!C:C,0))</f>
        <v>47359</v>
      </c>
      <c r="N23" s="18"/>
    </row>
    <row r="24" spans="1:14" ht="15" hidden="1" x14ac:dyDescent="0.2">
      <c r="A24" s="8" t="s">
        <v>1540</v>
      </c>
      <c r="B24" s="8" t="s">
        <v>2579</v>
      </c>
      <c r="C24" s="8" t="s">
        <v>1541</v>
      </c>
      <c r="D24" s="9" t="s">
        <v>1030</v>
      </c>
      <c r="E24" s="9" t="s">
        <v>2388</v>
      </c>
      <c r="F24" s="10" t="s">
        <v>2961</v>
      </c>
      <c r="G24" s="9" t="s">
        <v>2414</v>
      </c>
      <c r="H24" s="16" t="s">
        <v>2570</v>
      </c>
      <c r="I24" s="32" t="s">
        <v>2993</v>
      </c>
      <c r="J24" s="26" t="s">
        <v>2962</v>
      </c>
      <c r="K24" s="16">
        <v>1</v>
      </c>
      <c r="L24" s="3" t="s">
        <v>2556</v>
      </c>
      <c r="M24" s="17">
        <f>INDEX(Validade!H:H,MATCH('Controle de Validade'!A24,Validade!C:C,0))</f>
        <v>45923</v>
      </c>
      <c r="N24" s="18"/>
    </row>
    <row r="25" spans="1:14" ht="15" hidden="1" x14ac:dyDescent="0.2">
      <c r="A25" s="8" t="s">
        <v>1533</v>
      </c>
      <c r="B25" s="8" t="s">
        <v>2579</v>
      </c>
      <c r="C25" s="8" t="s">
        <v>1534</v>
      </c>
      <c r="D25" s="9" t="s">
        <v>1535</v>
      </c>
      <c r="E25" s="9" t="s">
        <v>2393</v>
      </c>
      <c r="F25" s="10" t="s">
        <v>2387</v>
      </c>
      <c r="G25" s="9" t="s">
        <v>2414</v>
      </c>
      <c r="H25" s="16" t="s">
        <v>2571</v>
      </c>
      <c r="I25" s="25" t="s">
        <v>2412</v>
      </c>
      <c r="J25" s="25" t="s">
        <v>2412</v>
      </c>
      <c r="K25" s="16">
        <v>0</v>
      </c>
      <c r="L25" s="3" t="s">
        <v>2556</v>
      </c>
      <c r="M25" s="17">
        <f>INDEX(Validade!H:H,MATCH('Controle de Validade'!A25,Validade!C:C,0))</f>
        <v>0</v>
      </c>
      <c r="N25" s="18"/>
    </row>
    <row r="26" spans="1:14" ht="15" hidden="1" x14ac:dyDescent="0.2">
      <c r="A26" s="8" t="s">
        <v>1473</v>
      </c>
      <c r="B26" s="8" t="s">
        <v>2579</v>
      </c>
      <c r="C26" s="8" t="s">
        <v>1474</v>
      </c>
      <c r="D26" s="9" t="s">
        <v>1141</v>
      </c>
      <c r="E26" s="9" t="s">
        <v>2388</v>
      </c>
      <c r="F26" s="10" t="s">
        <v>2961</v>
      </c>
      <c r="G26" s="9" t="s">
        <v>2414</v>
      </c>
      <c r="H26" s="16" t="s">
        <v>2570</v>
      </c>
      <c r="I26" s="49" t="s">
        <v>3187</v>
      </c>
      <c r="J26" s="49" t="s">
        <v>2412</v>
      </c>
      <c r="K26" s="16">
        <v>1</v>
      </c>
      <c r="L26" s="3" t="s">
        <v>2556</v>
      </c>
      <c r="M26" s="17">
        <f>INDEX(Validade!H:H,MATCH('Controle de Validade'!A26,Validade!C:C,0))</f>
        <v>62458</v>
      </c>
      <c r="N26" s="18" t="s">
        <v>2573</v>
      </c>
    </row>
    <row r="27" spans="1:14" ht="15" hidden="1" x14ac:dyDescent="0.2">
      <c r="A27" s="28" t="s">
        <v>945</v>
      </c>
      <c r="B27" s="8" t="s">
        <v>2579</v>
      </c>
      <c r="C27" s="8" t="s">
        <v>946</v>
      </c>
      <c r="D27" s="9" t="s">
        <v>947</v>
      </c>
      <c r="E27" s="9" t="s">
        <v>2393</v>
      </c>
      <c r="F27" s="10" t="s">
        <v>2392</v>
      </c>
      <c r="G27" s="9" t="s">
        <v>2506</v>
      </c>
      <c r="H27" s="16" t="s">
        <v>2570</v>
      </c>
      <c r="I27" s="56"/>
      <c r="J27" s="43"/>
      <c r="K27" s="16">
        <v>1</v>
      </c>
      <c r="L27" s="3" t="s">
        <v>2556</v>
      </c>
      <c r="M27" s="17">
        <f>INDEX(Validade!H:H,MATCH('Controle de Validade'!A27,Validade!C:C,0))</f>
        <v>45777</v>
      </c>
      <c r="N27" s="55" t="s">
        <v>3201</v>
      </c>
    </row>
    <row r="28" spans="1:14" ht="15" hidden="1" x14ac:dyDescent="0.2">
      <c r="A28" s="28" t="s">
        <v>1645</v>
      </c>
      <c r="B28" s="8" t="s">
        <v>2583</v>
      </c>
      <c r="C28" s="8" t="s">
        <v>1646</v>
      </c>
      <c r="D28" s="9" t="s">
        <v>947</v>
      </c>
      <c r="E28" s="9" t="s">
        <v>2393</v>
      </c>
      <c r="F28" s="10" t="s">
        <v>2392</v>
      </c>
      <c r="G28" s="9" t="s">
        <v>2506</v>
      </c>
      <c r="H28" s="16" t="s">
        <v>2570</v>
      </c>
      <c r="I28" s="56"/>
      <c r="J28" s="43"/>
      <c r="K28" s="16">
        <v>1</v>
      </c>
      <c r="L28" s="3" t="s">
        <v>2556</v>
      </c>
      <c r="M28" s="17">
        <f>INDEX(Validade!H:H,MATCH('Controle de Validade'!A28,Validade!C:C,0))</f>
        <v>45777</v>
      </c>
      <c r="N28" s="55" t="s">
        <v>3201</v>
      </c>
    </row>
    <row r="29" spans="1:14" ht="15" hidden="1" x14ac:dyDescent="0.2">
      <c r="A29" s="8" t="s">
        <v>2001</v>
      </c>
      <c r="B29" s="8" t="s">
        <v>2579</v>
      </c>
      <c r="C29" s="8" t="s">
        <v>2584</v>
      </c>
      <c r="D29" s="9" t="s">
        <v>2459</v>
      </c>
      <c r="E29" s="9" t="s">
        <v>2388</v>
      </c>
      <c r="F29" s="10" t="s">
        <v>2387</v>
      </c>
      <c r="G29" s="9" t="s">
        <v>2431</v>
      </c>
      <c r="H29" s="16" t="s">
        <v>2571</v>
      </c>
      <c r="I29" s="25" t="s">
        <v>2412</v>
      </c>
      <c r="J29" s="25" t="s">
        <v>2412</v>
      </c>
      <c r="K29" s="16">
        <v>1</v>
      </c>
      <c r="L29" s="3" t="s">
        <v>2556</v>
      </c>
      <c r="M29" s="17" t="e">
        <f>INDEX(Validade!H:H,MATCH('Controle de Validade'!A29,Validade!C:C,0))</f>
        <v>#N/A</v>
      </c>
      <c r="N29" s="18" t="s">
        <v>2576</v>
      </c>
    </row>
    <row r="30" spans="1:14" ht="15" hidden="1" x14ac:dyDescent="0.2">
      <c r="A30" s="8" t="s">
        <v>2012</v>
      </c>
      <c r="B30" s="8" t="s">
        <v>2579</v>
      </c>
      <c r="C30" s="8" t="s">
        <v>2585</v>
      </c>
      <c r="D30" s="9" t="s">
        <v>2524</v>
      </c>
      <c r="E30" s="9" t="s">
        <v>2393</v>
      </c>
      <c r="F30" s="10" t="s">
        <v>2387</v>
      </c>
      <c r="G30" s="9" t="s">
        <v>2431</v>
      </c>
      <c r="H30" s="16" t="s">
        <v>2571</v>
      </c>
      <c r="I30" s="25" t="s">
        <v>2412</v>
      </c>
      <c r="J30" s="25" t="s">
        <v>2412</v>
      </c>
      <c r="K30" s="16">
        <v>1</v>
      </c>
      <c r="L30" s="3" t="s">
        <v>2556</v>
      </c>
      <c r="M30" s="17" t="e">
        <f>INDEX(Validade!H:H,MATCH('Controle de Validade'!A30,Validade!C:C,0))</f>
        <v>#N/A</v>
      </c>
      <c r="N30" s="18" t="s">
        <v>2576</v>
      </c>
    </row>
    <row r="31" spans="1:14" ht="15" hidden="1" x14ac:dyDescent="0.2">
      <c r="A31" s="8" t="s">
        <v>2061</v>
      </c>
      <c r="B31" s="8" t="s">
        <v>2579</v>
      </c>
      <c r="C31" s="8" t="s">
        <v>2586</v>
      </c>
      <c r="D31" s="9" t="s">
        <v>2430</v>
      </c>
      <c r="E31" s="9" t="s">
        <v>2388</v>
      </c>
      <c r="F31" s="10" t="s">
        <v>2387</v>
      </c>
      <c r="G31" s="9" t="s">
        <v>2431</v>
      </c>
      <c r="H31" s="16" t="s">
        <v>2571</v>
      </c>
      <c r="I31" s="25" t="s">
        <v>2412</v>
      </c>
      <c r="J31" s="25" t="s">
        <v>2412</v>
      </c>
      <c r="K31" s="16">
        <v>1</v>
      </c>
      <c r="L31" s="3" t="s">
        <v>2556</v>
      </c>
      <c r="M31" s="17" t="e">
        <f>INDEX(Validade!H:H,MATCH('Controle de Validade'!A31,Validade!C:C,0))</f>
        <v>#N/A</v>
      </c>
      <c r="N31" s="18" t="s">
        <v>2576</v>
      </c>
    </row>
    <row r="32" spans="1:14" ht="15" hidden="1" x14ac:dyDescent="0.2">
      <c r="A32" s="8" t="s">
        <v>718</v>
      </c>
      <c r="B32" s="8" t="s">
        <v>2579</v>
      </c>
      <c r="C32" s="8" t="s">
        <v>719</v>
      </c>
      <c r="D32" s="9" t="s">
        <v>714</v>
      </c>
      <c r="E32" s="9" t="s">
        <v>2388</v>
      </c>
      <c r="F32" s="10" t="s">
        <v>2961</v>
      </c>
      <c r="G32" s="9" t="s">
        <v>2442</v>
      </c>
      <c r="H32" s="16" t="s">
        <v>2570</v>
      </c>
      <c r="I32" s="38" t="s">
        <v>2996</v>
      </c>
      <c r="J32" s="26" t="s">
        <v>2999</v>
      </c>
      <c r="K32" s="16">
        <v>1</v>
      </c>
      <c r="L32" s="3" t="s">
        <v>2556</v>
      </c>
      <c r="M32" s="17">
        <f>INDEX(Validade!H:H,MATCH('Controle de Validade'!A32,Validade!C:C,0))</f>
        <v>46507</v>
      </c>
      <c r="N32" s="18" t="s">
        <v>2576</v>
      </c>
    </row>
    <row r="33" spans="1:14" ht="15" hidden="1" x14ac:dyDescent="0.2">
      <c r="A33" s="8" t="s">
        <v>715</v>
      </c>
      <c r="B33" s="8" t="s">
        <v>2579</v>
      </c>
      <c r="C33" s="8" t="s">
        <v>716</v>
      </c>
      <c r="D33" s="9" t="s">
        <v>714</v>
      </c>
      <c r="E33" s="9" t="s">
        <v>2388</v>
      </c>
      <c r="F33" s="10" t="s">
        <v>2961</v>
      </c>
      <c r="G33" s="9" t="s">
        <v>2442</v>
      </c>
      <c r="H33" s="16" t="s">
        <v>2570</v>
      </c>
      <c r="I33" s="38" t="s">
        <v>3186</v>
      </c>
      <c r="J33" s="26" t="s">
        <v>2999</v>
      </c>
      <c r="K33" s="16">
        <v>1</v>
      </c>
      <c r="L33" s="3" t="s">
        <v>2556</v>
      </c>
      <c r="M33" s="17">
        <f>INDEX(Validade!H:H,MATCH('Controle de Validade'!A33,Validade!C:C,0))</f>
        <v>47394</v>
      </c>
      <c r="N33" s="18"/>
    </row>
    <row r="34" spans="1:14" ht="15" hidden="1" x14ac:dyDescent="0.2">
      <c r="A34" s="8" t="s">
        <v>1992</v>
      </c>
      <c r="B34" s="8" t="s">
        <v>2579</v>
      </c>
      <c r="C34" s="8" t="s">
        <v>2587</v>
      </c>
      <c r="D34" s="9" t="s">
        <v>177</v>
      </c>
      <c r="E34" s="9" t="s">
        <v>2388</v>
      </c>
      <c r="F34" s="10" t="s">
        <v>2387</v>
      </c>
      <c r="G34" s="9" t="s">
        <v>2433</v>
      </c>
      <c r="H34" s="16" t="s">
        <v>2571</v>
      </c>
      <c r="I34" s="25" t="s">
        <v>2412</v>
      </c>
      <c r="J34" s="25" t="s">
        <v>2412</v>
      </c>
      <c r="K34" s="16">
        <v>0</v>
      </c>
      <c r="L34" s="3" t="s">
        <v>2558</v>
      </c>
      <c r="M34" s="17" t="e">
        <f>INDEX(Validade!H:H,MATCH('Controle de Validade'!A34,Validade!C:C,0))</f>
        <v>#N/A</v>
      </c>
      <c r="N34" s="18"/>
    </row>
    <row r="35" spans="1:14" ht="15" hidden="1" x14ac:dyDescent="0.2">
      <c r="A35" s="8" t="s">
        <v>2032</v>
      </c>
      <c r="B35" s="8" t="s">
        <v>2579</v>
      </c>
      <c r="C35" s="8" t="s">
        <v>2588</v>
      </c>
      <c r="D35" s="9" t="s">
        <v>177</v>
      </c>
      <c r="E35" s="9" t="s">
        <v>2388</v>
      </c>
      <c r="F35" s="10" t="s">
        <v>2387</v>
      </c>
      <c r="G35" s="9" t="s">
        <v>2433</v>
      </c>
      <c r="H35" s="16" t="s">
        <v>2571</v>
      </c>
      <c r="I35" s="25" t="s">
        <v>2412</v>
      </c>
      <c r="J35" s="25" t="s">
        <v>2412</v>
      </c>
      <c r="K35" s="16">
        <v>0</v>
      </c>
      <c r="L35" s="3" t="s">
        <v>2558</v>
      </c>
      <c r="M35" s="17" t="e">
        <f>INDEX(Validade!H:H,MATCH('Controle de Validade'!A35,Validade!C:C,0))</f>
        <v>#N/A</v>
      </c>
      <c r="N35" s="18"/>
    </row>
    <row r="36" spans="1:14" ht="15" hidden="1" x14ac:dyDescent="0.2">
      <c r="A36" s="8" t="s">
        <v>2027</v>
      </c>
      <c r="B36" s="8" t="s">
        <v>2579</v>
      </c>
      <c r="C36" s="8" t="s">
        <v>2589</v>
      </c>
      <c r="D36" s="9" t="s">
        <v>86</v>
      </c>
      <c r="E36" s="9" t="s">
        <v>2388</v>
      </c>
      <c r="F36" s="10" t="s">
        <v>2961</v>
      </c>
      <c r="G36" s="9" t="s">
        <v>2423</v>
      </c>
      <c r="H36" s="16" t="s">
        <v>2571</v>
      </c>
      <c r="I36" s="25" t="s">
        <v>2412</v>
      </c>
      <c r="J36" s="25" t="s">
        <v>2412</v>
      </c>
      <c r="K36" s="16">
        <v>0</v>
      </c>
      <c r="L36" s="3" t="s">
        <v>2558</v>
      </c>
      <c r="M36" s="17" t="e">
        <f>INDEX(Validade!H:H,MATCH('Controle de Validade'!A36,Validade!C:C,0))</f>
        <v>#N/A</v>
      </c>
      <c r="N36" s="18"/>
    </row>
    <row r="37" spans="1:14" ht="15" hidden="1" x14ac:dyDescent="0.2">
      <c r="A37" s="30" t="s">
        <v>397</v>
      </c>
      <c r="B37" s="8" t="s">
        <v>2581</v>
      </c>
      <c r="C37" s="8" t="s">
        <v>398</v>
      </c>
      <c r="D37" s="9" t="s">
        <v>399</v>
      </c>
      <c r="E37" s="9" t="s">
        <v>2388</v>
      </c>
      <c r="F37" s="10" t="s">
        <v>2961</v>
      </c>
      <c r="G37" s="9" t="s">
        <v>2405</v>
      </c>
      <c r="H37" s="50" t="s">
        <v>2571</v>
      </c>
      <c r="I37" s="51" t="s">
        <v>2412</v>
      </c>
      <c r="J37" s="29" t="s">
        <v>2412</v>
      </c>
      <c r="K37" s="16">
        <v>1</v>
      </c>
      <c r="L37" s="3" t="s">
        <v>2556</v>
      </c>
      <c r="M37" s="17">
        <f>INDEX(Validade!H:H,MATCH('Controle de Validade'!A37,Validade!C:C,0))</f>
        <v>49188</v>
      </c>
      <c r="N37" s="31"/>
    </row>
    <row r="38" spans="1:14" ht="15" hidden="1" x14ac:dyDescent="0.2">
      <c r="A38" s="8" t="s">
        <v>1994</v>
      </c>
      <c r="B38" s="8" t="s">
        <v>2579</v>
      </c>
      <c r="C38" s="8" t="s">
        <v>2590</v>
      </c>
      <c r="D38" s="9" t="s">
        <v>2440</v>
      </c>
      <c r="E38" s="9" t="s">
        <v>2388</v>
      </c>
      <c r="F38" s="10" t="s">
        <v>2961</v>
      </c>
      <c r="G38" s="9" t="s">
        <v>2441</v>
      </c>
      <c r="H38" s="16" t="s">
        <v>2571</v>
      </c>
      <c r="I38" s="25" t="s">
        <v>2412</v>
      </c>
      <c r="J38" s="25" t="s">
        <v>2412</v>
      </c>
      <c r="K38" s="16">
        <v>0</v>
      </c>
      <c r="L38" s="3" t="s">
        <v>2558</v>
      </c>
      <c r="M38" s="17" t="e">
        <f>INDEX(Validade!H:H,MATCH('Controle de Validade'!A38,Validade!C:C,0))</f>
        <v>#N/A</v>
      </c>
      <c r="N38" s="18"/>
    </row>
    <row r="39" spans="1:14" ht="15" hidden="1" x14ac:dyDescent="0.2">
      <c r="A39" s="8" t="s">
        <v>707</v>
      </c>
      <c r="B39" s="8" t="s">
        <v>2579</v>
      </c>
      <c r="C39" s="8" t="s">
        <v>708</v>
      </c>
      <c r="D39" s="9" t="s">
        <v>41</v>
      </c>
      <c r="E39" s="9" t="s">
        <v>2388</v>
      </c>
      <c r="F39" s="10" t="s">
        <v>2961</v>
      </c>
      <c r="G39" s="9" t="s">
        <v>2429</v>
      </c>
      <c r="H39" s="16" t="s">
        <v>2570</v>
      </c>
      <c r="I39" s="32" t="s">
        <v>2993</v>
      </c>
      <c r="J39" s="26" t="s">
        <v>2994</v>
      </c>
      <c r="K39" s="16">
        <v>1</v>
      </c>
      <c r="L39" s="3" t="s">
        <v>2556</v>
      </c>
      <c r="M39" s="17">
        <f>INDEX(Validade!H:H,MATCH('Controle de Validade'!A39,Validade!C:C,0))</f>
        <v>45899</v>
      </c>
      <c r="N39" s="18"/>
    </row>
    <row r="40" spans="1:14" ht="15" hidden="1" x14ac:dyDescent="0.2">
      <c r="A40" s="8" t="s">
        <v>2052</v>
      </c>
      <c r="B40" s="8" t="s">
        <v>2579</v>
      </c>
      <c r="C40" s="8" t="s">
        <v>2591</v>
      </c>
      <c r="D40" s="9" t="s">
        <v>177</v>
      </c>
      <c r="E40" s="9" t="s">
        <v>2388</v>
      </c>
      <c r="F40" s="10" t="s">
        <v>2387</v>
      </c>
      <c r="G40" s="9" t="s">
        <v>2433</v>
      </c>
      <c r="H40" s="16" t="s">
        <v>2571</v>
      </c>
      <c r="I40" s="25" t="s">
        <v>2412</v>
      </c>
      <c r="J40" s="25" t="s">
        <v>2412</v>
      </c>
      <c r="K40" s="16">
        <v>0</v>
      </c>
      <c r="L40" s="3" t="s">
        <v>2558</v>
      </c>
      <c r="M40" s="17" t="e">
        <f>INDEX(Validade!H:H,MATCH('Controle de Validade'!A40,Validade!C:C,0))</f>
        <v>#N/A</v>
      </c>
      <c r="N40" s="18"/>
    </row>
    <row r="41" spans="1:14" ht="15" hidden="1" x14ac:dyDescent="0.2">
      <c r="A41" s="8" t="s">
        <v>435</v>
      </c>
      <c r="B41" s="8" t="s">
        <v>2581</v>
      </c>
      <c r="C41" s="8" t="s">
        <v>436</v>
      </c>
      <c r="D41" s="9" t="s">
        <v>394</v>
      </c>
      <c r="E41" s="9" t="s">
        <v>2388</v>
      </c>
      <c r="F41" s="10" t="s">
        <v>2961</v>
      </c>
      <c r="G41" s="9" t="s">
        <v>2405</v>
      </c>
      <c r="H41" s="16" t="s">
        <v>2571</v>
      </c>
      <c r="I41" s="25" t="s">
        <v>2412</v>
      </c>
      <c r="J41" s="25" t="s">
        <v>2412</v>
      </c>
      <c r="K41" s="16">
        <v>0</v>
      </c>
      <c r="L41" s="3" t="s">
        <v>2556</v>
      </c>
      <c r="M41" s="17">
        <f>INDEX(Validade!H:H,MATCH('Controle de Validade'!A41,Validade!C:C,0))</f>
        <v>62458</v>
      </c>
      <c r="N41" s="18"/>
    </row>
    <row r="42" spans="1:14" ht="15" hidden="1" x14ac:dyDescent="0.2">
      <c r="A42" s="8" t="s">
        <v>1374</v>
      </c>
      <c r="B42" s="8" t="s">
        <v>2580</v>
      </c>
      <c r="C42" s="8" t="s">
        <v>1375</v>
      </c>
      <c r="D42" s="9" t="s">
        <v>1019</v>
      </c>
      <c r="E42" s="9" t="s">
        <v>2388</v>
      </c>
      <c r="F42" s="10" t="s">
        <v>2387</v>
      </c>
      <c r="G42" s="9" t="s">
        <v>2400</v>
      </c>
      <c r="H42" s="29" t="s">
        <v>2571</v>
      </c>
      <c r="I42" s="25" t="s">
        <v>2412</v>
      </c>
      <c r="J42" s="25" t="s">
        <v>2412</v>
      </c>
      <c r="K42" s="16">
        <v>0</v>
      </c>
      <c r="L42" s="3" t="s">
        <v>2556</v>
      </c>
      <c r="M42" s="17">
        <f>INDEX(Validade!H:H,MATCH('Controle de Validade'!A42,Validade!C:C,0))</f>
        <v>62458</v>
      </c>
      <c r="N42" s="18"/>
    </row>
    <row r="43" spans="1:14" ht="15" hidden="1" x14ac:dyDescent="0.2">
      <c r="A43" s="8" t="s">
        <v>123</v>
      </c>
      <c r="B43" s="8" t="s">
        <v>2581</v>
      </c>
      <c r="C43" s="8" t="s">
        <v>124</v>
      </c>
      <c r="D43" s="9" t="s">
        <v>125</v>
      </c>
      <c r="E43" s="9" t="s">
        <v>2388</v>
      </c>
      <c r="F43" s="10" t="s">
        <v>2387</v>
      </c>
      <c r="G43" s="9" t="s">
        <v>2431</v>
      </c>
      <c r="H43" s="16" t="s">
        <v>2571</v>
      </c>
      <c r="I43" s="25" t="s">
        <v>2412</v>
      </c>
      <c r="J43" s="25" t="s">
        <v>2412</v>
      </c>
      <c r="K43" s="16">
        <v>0</v>
      </c>
      <c r="L43" s="3" t="s">
        <v>2556</v>
      </c>
      <c r="M43" s="17">
        <f>INDEX(Validade!H:H,MATCH('Controle de Validade'!A43,Validade!C:C,0))</f>
        <v>62458</v>
      </c>
      <c r="N43" s="18"/>
    </row>
    <row r="44" spans="1:14" ht="15" hidden="1" x14ac:dyDescent="0.2">
      <c r="A44" s="28" t="s">
        <v>949</v>
      </c>
      <c r="B44" s="8" t="s">
        <v>2579</v>
      </c>
      <c r="C44" s="8" t="s">
        <v>950</v>
      </c>
      <c r="D44" s="9" t="s">
        <v>947</v>
      </c>
      <c r="E44" s="9" t="s">
        <v>2393</v>
      </c>
      <c r="F44" s="10" t="s">
        <v>2392</v>
      </c>
      <c r="G44" s="9" t="s">
        <v>2506</v>
      </c>
      <c r="H44" s="16" t="s">
        <v>2570</v>
      </c>
      <c r="I44" s="56"/>
      <c r="J44" s="43"/>
      <c r="K44" s="16">
        <v>1</v>
      </c>
      <c r="L44" s="3" t="s">
        <v>2556</v>
      </c>
      <c r="M44" s="17">
        <f>INDEX(Validade!H:H,MATCH('Controle de Validade'!A44,Validade!C:C,0))</f>
        <v>45716</v>
      </c>
      <c r="N44" s="55" t="s">
        <v>3201</v>
      </c>
    </row>
    <row r="45" spans="1:14" ht="15" hidden="1" x14ac:dyDescent="0.2">
      <c r="A45" s="8" t="s">
        <v>920</v>
      </c>
      <c r="B45" s="8" t="s">
        <v>2579</v>
      </c>
      <c r="C45" s="8" t="s">
        <v>921</v>
      </c>
      <c r="D45" s="9" t="s">
        <v>922</v>
      </c>
      <c r="E45" s="9" t="s">
        <v>2388</v>
      </c>
      <c r="F45" s="10" t="s">
        <v>2392</v>
      </c>
      <c r="G45" s="9" t="s">
        <v>2451</v>
      </c>
      <c r="H45" s="16" t="s">
        <v>2571</v>
      </c>
      <c r="I45" s="25" t="s">
        <v>2412</v>
      </c>
      <c r="J45" s="25" t="s">
        <v>2412</v>
      </c>
      <c r="K45" s="16">
        <v>0</v>
      </c>
      <c r="L45" s="3" t="s">
        <v>2556</v>
      </c>
      <c r="M45" s="17">
        <f>INDEX(Validade!H:H,MATCH('Controle de Validade'!A45,Validade!C:C,0))</f>
        <v>62458</v>
      </c>
      <c r="N45" s="18"/>
    </row>
    <row r="46" spans="1:14" ht="15" hidden="1" x14ac:dyDescent="0.2">
      <c r="A46" s="8" t="s">
        <v>538</v>
      </c>
      <c r="B46" s="8" t="s">
        <v>2579</v>
      </c>
      <c r="C46" s="8" t="s">
        <v>256</v>
      </c>
      <c r="D46" s="9" t="s">
        <v>15</v>
      </c>
      <c r="E46" s="9" t="s">
        <v>2388</v>
      </c>
      <c r="F46" s="10" t="s">
        <v>2387</v>
      </c>
      <c r="G46" s="9" t="s">
        <v>2410</v>
      </c>
      <c r="H46" s="16" t="s">
        <v>2571</v>
      </c>
      <c r="I46" s="25" t="s">
        <v>2412</v>
      </c>
      <c r="J46" s="25" t="s">
        <v>2412</v>
      </c>
      <c r="K46" s="16">
        <v>0</v>
      </c>
      <c r="L46" s="3" t="s">
        <v>2556</v>
      </c>
      <c r="M46" s="17">
        <f>INDEX(Validade!H:H,MATCH('Controle de Validade'!A46,Validade!C:C,0))</f>
        <v>62458</v>
      </c>
      <c r="N46" s="18"/>
    </row>
    <row r="47" spans="1:14" ht="15" hidden="1" x14ac:dyDescent="0.2">
      <c r="A47" s="8" t="s">
        <v>311</v>
      </c>
      <c r="B47" s="8" t="s">
        <v>2579</v>
      </c>
      <c r="C47" s="8" t="s">
        <v>312</v>
      </c>
      <c r="D47" s="9" t="s">
        <v>2548</v>
      </c>
      <c r="E47" s="9" t="s">
        <v>2388</v>
      </c>
      <c r="F47" s="10" t="s">
        <v>2392</v>
      </c>
      <c r="G47" s="9" t="s">
        <v>2463</v>
      </c>
      <c r="H47" s="16" t="s">
        <v>2571</v>
      </c>
      <c r="I47" s="25" t="s">
        <v>2412</v>
      </c>
      <c r="J47" s="25" t="s">
        <v>2412</v>
      </c>
      <c r="K47" s="16">
        <v>1</v>
      </c>
      <c r="L47" s="3" t="s">
        <v>2556</v>
      </c>
      <c r="M47" s="17">
        <f>INDEX(Validade!H:H,MATCH('Controle de Validade'!A47,Validade!C:C,0))</f>
        <v>62458</v>
      </c>
      <c r="N47" s="18" t="s">
        <v>2576</v>
      </c>
    </row>
    <row r="48" spans="1:14" ht="15" hidden="1" x14ac:dyDescent="0.2">
      <c r="A48" s="8" t="s">
        <v>323</v>
      </c>
      <c r="B48" s="8" t="s">
        <v>2579</v>
      </c>
      <c r="C48" s="8" t="s">
        <v>324</v>
      </c>
      <c r="D48" s="9" t="s">
        <v>2499</v>
      </c>
      <c r="E48" s="9" t="s">
        <v>2388</v>
      </c>
      <c r="F48" s="10" t="s">
        <v>2392</v>
      </c>
      <c r="G48" s="9" t="s">
        <v>2463</v>
      </c>
      <c r="H48" s="16" t="s">
        <v>2571</v>
      </c>
      <c r="I48" s="25" t="s">
        <v>2412</v>
      </c>
      <c r="J48" s="25" t="s">
        <v>2412</v>
      </c>
      <c r="K48" s="16">
        <v>0</v>
      </c>
      <c r="L48" s="3" t="s">
        <v>2556</v>
      </c>
      <c r="M48" s="17">
        <f>INDEX(Validade!H:H,MATCH('Controle de Validade'!A48,Validade!C:C,0))</f>
        <v>62458</v>
      </c>
      <c r="N48" s="18"/>
    </row>
    <row r="49" spans="1:14" ht="15" hidden="1" x14ac:dyDescent="0.2">
      <c r="A49" s="8" t="s">
        <v>327</v>
      </c>
      <c r="B49" s="8" t="s">
        <v>2579</v>
      </c>
      <c r="C49" s="8" t="s">
        <v>328</v>
      </c>
      <c r="D49" s="9" t="s">
        <v>144</v>
      </c>
      <c r="E49" s="9" t="s">
        <v>2388</v>
      </c>
      <c r="F49" s="10" t="s">
        <v>2392</v>
      </c>
      <c r="G49" s="9" t="s">
        <v>2463</v>
      </c>
      <c r="H49" s="16" t="s">
        <v>2571</v>
      </c>
      <c r="I49" s="25" t="s">
        <v>2412</v>
      </c>
      <c r="J49" s="25" t="s">
        <v>2412</v>
      </c>
      <c r="K49" s="16">
        <v>0</v>
      </c>
      <c r="L49" s="3" t="s">
        <v>2556</v>
      </c>
      <c r="M49" s="17">
        <f>INDEX(Validade!H:H,MATCH('Controle de Validade'!A49,Validade!C:C,0))</f>
        <v>0</v>
      </c>
      <c r="N49" s="18"/>
    </row>
    <row r="50" spans="1:14" ht="15" hidden="1" x14ac:dyDescent="0.2">
      <c r="A50" s="8" t="s">
        <v>349</v>
      </c>
      <c r="B50" s="8" t="s">
        <v>2579</v>
      </c>
      <c r="C50" s="8" t="s">
        <v>350</v>
      </c>
      <c r="D50" s="9" t="s">
        <v>144</v>
      </c>
      <c r="E50" s="9" t="s">
        <v>2388</v>
      </c>
      <c r="F50" s="10" t="s">
        <v>2392</v>
      </c>
      <c r="G50" s="9" t="s">
        <v>2463</v>
      </c>
      <c r="H50" s="16" t="s">
        <v>2571</v>
      </c>
      <c r="I50" s="25" t="s">
        <v>2412</v>
      </c>
      <c r="J50" s="25" t="s">
        <v>2412</v>
      </c>
      <c r="K50" s="16">
        <v>1</v>
      </c>
      <c r="L50" s="3" t="s">
        <v>2556</v>
      </c>
      <c r="M50" s="17">
        <f>INDEX(Validade!H:H,MATCH('Controle de Validade'!A50,Validade!C:C,0))</f>
        <v>62458</v>
      </c>
      <c r="N50" s="18" t="s">
        <v>2576</v>
      </c>
    </row>
    <row r="51" spans="1:14" ht="15" hidden="1" x14ac:dyDescent="0.2">
      <c r="A51" s="8" t="s">
        <v>823</v>
      </c>
      <c r="B51" s="8" t="s">
        <v>2579</v>
      </c>
      <c r="C51" s="8" t="s">
        <v>824</v>
      </c>
      <c r="D51" s="9" t="s">
        <v>2475</v>
      </c>
      <c r="E51" s="9" t="s">
        <v>2476</v>
      </c>
      <c r="F51" s="10" t="s">
        <v>2387</v>
      </c>
      <c r="G51" s="9" t="s">
        <v>2456</v>
      </c>
      <c r="H51" s="20" t="s">
        <v>2571</v>
      </c>
      <c r="I51" s="25" t="s">
        <v>2412</v>
      </c>
      <c r="J51" s="25" t="s">
        <v>2412</v>
      </c>
      <c r="K51" s="16">
        <v>0</v>
      </c>
      <c r="L51" s="3" t="s">
        <v>2556</v>
      </c>
      <c r="M51" s="17">
        <f>INDEX(Validade!H:H,MATCH('Controle de Validade'!A51,Validade!C:C,0))</f>
        <v>0</v>
      </c>
      <c r="N51" s="18"/>
    </row>
    <row r="52" spans="1:14" ht="15" hidden="1" x14ac:dyDescent="0.2">
      <c r="A52" s="8" t="s">
        <v>961</v>
      </c>
      <c r="B52" s="8" t="s">
        <v>2580</v>
      </c>
      <c r="C52" s="8" t="s">
        <v>962</v>
      </c>
      <c r="D52" s="9" t="s">
        <v>903</v>
      </c>
      <c r="E52" s="9" t="s">
        <v>2393</v>
      </c>
      <c r="F52" s="10" t="s">
        <v>2392</v>
      </c>
      <c r="G52" s="9" t="s">
        <v>2397</v>
      </c>
      <c r="H52" s="16" t="s">
        <v>2571</v>
      </c>
      <c r="I52" s="25" t="s">
        <v>2412</v>
      </c>
      <c r="J52" s="25" t="s">
        <v>2412</v>
      </c>
      <c r="K52" s="16">
        <v>0</v>
      </c>
      <c r="L52" s="3" t="s">
        <v>2556</v>
      </c>
      <c r="M52" s="17">
        <f>INDEX(Validade!H:H,MATCH('Controle de Validade'!A52,Validade!C:C,0))</f>
        <v>0</v>
      </c>
      <c r="N52" s="18"/>
    </row>
    <row r="53" spans="1:14" ht="15" hidden="1" x14ac:dyDescent="0.2">
      <c r="A53" s="8" t="s">
        <v>2333</v>
      </c>
      <c r="B53" s="8" t="s">
        <v>2579</v>
      </c>
      <c r="C53" s="8" t="s">
        <v>2592</v>
      </c>
      <c r="D53" s="9" t="e">
        <v>#N/A</v>
      </c>
      <c r="E53" s="9" t="s">
        <v>2388</v>
      </c>
      <c r="F53" s="10" t="s">
        <v>2387</v>
      </c>
      <c r="G53" s="9" t="s">
        <v>2410</v>
      </c>
      <c r="H53" s="16" t="s">
        <v>2571</v>
      </c>
      <c r="I53" s="25" t="s">
        <v>2412</v>
      </c>
      <c r="J53" s="25" t="s">
        <v>2412</v>
      </c>
      <c r="K53" s="16">
        <v>0</v>
      </c>
      <c r="L53" s="3" t="s">
        <v>2558</v>
      </c>
      <c r="M53" s="17" t="e">
        <f>INDEX(Validade!H:H,MATCH('Controle de Validade'!A53,Validade!C:C,0))</f>
        <v>#N/A</v>
      </c>
      <c r="N53" s="18"/>
    </row>
    <row r="54" spans="1:14" ht="15" hidden="1" x14ac:dyDescent="0.2">
      <c r="A54" s="8" t="s">
        <v>2282</v>
      </c>
      <c r="B54" s="8" t="s">
        <v>2579</v>
      </c>
      <c r="C54" s="8" t="s">
        <v>2593</v>
      </c>
      <c r="D54" s="9" t="s">
        <v>2499</v>
      </c>
      <c r="E54" s="9" t="s">
        <v>2388</v>
      </c>
      <c r="F54" s="10" t="s">
        <v>2392</v>
      </c>
      <c r="G54" s="9" t="s">
        <v>2410</v>
      </c>
      <c r="H54" s="16" t="s">
        <v>2571</v>
      </c>
      <c r="I54" s="25" t="s">
        <v>2412</v>
      </c>
      <c r="J54" s="25" t="s">
        <v>2412</v>
      </c>
      <c r="K54" s="16">
        <v>0</v>
      </c>
      <c r="L54" s="3" t="s">
        <v>2556</v>
      </c>
      <c r="M54" s="17" t="e">
        <f>INDEX(Validade!H:H,MATCH('Controle de Validade'!A54,Validade!C:C,0))</f>
        <v>#N/A</v>
      </c>
      <c r="N54" s="18"/>
    </row>
    <row r="55" spans="1:14" ht="15" hidden="1" x14ac:dyDescent="0.2">
      <c r="A55" s="8" t="s">
        <v>146</v>
      </c>
      <c r="B55" s="8" t="s">
        <v>2579</v>
      </c>
      <c r="C55" s="8" t="s">
        <v>147</v>
      </c>
      <c r="D55" s="9" t="s">
        <v>2487</v>
      </c>
      <c r="E55" s="9" t="s">
        <v>2388</v>
      </c>
      <c r="F55" s="10" t="s">
        <v>2392</v>
      </c>
      <c r="G55" s="9" t="s">
        <v>2463</v>
      </c>
      <c r="H55" s="16" t="s">
        <v>2571</v>
      </c>
      <c r="I55" s="25" t="s">
        <v>2412</v>
      </c>
      <c r="J55" s="25" t="s">
        <v>2412</v>
      </c>
      <c r="K55" s="16">
        <v>0</v>
      </c>
      <c r="L55" s="3" t="s">
        <v>2556</v>
      </c>
      <c r="M55" s="17">
        <f>INDEX(Validade!H:H,MATCH('Controle de Validade'!A55,Validade!C:C,0))</f>
        <v>0</v>
      </c>
      <c r="N55" s="18"/>
    </row>
    <row r="56" spans="1:14" ht="15" hidden="1" x14ac:dyDescent="0.2">
      <c r="A56" s="8" t="s">
        <v>1020</v>
      </c>
      <c r="B56" s="8" t="s">
        <v>2579</v>
      </c>
      <c r="C56" s="8" t="s">
        <v>1021</v>
      </c>
      <c r="D56" s="9" t="s">
        <v>1019</v>
      </c>
      <c r="E56" s="9" t="s">
        <v>2388</v>
      </c>
      <c r="F56" s="10" t="s">
        <v>2387</v>
      </c>
      <c r="G56" s="9" t="s">
        <v>2400</v>
      </c>
      <c r="H56" s="29" t="s">
        <v>2571</v>
      </c>
      <c r="I56" s="25" t="s">
        <v>2412</v>
      </c>
      <c r="J56" s="25" t="s">
        <v>2412</v>
      </c>
      <c r="K56" s="16">
        <v>0</v>
      </c>
      <c r="L56" s="3" t="s">
        <v>2556</v>
      </c>
      <c r="M56" s="17">
        <f>INDEX(Validade!H:H,MATCH('Controle de Validade'!A56,Validade!C:C,0))</f>
        <v>62458</v>
      </c>
      <c r="N56" s="18"/>
    </row>
    <row r="57" spans="1:14" ht="15" hidden="1" x14ac:dyDescent="0.2">
      <c r="A57" s="8" t="s">
        <v>1016</v>
      </c>
      <c r="B57" s="8" t="s">
        <v>2579</v>
      </c>
      <c r="C57" s="8" t="s">
        <v>1017</v>
      </c>
      <c r="D57" s="9" t="s">
        <v>1019</v>
      </c>
      <c r="E57" s="9" t="s">
        <v>2388</v>
      </c>
      <c r="F57" s="10" t="s">
        <v>2387</v>
      </c>
      <c r="G57" s="9" t="s">
        <v>2400</v>
      </c>
      <c r="H57" s="29" t="s">
        <v>2571</v>
      </c>
      <c r="I57" s="25" t="s">
        <v>2412</v>
      </c>
      <c r="J57" s="25" t="s">
        <v>2412</v>
      </c>
      <c r="K57" s="16">
        <v>0</v>
      </c>
      <c r="L57" s="3" t="s">
        <v>2556</v>
      </c>
      <c r="M57" s="17">
        <f>INDEX(Validade!H:H,MATCH('Controle de Validade'!A57,Validade!C:C,0))</f>
        <v>0</v>
      </c>
      <c r="N57" s="18"/>
    </row>
    <row r="58" spans="1:14" ht="15" hidden="1" x14ac:dyDescent="0.2">
      <c r="A58" s="8" t="s">
        <v>1010</v>
      </c>
      <c r="B58" s="8" t="s">
        <v>2579</v>
      </c>
      <c r="C58" s="8" t="s">
        <v>1011</v>
      </c>
      <c r="D58" s="9" t="s">
        <v>41</v>
      </c>
      <c r="E58" s="9" t="s">
        <v>2388</v>
      </c>
      <c r="F58" s="10" t="s">
        <v>2961</v>
      </c>
      <c r="G58" s="9" t="s">
        <v>2429</v>
      </c>
      <c r="H58" s="16" t="s">
        <v>2570</v>
      </c>
      <c r="I58" s="32" t="s">
        <v>2993</v>
      </c>
      <c r="J58" s="26" t="s">
        <v>2994</v>
      </c>
      <c r="K58" s="16">
        <v>1</v>
      </c>
      <c r="L58" s="3" t="s">
        <v>2556</v>
      </c>
      <c r="M58" s="17">
        <f>INDEX(Validade!H:H,MATCH('Controle de Validade'!A58,Validade!C:C,0))</f>
        <v>45953</v>
      </c>
      <c r="N58" s="18"/>
    </row>
    <row r="59" spans="1:14" ht="15" hidden="1" x14ac:dyDescent="0.2">
      <c r="A59" s="8" t="s">
        <v>1430</v>
      </c>
      <c r="B59" s="8" t="s">
        <v>2579</v>
      </c>
      <c r="C59" s="8" t="s">
        <v>1431</v>
      </c>
      <c r="D59" s="9" t="s">
        <v>922</v>
      </c>
      <c r="E59" s="9" t="s">
        <v>2388</v>
      </c>
      <c r="F59" s="10" t="s">
        <v>2392</v>
      </c>
      <c r="G59" s="9" t="s">
        <v>2451</v>
      </c>
      <c r="H59" s="16" t="s">
        <v>2571</v>
      </c>
      <c r="I59" s="25" t="s">
        <v>2412</v>
      </c>
      <c r="J59" s="25" t="s">
        <v>2412</v>
      </c>
      <c r="K59" s="16">
        <v>0</v>
      </c>
      <c r="L59" s="3" t="s">
        <v>2556</v>
      </c>
      <c r="M59" s="17">
        <f>INDEX(Validade!H:H,MATCH('Controle de Validade'!A59,Validade!C:C,0))</f>
        <v>0</v>
      </c>
      <c r="N59" s="18"/>
    </row>
    <row r="60" spans="1:14" ht="15" hidden="1" x14ac:dyDescent="0.2">
      <c r="A60" s="8" t="s">
        <v>2298</v>
      </c>
      <c r="B60" s="8" t="s">
        <v>2579</v>
      </c>
      <c r="C60" s="8" t="s">
        <v>2594</v>
      </c>
      <c r="D60" s="9" t="s">
        <v>2394</v>
      </c>
      <c r="E60" s="9">
        <v>0</v>
      </c>
      <c r="F60" s="10" t="s">
        <v>2387</v>
      </c>
      <c r="G60" s="9" t="s">
        <v>2400</v>
      </c>
      <c r="H60" s="16" t="s">
        <v>2571</v>
      </c>
      <c r="I60" s="25" t="s">
        <v>2412</v>
      </c>
      <c r="J60" s="25" t="s">
        <v>2412</v>
      </c>
      <c r="K60" s="16">
        <v>0</v>
      </c>
      <c r="L60" s="3" t="s">
        <v>2556</v>
      </c>
      <c r="M60" s="17" t="e">
        <f>INDEX(Validade!H:H,MATCH('Controle de Validade'!A60,Validade!C:C,0))</f>
        <v>#N/A</v>
      </c>
      <c r="N60" s="18"/>
    </row>
    <row r="61" spans="1:14" ht="15" hidden="1" x14ac:dyDescent="0.2">
      <c r="A61" s="8" t="s">
        <v>2168</v>
      </c>
      <c r="B61" s="8" t="s">
        <v>2580</v>
      </c>
      <c r="C61" s="8" t="s">
        <v>2595</v>
      </c>
      <c r="D61" s="9" t="s">
        <v>1312</v>
      </c>
      <c r="E61" s="9" t="s">
        <v>2388</v>
      </c>
      <c r="F61" s="10" t="s">
        <v>2392</v>
      </c>
      <c r="G61" s="9" t="s">
        <v>2400</v>
      </c>
      <c r="H61" s="16" t="s">
        <v>2571</v>
      </c>
      <c r="I61" s="25" t="s">
        <v>2412</v>
      </c>
      <c r="J61" s="25" t="s">
        <v>2412</v>
      </c>
      <c r="K61" s="16">
        <v>0</v>
      </c>
      <c r="L61" s="3" t="s">
        <v>2556</v>
      </c>
      <c r="M61" s="17" t="e">
        <f>INDEX(Validade!H:H,MATCH('Controle de Validade'!A61,Validade!C:C,0))</f>
        <v>#N/A</v>
      </c>
      <c r="N61" s="18"/>
    </row>
    <row r="62" spans="1:14" ht="15" hidden="1" x14ac:dyDescent="0.2">
      <c r="A62" s="8" t="s">
        <v>2288</v>
      </c>
      <c r="B62" s="8" t="s">
        <v>2579</v>
      </c>
      <c r="C62" s="8" t="s">
        <v>2596</v>
      </c>
      <c r="D62" s="9" t="s">
        <v>998</v>
      </c>
      <c r="E62" s="9" t="s">
        <v>2388</v>
      </c>
      <c r="F62" s="10" t="s">
        <v>2961</v>
      </c>
      <c r="G62" s="9" t="s">
        <v>2446</v>
      </c>
      <c r="H62" s="16" t="s">
        <v>2571</v>
      </c>
      <c r="I62" s="25" t="s">
        <v>2412</v>
      </c>
      <c r="J62" s="25" t="s">
        <v>2412</v>
      </c>
      <c r="K62" s="16">
        <v>0</v>
      </c>
      <c r="L62" s="3" t="s">
        <v>2558</v>
      </c>
      <c r="M62" s="17" t="e">
        <f>INDEX(Validade!H:H,MATCH('Controle de Validade'!A62,Validade!C:C,0))</f>
        <v>#N/A</v>
      </c>
      <c r="N62" s="18"/>
    </row>
    <row r="63" spans="1:14" ht="15" hidden="1" x14ac:dyDescent="0.2">
      <c r="A63" s="8" t="s">
        <v>2275</v>
      </c>
      <c r="B63" s="8" t="s">
        <v>2579</v>
      </c>
      <c r="C63" s="8" t="s">
        <v>2597</v>
      </c>
      <c r="D63" s="9" t="s">
        <v>998</v>
      </c>
      <c r="E63" s="9" t="s">
        <v>2388</v>
      </c>
      <c r="F63" s="10" t="s">
        <v>2961</v>
      </c>
      <c r="G63" s="9" t="s">
        <v>2446</v>
      </c>
      <c r="H63" s="16" t="s">
        <v>2571</v>
      </c>
      <c r="I63" s="25" t="s">
        <v>2412</v>
      </c>
      <c r="J63" s="25" t="s">
        <v>2412</v>
      </c>
      <c r="K63" s="16">
        <v>0</v>
      </c>
      <c r="L63" s="3" t="s">
        <v>2556</v>
      </c>
      <c r="M63" s="17" t="e">
        <f>INDEX(Validade!H:H,MATCH('Controle de Validade'!A63,Validade!C:C,0))</f>
        <v>#N/A</v>
      </c>
      <c r="N63" s="18"/>
    </row>
    <row r="64" spans="1:14" ht="15" hidden="1" x14ac:dyDescent="0.2">
      <c r="A64" s="8" t="s">
        <v>2276</v>
      </c>
      <c r="B64" s="8" t="s">
        <v>2579</v>
      </c>
      <c r="C64" s="8" t="s">
        <v>2598</v>
      </c>
      <c r="D64" s="9" t="s">
        <v>998</v>
      </c>
      <c r="E64" s="9" t="s">
        <v>2388</v>
      </c>
      <c r="F64" s="10" t="s">
        <v>2961</v>
      </c>
      <c r="G64" s="9" t="s">
        <v>2446</v>
      </c>
      <c r="H64" s="16" t="s">
        <v>2571</v>
      </c>
      <c r="I64" s="25" t="s">
        <v>2412</v>
      </c>
      <c r="J64" s="25" t="s">
        <v>2412</v>
      </c>
      <c r="K64" s="16">
        <v>0</v>
      </c>
      <c r="L64" s="3" t="s">
        <v>2558</v>
      </c>
      <c r="M64" s="17" t="e">
        <f>INDEX(Validade!H:H,MATCH('Controle de Validade'!A64,Validade!C:C,0))</f>
        <v>#N/A</v>
      </c>
      <c r="N64" s="18"/>
    </row>
    <row r="65" spans="1:14" ht="15" hidden="1" x14ac:dyDescent="0.2">
      <c r="A65" s="8" t="s">
        <v>2277</v>
      </c>
      <c r="B65" s="8" t="s">
        <v>2579</v>
      </c>
      <c r="C65" s="8" t="s">
        <v>2599</v>
      </c>
      <c r="D65" s="9" t="s">
        <v>998</v>
      </c>
      <c r="E65" s="9" t="s">
        <v>2388</v>
      </c>
      <c r="F65" s="10" t="s">
        <v>2961</v>
      </c>
      <c r="G65" s="9" t="s">
        <v>2446</v>
      </c>
      <c r="H65" s="16" t="s">
        <v>2571</v>
      </c>
      <c r="I65" s="25" t="s">
        <v>2412</v>
      </c>
      <c r="J65" s="25" t="s">
        <v>2412</v>
      </c>
      <c r="K65" s="16">
        <v>0</v>
      </c>
      <c r="L65" s="3" t="s">
        <v>2556</v>
      </c>
      <c r="M65" s="17" t="e">
        <f>INDEX(Validade!H:H,MATCH('Controle de Validade'!A65,Validade!C:C,0))</f>
        <v>#N/A</v>
      </c>
      <c r="N65" s="18"/>
    </row>
    <row r="66" spans="1:14" ht="15" hidden="1" x14ac:dyDescent="0.2">
      <c r="A66" s="8" t="s">
        <v>2278</v>
      </c>
      <c r="B66" s="8" t="s">
        <v>2579</v>
      </c>
      <c r="C66" s="8" t="s">
        <v>2600</v>
      </c>
      <c r="D66" s="9" t="s">
        <v>998</v>
      </c>
      <c r="E66" s="9" t="s">
        <v>2388</v>
      </c>
      <c r="F66" s="10" t="s">
        <v>2961</v>
      </c>
      <c r="G66" s="9" t="s">
        <v>2446</v>
      </c>
      <c r="H66" s="16" t="s">
        <v>2571</v>
      </c>
      <c r="I66" s="25" t="s">
        <v>2412</v>
      </c>
      <c r="J66" s="25" t="s">
        <v>2412</v>
      </c>
      <c r="K66" s="16">
        <v>0</v>
      </c>
      <c r="L66" s="3" t="s">
        <v>2558</v>
      </c>
      <c r="M66" s="17" t="e">
        <f>INDEX(Validade!H:H,MATCH('Controle de Validade'!A66,Validade!C:C,0))</f>
        <v>#N/A</v>
      </c>
      <c r="N66" s="18"/>
    </row>
    <row r="67" spans="1:14" ht="15" hidden="1" x14ac:dyDescent="0.2">
      <c r="A67" s="8" t="s">
        <v>2279</v>
      </c>
      <c r="B67" s="8" t="s">
        <v>2579</v>
      </c>
      <c r="C67" s="8" t="s">
        <v>2601</v>
      </c>
      <c r="D67" s="9" t="s">
        <v>998</v>
      </c>
      <c r="E67" s="9" t="s">
        <v>2388</v>
      </c>
      <c r="F67" s="10" t="s">
        <v>2961</v>
      </c>
      <c r="G67" s="9" t="s">
        <v>2446</v>
      </c>
      <c r="H67" s="16" t="s">
        <v>2571</v>
      </c>
      <c r="I67" s="25" t="s">
        <v>2412</v>
      </c>
      <c r="J67" s="25" t="s">
        <v>2412</v>
      </c>
      <c r="K67" s="16">
        <v>0</v>
      </c>
      <c r="L67" s="3" t="s">
        <v>2558</v>
      </c>
      <c r="M67" s="17" t="e">
        <f>INDEX(Validade!H:H,MATCH('Controle de Validade'!A67,Validade!C:C,0))</f>
        <v>#N/A</v>
      </c>
      <c r="N67" s="18"/>
    </row>
    <row r="68" spans="1:14" ht="15" hidden="1" x14ac:dyDescent="0.2">
      <c r="A68" s="8" t="s">
        <v>2280</v>
      </c>
      <c r="B68" s="8" t="s">
        <v>2579</v>
      </c>
      <c r="C68" s="8" t="s">
        <v>2602</v>
      </c>
      <c r="D68" s="9" t="s">
        <v>998</v>
      </c>
      <c r="E68" s="9" t="s">
        <v>2388</v>
      </c>
      <c r="F68" s="10" t="s">
        <v>2961</v>
      </c>
      <c r="G68" s="9" t="s">
        <v>2446</v>
      </c>
      <c r="H68" s="16" t="s">
        <v>2571</v>
      </c>
      <c r="I68" s="25" t="s">
        <v>2412</v>
      </c>
      <c r="J68" s="25" t="s">
        <v>2412</v>
      </c>
      <c r="K68" s="16">
        <v>0</v>
      </c>
      <c r="L68" s="3" t="s">
        <v>2558</v>
      </c>
      <c r="M68" s="17" t="e">
        <f>INDEX(Validade!H:H,MATCH('Controle de Validade'!A68,Validade!C:C,0))</f>
        <v>#N/A</v>
      </c>
      <c r="N68" s="18"/>
    </row>
    <row r="69" spans="1:14" ht="15" hidden="1" x14ac:dyDescent="0.2">
      <c r="A69" s="8" t="s">
        <v>2281</v>
      </c>
      <c r="B69" s="8" t="s">
        <v>2579</v>
      </c>
      <c r="C69" s="8" t="s">
        <v>2603</v>
      </c>
      <c r="D69" s="9" t="s">
        <v>998</v>
      </c>
      <c r="E69" s="9" t="s">
        <v>2388</v>
      </c>
      <c r="F69" s="10" t="s">
        <v>2961</v>
      </c>
      <c r="G69" s="9" t="s">
        <v>2446</v>
      </c>
      <c r="H69" s="16" t="s">
        <v>2571</v>
      </c>
      <c r="I69" s="25" t="s">
        <v>2412</v>
      </c>
      <c r="J69" s="25" t="s">
        <v>2412</v>
      </c>
      <c r="K69" s="16">
        <v>0</v>
      </c>
      <c r="L69" s="3" t="s">
        <v>2558</v>
      </c>
      <c r="M69" s="17" t="e">
        <f>INDEX(Validade!H:H,MATCH('Controle de Validade'!A69,Validade!C:C,0))</f>
        <v>#N/A</v>
      </c>
      <c r="N69" s="18"/>
    </row>
    <row r="70" spans="1:14" ht="15" hidden="1" x14ac:dyDescent="0.2">
      <c r="A70" s="8" t="s">
        <v>2078</v>
      </c>
      <c r="B70" s="8" t="s">
        <v>2579</v>
      </c>
      <c r="C70" s="8" t="s">
        <v>2604</v>
      </c>
      <c r="D70" s="9" t="s">
        <v>998</v>
      </c>
      <c r="E70" s="9" t="s">
        <v>2388</v>
      </c>
      <c r="F70" s="10" t="s">
        <v>2961</v>
      </c>
      <c r="G70" s="9" t="s">
        <v>2446</v>
      </c>
      <c r="H70" s="16" t="s">
        <v>2571</v>
      </c>
      <c r="I70" s="25" t="s">
        <v>2412</v>
      </c>
      <c r="J70" s="25" t="s">
        <v>2412</v>
      </c>
      <c r="K70" s="16">
        <v>0</v>
      </c>
      <c r="L70" s="3" t="s">
        <v>2558</v>
      </c>
      <c r="M70" s="17" t="e">
        <f>INDEX(Validade!H:H,MATCH('Controle de Validade'!A70,Validade!C:C,0))</f>
        <v>#N/A</v>
      </c>
      <c r="N70" s="18"/>
    </row>
    <row r="71" spans="1:14" ht="15" hidden="1" x14ac:dyDescent="0.2">
      <c r="A71" s="8" t="s">
        <v>2097</v>
      </c>
      <c r="B71" s="8" t="s">
        <v>2579</v>
      </c>
      <c r="C71" s="8" t="s">
        <v>2605</v>
      </c>
      <c r="D71" s="9" t="s">
        <v>998</v>
      </c>
      <c r="E71" s="9" t="s">
        <v>2388</v>
      </c>
      <c r="F71" s="10" t="s">
        <v>2961</v>
      </c>
      <c r="G71" s="9" t="s">
        <v>2446</v>
      </c>
      <c r="H71" s="16" t="s">
        <v>2571</v>
      </c>
      <c r="I71" s="25" t="s">
        <v>2412</v>
      </c>
      <c r="J71" s="25" t="s">
        <v>2412</v>
      </c>
      <c r="K71" s="16">
        <v>0</v>
      </c>
      <c r="L71" s="3" t="s">
        <v>2558</v>
      </c>
      <c r="M71" s="17" t="e">
        <f>INDEX(Validade!H:H,MATCH('Controle de Validade'!A71,Validade!C:C,0))</f>
        <v>#N/A</v>
      </c>
      <c r="N71" s="18"/>
    </row>
    <row r="72" spans="1:14" ht="15" hidden="1" x14ac:dyDescent="0.2">
      <c r="A72" s="8" t="s">
        <v>2080</v>
      </c>
      <c r="B72" s="8" t="s">
        <v>2579</v>
      </c>
      <c r="C72" s="8" t="s">
        <v>2606</v>
      </c>
      <c r="D72" s="9" t="s">
        <v>998</v>
      </c>
      <c r="E72" s="9" t="s">
        <v>2388</v>
      </c>
      <c r="F72" s="10" t="s">
        <v>2961</v>
      </c>
      <c r="G72" s="9" t="s">
        <v>2446</v>
      </c>
      <c r="H72" s="16" t="s">
        <v>2571</v>
      </c>
      <c r="I72" s="25" t="s">
        <v>2412</v>
      </c>
      <c r="J72" s="25" t="s">
        <v>2412</v>
      </c>
      <c r="K72" s="16">
        <v>0</v>
      </c>
      <c r="L72" s="3" t="s">
        <v>2558</v>
      </c>
      <c r="M72" s="17" t="e">
        <f>INDEX(Validade!H:H,MATCH('Controle de Validade'!A72,Validade!C:C,0))</f>
        <v>#N/A</v>
      </c>
      <c r="N72" s="18"/>
    </row>
    <row r="73" spans="1:14" ht="15" hidden="1" x14ac:dyDescent="0.2">
      <c r="A73" s="8" t="s">
        <v>2098</v>
      </c>
      <c r="B73" s="8" t="s">
        <v>2579</v>
      </c>
      <c r="C73" s="8" t="s">
        <v>2607</v>
      </c>
      <c r="D73" s="9" t="s">
        <v>998</v>
      </c>
      <c r="E73" s="9" t="s">
        <v>2388</v>
      </c>
      <c r="F73" s="10" t="s">
        <v>2961</v>
      </c>
      <c r="G73" s="9" t="s">
        <v>2446</v>
      </c>
      <c r="H73" s="16" t="s">
        <v>2571</v>
      </c>
      <c r="I73" s="25" t="s">
        <v>2412</v>
      </c>
      <c r="J73" s="25" t="s">
        <v>2412</v>
      </c>
      <c r="K73" s="16">
        <v>0</v>
      </c>
      <c r="L73" s="3" t="s">
        <v>2558</v>
      </c>
      <c r="M73" s="17" t="e">
        <f>INDEX(Validade!H:H,MATCH('Controle de Validade'!A73,Validade!C:C,0))</f>
        <v>#N/A</v>
      </c>
      <c r="N73" s="18"/>
    </row>
    <row r="74" spans="1:14" ht="15" hidden="1" x14ac:dyDescent="0.2">
      <c r="A74" s="8" t="s">
        <v>2291</v>
      </c>
      <c r="B74" s="8" t="s">
        <v>2579</v>
      </c>
      <c r="C74" s="8" t="s">
        <v>2608</v>
      </c>
      <c r="D74" s="9" t="s">
        <v>2518</v>
      </c>
      <c r="E74" s="9">
        <v>0</v>
      </c>
      <c r="F74" s="10" t="s">
        <v>2387</v>
      </c>
      <c r="G74" s="9" t="s">
        <v>2410</v>
      </c>
      <c r="H74" s="16" t="s">
        <v>2571</v>
      </c>
      <c r="I74" s="25" t="s">
        <v>2412</v>
      </c>
      <c r="J74" s="25" t="s">
        <v>2412</v>
      </c>
      <c r="K74" s="16">
        <v>0</v>
      </c>
      <c r="L74" s="3" t="s">
        <v>2556</v>
      </c>
      <c r="M74" s="17" t="e">
        <f>INDEX(Validade!H:H,MATCH('Controle de Validade'!A74,Validade!C:C,0))</f>
        <v>#N/A</v>
      </c>
      <c r="N74" s="18"/>
    </row>
    <row r="75" spans="1:14" ht="15" hidden="1" x14ac:dyDescent="0.2">
      <c r="A75" s="8" t="s">
        <v>2149</v>
      </c>
      <c r="B75" s="8" t="s">
        <v>2580</v>
      </c>
      <c r="C75" s="8" t="s">
        <v>2609</v>
      </c>
      <c r="D75" s="9" t="s">
        <v>2396</v>
      </c>
      <c r="E75" s="9" t="s">
        <v>2393</v>
      </c>
      <c r="F75" s="10" t="s">
        <v>2392</v>
      </c>
      <c r="G75" s="9" t="s">
        <v>2397</v>
      </c>
      <c r="H75" s="16" t="s">
        <v>2571</v>
      </c>
      <c r="I75" s="25" t="s">
        <v>2412</v>
      </c>
      <c r="J75" s="25" t="s">
        <v>2412</v>
      </c>
      <c r="K75" s="16">
        <v>0</v>
      </c>
      <c r="L75" s="3" t="s">
        <v>2556</v>
      </c>
      <c r="M75" s="17" t="e">
        <f>INDEX(Validade!H:H,MATCH('Controle de Validade'!A75,Validade!C:C,0))</f>
        <v>#N/A</v>
      </c>
      <c r="N75" s="18"/>
    </row>
    <row r="76" spans="1:14" ht="15" hidden="1" x14ac:dyDescent="0.2">
      <c r="A76" s="8" t="s">
        <v>2086</v>
      </c>
      <c r="B76" s="8" t="s">
        <v>2579</v>
      </c>
      <c r="C76" s="8" t="s">
        <v>2610</v>
      </c>
      <c r="D76" s="9" t="s">
        <v>998</v>
      </c>
      <c r="E76" s="9" t="s">
        <v>2388</v>
      </c>
      <c r="F76" s="10" t="s">
        <v>2961</v>
      </c>
      <c r="G76" s="9" t="s">
        <v>2446</v>
      </c>
      <c r="H76" s="16" t="s">
        <v>2571</v>
      </c>
      <c r="I76" s="25" t="s">
        <v>2412</v>
      </c>
      <c r="J76" s="25" t="s">
        <v>2412</v>
      </c>
      <c r="K76" s="16">
        <v>0</v>
      </c>
      <c r="L76" s="3" t="s">
        <v>2558</v>
      </c>
      <c r="M76" s="17" t="e">
        <f>INDEX(Validade!H:H,MATCH('Controle de Validade'!A76,Validade!C:C,0))</f>
        <v>#N/A</v>
      </c>
      <c r="N76" s="18"/>
    </row>
    <row r="77" spans="1:14" ht="15" hidden="1" x14ac:dyDescent="0.2">
      <c r="A77" s="8" t="s">
        <v>2087</v>
      </c>
      <c r="B77" s="8" t="s">
        <v>2579</v>
      </c>
      <c r="C77" s="8" t="s">
        <v>2611</v>
      </c>
      <c r="D77" s="9" t="s">
        <v>998</v>
      </c>
      <c r="E77" s="9" t="s">
        <v>2388</v>
      </c>
      <c r="F77" s="10" t="s">
        <v>2961</v>
      </c>
      <c r="G77" s="9" t="s">
        <v>2446</v>
      </c>
      <c r="H77" s="16" t="s">
        <v>2571</v>
      </c>
      <c r="I77" s="25" t="s">
        <v>2412</v>
      </c>
      <c r="J77" s="25" t="s">
        <v>2412</v>
      </c>
      <c r="K77" s="16">
        <v>0</v>
      </c>
      <c r="L77" s="3" t="s">
        <v>2558</v>
      </c>
      <c r="M77" s="17" t="e">
        <f>INDEX(Validade!H:H,MATCH('Controle de Validade'!A77,Validade!C:C,0))</f>
        <v>#N/A</v>
      </c>
      <c r="N77" s="18"/>
    </row>
    <row r="78" spans="1:14" ht="15" hidden="1" x14ac:dyDescent="0.2">
      <c r="A78" s="8" t="s">
        <v>2088</v>
      </c>
      <c r="B78" s="8" t="s">
        <v>2579</v>
      </c>
      <c r="C78" s="8" t="s">
        <v>2612</v>
      </c>
      <c r="D78" s="9" t="s">
        <v>998</v>
      </c>
      <c r="E78" s="9" t="s">
        <v>2388</v>
      </c>
      <c r="F78" s="10" t="s">
        <v>2961</v>
      </c>
      <c r="G78" s="9" t="s">
        <v>2446</v>
      </c>
      <c r="H78" s="16" t="s">
        <v>2571</v>
      </c>
      <c r="I78" s="25" t="s">
        <v>2412</v>
      </c>
      <c r="J78" s="25" t="s">
        <v>2412</v>
      </c>
      <c r="K78" s="16">
        <v>0</v>
      </c>
      <c r="L78" s="3" t="s">
        <v>2558</v>
      </c>
      <c r="M78" s="17" t="e">
        <f>INDEX(Validade!H:H,MATCH('Controle de Validade'!A78,Validade!C:C,0))</f>
        <v>#N/A</v>
      </c>
      <c r="N78" s="18"/>
    </row>
    <row r="79" spans="1:14" ht="15" hidden="1" x14ac:dyDescent="0.2">
      <c r="A79" s="8" t="s">
        <v>2089</v>
      </c>
      <c r="B79" s="8" t="s">
        <v>2579</v>
      </c>
      <c r="C79" s="8" t="s">
        <v>2613</v>
      </c>
      <c r="D79" s="9" t="s">
        <v>998</v>
      </c>
      <c r="E79" s="9" t="s">
        <v>2388</v>
      </c>
      <c r="F79" s="10" t="s">
        <v>2961</v>
      </c>
      <c r="G79" s="9" t="s">
        <v>2446</v>
      </c>
      <c r="H79" s="16" t="s">
        <v>2571</v>
      </c>
      <c r="I79" s="25" t="s">
        <v>2412</v>
      </c>
      <c r="J79" s="25" t="s">
        <v>2412</v>
      </c>
      <c r="K79" s="16">
        <v>0</v>
      </c>
      <c r="L79" s="3" t="s">
        <v>2558</v>
      </c>
      <c r="M79" s="17" t="e">
        <f>INDEX(Validade!H:H,MATCH('Controle de Validade'!A79,Validade!C:C,0))</f>
        <v>#N/A</v>
      </c>
      <c r="N79" s="18"/>
    </row>
    <row r="80" spans="1:14" ht="15" hidden="1" x14ac:dyDescent="0.2">
      <c r="A80" s="8" t="s">
        <v>2090</v>
      </c>
      <c r="B80" s="8" t="s">
        <v>2579</v>
      </c>
      <c r="C80" s="8" t="s">
        <v>2614</v>
      </c>
      <c r="D80" s="9" t="s">
        <v>998</v>
      </c>
      <c r="E80" s="9" t="s">
        <v>2388</v>
      </c>
      <c r="F80" s="10" t="s">
        <v>2961</v>
      </c>
      <c r="G80" s="9" t="s">
        <v>2446</v>
      </c>
      <c r="H80" s="16" t="s">
        <v>2571</v>
      </c>
      <c r="I80" s="25" t="s">
        <v>2412</v>
      </c>
      <c r="J80" s="25" t="s">
        <v>2412</v>
      </c>
      <c r="K80" s="16">
        <v>0</v>
      </c>
      <c r="L80" s="3" t="s">
        <v>2558</v>
      </c>
      <c r="M80" s="17" t="e">
        <f>INDEX(Validade!H:H,MATCH('Controle de Validade'!A80,Validade!C:C,0))</f>
        <v>#N/A</v>
      </c>
      <c r="N80" s="18"/>
    </row>
    <row r="81" spans="1:14" ht="15" hidden="1" x14ac:dyDescent="0.2">
      <c r="A81" s="8" t="s">
        <v>2091</v>
      </c>
      <c r="B81" s="8" t="s">
        <v>2579</v>
      </c>
      <c r="C81" s="8" t="s">
        <v>2615</v>
      </c>
      <c r="D81" s="9" t="s">
        <v>998</v>
      </c>
      <c r="E81" s="9" t="s">
        <v>2388</v>
      </c>
      <c r="F81" s="10" t="s">
        <v>2961</v>
      </c>
      <c r="G81" s="9" t="s">
        <v>2446</v>
      </c>
      <c r="H81" s="16" t="s">
        <v>2571</v>
      </c>
      <c r="I81" s="25" t="s">
        <v>2412</v>
      </c>
      <c r="J81" s="25" t="s">
        <v>2412</v>
      </c>
      <c r="K81" s="16">
        <v>0</v>
      </c>
      <c r="L81" s="3" t="s">
        <v>2558</v>
      </c>
      <c r="M81" s="17" t="e">
        <f>INDEX(Validade!H:H,MATCH('Controle de Validade'!A81,Validade!C:C,0))</f>
        <v>#N/A</v>
      </c>
      <c r="N81" s="18"/>
    </row>
    <row r="82" spans="1:14" ht="15" hidden="1" x14ac:dyDescent="0.2">
      <c r="A82" s="8" t="s">
        <v>2151</v>
      </c>
      <c r="B82" s="8" t="s">
        <v>2579</v>
      </c>
      <c r="C82" s="8" t="s">
        <v>2616</v>
      </c>
      <c r="D82" s="9" t="s">
        <v>1215</v>
      </c>
      <c r="E82" s="9" t="s">
        <v>2388</v>
      </c>
      <c r="F82" s="10" t="s">
        <v>2392</v>
      </c>
      <c r="G82" s="9" t="s">
        <v>2451</v>
      </c>
      <c r="H82" s="16" t="s">
        <v>2571</v>
      </c>
      <c r="I82" s="25" t="s">
        <v>2412</v>
      </c>
      <c r="J82" s="25" t="s">
        <v>2412</v>
      </c>
      <c r="K82" s="16">
        <v>0</v>
      </c>
      <c r="L82" s="3" t="s">
        <v>2556</v>
      </c>
      <c r="M82" s="17" t="e">
        <f>INDEX(Validade!H:H,MATCH('Controle de Validade'!A82,Validade!C:C,0))</f>
        <v>#N/A</v>
      </c>
      <c r="N82" s="18"/>
    </row>
    <row r="83" spans="1:14" ht="15" hidden="1" x14ac:dyDescent="0.2">
      <c r="A83" s="8" t="s">
        <v>2152</v>
      </c>
      <c r="B83" s="8" t="s">
        <v>2580</v>
      </c>
      <c r="C83" s="8" t="s">
        <v>2617</v>
      </c>
      <c r="D83" s="9" t="s">
        <v>1215</v>
      </c>
      <c r="E83" s="9" t="s">
        <v>2388</v>
      </c>
      <c r="F83" s="10" t="s">
        <v>2392</v>
      </c>
      <c r="G83" s="9" t="s">
        <v>2451</v>
      </c>
      <c r="H83" s="16" t="s">
        <v>2571</v>
      </c>
      <c r="I83" s="25" t="s">
        <v>2412</v>
      </c>
      <c r="J83" s="25" t="s">
        <v>2412</v>
      </c>
      <c r="K83" s="16">
        <v>0</v>
      </c>
      <c r="L83" s="3" t="s">
        <v>2556</v>
      </c>
      <c r="M83" s="17" t="e">
        <f>INDEX(Validade!H:H,MATCH('Controle de Validade'!A83,Validade!C:C,0))</f>
        <v>#N/A</v>
      </c>
      <c r="N83" s="18"/>
    </row>
    <row r="84" spans="1:14" ht="15" hidden="1" x14ac:dyDescent="0.2">
      <c r="A84" s="8" t="s">
        <v>432</v>
      </c>
      <c r="B84" s="8" t="s">
        <v>2581</v>
      </c>
      <c r="C84" s="8" t="s">
        <v>433</v>
      </c>
      <c r="D84" s="9" t="s">
        <v>401</v>
      </c>
      <c r="E84" s="9" t="s">
        <v>2388</v>
      </c>
      <c r="F84" s="10" t="s">
        <v>2961</v>
      </c>
      <c r="G84" s="9" t="s">
        <v>2405</v>
      </c>
      <c r="H84" s="16" t="s">
        <v>2570</v>
      </c>
      <c r="I84" s="38" t="s">
        <v>3186</v>
      </c>
      <c r="J84" s="26" t="s">
        <v>2965</v>
      </c>
      <c r="K84" s="16">
        <v>1</v>
      </c>
      <c r="L84" s="3" t="s">
        <v>2556</v>
      </c>
      <c r="M84" s="17">
        <f>INDEX(Validade!H:H,MATCH('Controle de Validade'!A84,Validade!C:C,0))</f>
        <v>46125</v>
      </c>
      <c r="N84" s="18"/>
    </row>
    <row r="85" spans="1:14" ht="15" hidden="1" x14ac:dyDescent="0.2">
      <c r="A85" s="8" t="s">
        <v>429</v>
      </c>
      <c r="B85" s="8" t="s">
        <v>2581</v>
      </c>
      <c r="C85" s="8" t="s">
        <v>430</v>
      </c>
      <c r="D85" s="9" t="s">
        <v>401</v>
      </c>
      <c r="E85" s="9" t="s">
        <v>2388</v>
      </c>
      <c r="F85" s="10" t="s">
        <v>2961</v>
      </c>
      <c r="G85" s="9" t="s">
        <v>2405</v>
      </c>
      <c r="H85" s="16" t="s">
        <v>2570</v>
      </c>
      <c r="I85" s="38" t="s">
        <v>3186</v>
      </c>
      <c r="J85" s="26" t="s">
        <v>2965</v>
      </c>
      <c r="K85" s="16">
        <v>1</v>
      </c>
      <c r="L85" s="3" t="s">
        <v>2556</v>
      </c>
      <c r="M85" s="17">
        <f>INDEX(Validade!H:H,MATCH('Controle de Validade'!A85,Validade!C:C,0))</f>
        <v>46109</v>
      </c>
      <c r="N85" s="18"/>
    </row>
    <row r="86" spans="1:14" ht="15" hidden="1" x14ac:dyDescent="0.2">
      <c r="A86" s="8" t="s">
        <v>423</v>
      </c>
      <c r="B86" s="8" t="s">
        <v>2581</v>
      </c>
      <c r="C86" s="8" t="s">
        <v>424</v>
      </c>
      <c r="D86" s="9" t="s">
        <v>401</v>
      </c>
      <c r="E86" s="9" t="s">
        <v>2388</v>
      </c>
      <c r="F86" s="10" t="s">
        <v>2961</v>
      </c>
      <c r="G86" s="9" t="s">
        <v>2405</v>
      </c>
      <c r="H86" s="16" t="s">
        <v>2570</v>
      </c>
      <c r="I86" s="38" t="s">
        <v>3186</v>
      </c>
      <c r="J86" s="26" t="s">
        <v>2965</v>
      </c>
      <c r="K86" s="16">
        <v>1</v>
      </c>
      <c r="L86" s="3" t="s">
        <v>2556</v>
      </c>
      <c r="M86" s="17">
        <f>INDEX(Validade!H:H,MATCH('Controle de Validade'!A86,Validade!C:C,0))</f>
        <v>46125</v>
      </c>
      <c r="N86" s="18"/>
    </row>
    <row r="87" spans="1:14" ht="15" hidden="1" x14ac:dyDescent="0.2">
      <c r="A87" s="8" t="s">
        <v>409</v>
      </c>
      <c r="B87" s="8" t="s">
        <v>2581</v>
      </c>
      <c r="C87" s="8" t="s">
        <v>410</v>
      </c>
      <c r="D87" s="9" t="s">
        <v>401</v>
      </c>
      <c r="E87" s="9" t="s">
        <v>2388</v>
      </c>
      <c r="F87" s="10" t="s">
        <v>2961</v>
      </c>
      <c r="G87" s="9" t="s">
        <v>2405</v>
      </c>
      <c r="H87" s="16" t="s">
        <v>2570</v>
      </c>
      <c r="I87" s="38" t="s">
        <v>3186</v>
      </c>
      <c r="J87" s="26" t="s">
        <v>2965</v>
      </c>
      <c r="K87" s="16">
        <v>1</v>
      </c>
      <c r="L87" s="3" t="s">
        <v>2556</v>
      </c>
      <c r="M87" s="17">
        <f>INDEX(Validade!H:H,MATCH('Controle de Validade'!A87,Validade!C:C,0))</f>
        <v>46137</v>
      </c>
      <c r="N87" s="18"/>
    </row>
    <row r="88" spans="1:14" ht="15" hidden="1" x14ac:dyDescent="0.2">
      <c r="A88" s="8" t="s">
        <v>406</v>
      </c>
      <c r="B88" s="8" t="s">
        <v>2581</v>
      </c>
      <c r="C88" s="8" t="s">
        <v>407</v>
      </c>
      <c r="D88" s="9" t="s">
        <v>401</v>
      </c>
      <c r="E88" s="9" t="s">
        <v>2388</v>
      </c>
      <c r="F88" s="10" t="s">
        <v>2961</v>
      </c>
      <c r="G88" s="9" t="s">
        <v>2405</v>
      </c>
      <c r="H88" s="16" t="s">
        <v>2570</v>
      </c>
      <c r="I88" s="38" t="s">
        <v>3186</v>
      </c>
      <c r="J88" s="26" t="s">
        <v>2965</v>
      </c>
      <c r="K88" s="16">
        <v>1</v>
      </c>
      <c r="L88" s="3" t="s">
        <v>2556</v>
      </c>
      <c r="M88" s="17">
        <f>INDEX(Validade!H:H,MATCH('Controle de Validade'!A88,Validade!C:C,0))</f>
        <v>46109</v>
      </c>
      <c r="N88" s="18"/>
    </row>
    <row r="89" spans="1:14" ht="15" hidden="1" x14ac:dyDescent="0.2">
      <c r="A89" s="8" t="s">
        <v>1288</v>
      </c>
      <c r="B89" s="8" t="s">
        <v>2580</v>
      </c>
      <c r="C89" s="8" t="s">
        <v>1289</v>
      </c>
      <c r="D89" s="9" t="s">
        <v>2455</v>
      </c>
      <c r="E89" s="9" t="s">
        <v>2388</v>
      </c>
      <c r="F89" s="10" t="s">
        <v>2392</v>
      </c>
      <c r="G89" s="9" t="s">
        <v>2403</v>
      </c>
      <c r="H89" s="16" t="s">
        <v>2571</v>
      </c>
      <c r="I89" s="25" t="s">
        <v>2412</v>
      </c>
      <c r="J89" s="25" t="s">
        <v>2412</v>
      </c>
      <c r="K89" s="16">
        <v>0</v>
      </c>
      <c r="L89" s="3" t="s">
        <v>2556</v>
      </c>
      <c r="M89" s="17">
        <f>INDEX(Validade!H:H,MATCH('Controle de Validade'!A89,Validade!C:C,0))</f>
        <v>0</v>
      </c>
      <c r="N89" s="18"/>
    </row>
    <row r="90" spans="1:14" ht="15" hidden="1" x14ac:dyDescent="0.2">
      <c r="A90" s="8" t="s">
        <v>2028</v>
      </c>
      <c r="B90" s="8" t="s">
        <v>2579</v>
      </c>
      <c r="C90" s="8" t="s">
        <v>2618</v>
      </c>
      <c r="D90" s="9" t="s">
        <v>998</v>
      </c>
      <c r="E90" s="9" t="s">
        <v>2388</v>
      </c>
      <c r="F90" s="10" t="s">
        <v>2961</v>
      </c>
      <c r="G90" s="9" t="s">
        <v>2446</v>
      </c>
      <c r="H90" s="16" t="s">
        <v>2571</v>
      </c>
      <c r="I90" s="25" t="s">
        <v>2412</v>
      </c>
      <c r="J90" s="25" t="s">
        <v>2412</v>
      </c>
      <c r="K90" s="16">
        <v>0</v>
      </c>
      <c r="L90" s="3" t="s">
        <v>2558</v>
      </c>
      <c r="M90" s="17" t="e">
        <f>INDEX(Validade!H:H,MATCH('Controle de Validade'!A90,Validade!C:C,0))</f>
        <v>#N/A</v>
      </c>
      <c r="N90" s="18"/>
    </row>
    <row r="91" spans="1:14" ht="15" hidden="1" x14ac:dyDescent="0.2">
      <c r="A91" s="8" t="s">
        <v>1448</v>
      </c>
      <c r="B91" s="8" t="s">
        <v>2580</v>
      </c>
      <c r="C91" s="8" t="s">
        <v>1449</v>
      </c>
      <c r="D91" s="9" t="s">
        <v>2518</v>
      </c>
      <c r="E91" s="9">
        <v>0</v>
      </c>
      <c r="F91" s="10" t="s">
        <v>2387</v>
      </c>
      <c r="G91" s="9" t="s">
        <v>2410</v>
      </c>
      <c r="H91" s="16" t="s">
        <v>2571</v>
      </c>
      <c r="I91" s="25" t="s">
        <v>2412</v>
      </c>
      <c r="J91" s="25" t="s">
        <v>2412</v>
      </c>
      <c r="K91" s="16">
        <v>0</v>
      </c>
      <c r="L91" s="3" t="s">
        <v>2556</v>
      </c>
      <c r="M91" s="17">
        <f>INDEX(Validade!H:H,MATCH('Controle de Validade'!A91,Validade!C:C,0))</f>
        <v>62458</v>
      </c>
      <c r="N91" s="18"/>
    </row>
    <row r="92" spans="1:14" ht="15" hidden="1" x14ac:dyDescent="0.2">
      <c r="A92" s="8" t="s">
        <v>1587</v>
      </c>
      <c r="B92" s="8" t="s">
        <v>2579</v>
      </c>
      <c r="C92" s="8" t="s">
        <v>1588</v>
      </c>
      <c r="D92" s="9" t="s">
        <v>28</v>
      </c>
      <c r="E92" s="9" t="s">
        <v>2388</v>
      </c>
      <c r="F92" s="10" t="s">
        <v>2387</v>
      </c>
      <c r="G92" s="9" t="s">
        <v>2471</v>
      </c>
      <c r="H92" s="16" t="s">
        <v>2570</v>
      </c>
      <c r="I92" s="40" t="s">
        <v>3187</v>
      </c>
      <c r="J92" s="26" t="s">
        <v>2948</v>
      </c>
      <c r="K92" s="16">
        <v>1</v>
      </c>
      <c r="L92" s="3" t="s">
        <v>2556</v>
      </c>
      <c r="M92" s="17">
        <f>INDEX(Validade!H:H,MATCH('Controle de Validade'!A92,Validade!C:C,0))</f>
        <v>45732</v>
      </c>
      <c r="N92" s="18"/>
    </row>
    <row r="93" spans="1:14" ht="15" hidden="1" x14ac:dyDescent="0.2">
      <c r="A93" s="8" t="s">
        <v>2153</v>
      </c>
      <c r="B93" s="8" t="s">
        <v>2580</v>
      </c>
      <c r="C93" s="8" t="s">
        <v>2619</v>
      </c>
      <c r="D93" s="9" t="s">
        <v>1215</v>
      </c>
      <c r="E93" s="9" t="s">
        <v>2388</v>
      </c>
      <c r="F93" s="10" t="s">
        <v>2392</v>
      </c>
      <c r="G93" s="9" t="s">
        <v>2451</v>
      </c>
      <c r="H93" s="16" t="s">
        <v>2571</v>
      </c>
      <c r="I93" s="25" t="s">
        <v>2412</v>
      </c>
      <c r="J93" s="25" t="s">
        <v>2412</v>
      </c>
      <c r="K93" s="16">
        <v>0</v>
      </c>
      <c r="L93" s="3" t="s">
        <v>2556</v>
      </c>
      <c r="M93" s="17" t="e">
        <f>INDEX(Validade!H:H,MATCH('Controle de Validade'!A93,Validade!C:C,0))</f>
        <v>#N/A</v>
      </c>
      <c r="N93" s="18"/>
    </row>
    <row r="94" spans="1:14" ht="15" hidden="1" x14ac:dyDescent="0.2">
      <c r="A94" s="8" t="s">
        <v>483</v>
      </c>
      <c r="B94" s="8" t="s">
        <v>2579</v>
      </c>
      <c r="C94" s="8" t="s">
        <v>484</v>
      </c>
      <c r="D94" s="9" t="s">
        <v>28</v>
      </c>
      <c r="E94" s="9" t="s">
        <v>2388</v>
      </c>
      <c r="F94" s="10" t="s">
        <v>2387</v>
      </c>
      <c r="G94" s="9" t="s">
        <v>2471</v>
      </c>
      <c r="H94" s="16" t="s">
        <v>2570</v>
      </c>
      <c r="I94" s="40" t="s">
        <v>3187</v>
      </c>
      <c r="J94" s="26" t="s">
        <v>2948</v>
      </c>
      <c r="K94" s="16">
        <v>1</v>
      </c>
      <c r="L94" s="3" t="s">
        <v>2556</v>
      </c>
      <c r="M94" s="17">
        <f>INDEX(Validade!H:H,MATCH('Controle de Validade'!A94,Validade!C:C,0))</f>
        <v>46789</v>
      </c>
      <c r="N94" s="18"/>
    </row>
    <row r="95" spans="1:14" ht="15" hidden="1" x14ac:dyDescent="0.2">
      <c r="A95" s="8" t="s">
        <v>1511</v>
      </c>
      <c r="B95" s="8" t="s">
        <v>2579</v>
      </c>
      <c r="C95" s="8" t="s">
        <v>1512</v>
      </c>
      <c r="D95" s="9" t="s">
        <v>933</v>
      </c>
      <c r="E95" s="9" t="s">
        <v>2388</v>
      </c>
      <c r="F95" s="10" t="s">
        <v>2387</v>
      </c>
      <c r="G95" s="9" t="s">
        <v>2453</v>
      </c>
      <c r="H95" s="16" t="s">
        <v>2571</v>
      </c>
      <c r="I95" s="25" t="s">
        <v>2412</v>
      </c>
      <c r="J95" s="25" t="s">
        <v>2412</v>
      </c>
      <c r="K95" s="16">
        <v>0</v>
      </c>
      <c r="L95" s="3" t="s">
        <v>2556</v>
      </c>
      <c r="M95" s="17">
        <f>INDEX(Validade!H:H,MATCH('Controle de Validade'!A95,Validade!C:C,0))</f>
        <v>0</v>
      </c>
      <c r="N95" s="18"/>
    </row>
    <row r="96" spans="1:14" ht="15" hidden="1" x14ac:dyDescent="0.2">
      <c r="A96" s="8" t="s">
        <v>426</v>
      </c>
      <c r="B96" s="8" t="s">
        <v>2581</v>
      </c>
      <c r="C96" s="8" t="s">
        <v>427</v>
      </c>
      <c r="D96" s="9" t="s">
        <v>401</v>
      </c>
      <c r="E96" s="9" t="s">
        <v>2388</v>
      </c>
      <c r="F96" s="10" t="s">
        <v>2961</v>
      </c>
      <c r="G96" s="9" t="s">
        <v>2405</v>
      </c>
      <c r="H96" s="16" t="s">
        <v>2570</v>
      </c>
      <c r="I96" s="38" t="s">
        <v>3186</v>
      </c>
      <c r="J96" s="26" t="s">
        <v>2965</v>
      </c>
      <c r="K96" s="16">
        <v>1</v>
      </c>
      <c r="L96" s="3" t="s">
        <v>2556</v>
      </c>
      <c r="M96" s="17">
        <f>INDEX(Validade!H:H,MATCH('Controle de Validade'!A96,Validade!C:C,0))</f>
        <v>46109</v>
      </c>
      <c r="N96" s="18"/>
    </row>
    <row r="97" spans="1:14" ht="15" hidden="1" x14ac:dyDescent="0.2">
      <c r="A97" s="8" t="s">
        <v>420</v>
      </c>
      <c r="B97" s="8" t="s">
        <v>2581</v>
      </c>
      <c r="C97" s="8" t="s">
        <v>421</v>
      </c>
      <c r="D97" s="9" t="s">
        <v>401</v>
      </c>
      <c r="E97" s="9" t="s">
        <v>2388</v>
      </c>
      <c r="F97" s="10" t="s">
        <v>2961</v>
      </c>
      <c r="G97" s="9" t="s">
        <v>2405</v>
      </c>
      <c r="H97" s="16" t="s">
        <v>2570</v>
      </c>
      <c r="I97" s="38" t="s">
        <v>3186</v>
      </c>
      <c r="J97" s="26" t="s">
        <v>2965</v>
      </c>
      <c r="K97" s="16">
        <v>1</v>
      </c>
      <c r="L97" s="3" t="s">
        <v>2556</v>
      </c>
      <c r="M97" s="17">
        <f>INDEX(Validade!H:H,MATCH('Controle de Validade'!A97,Validade!C:C,0))</f>
        <v>46101</v>
      </c>
      <c r="N97" s="18"/>
    </row>
    <row r="98" spans="1:14" ht="15" hidden="1" x14ac:dyDescent="0.2">
      <c r="A98" s="8" t="s">
        <v>850</v>
      </c>
      <c r="B98" s="8" t="s">
        <v>2579</v>
      </c>
      <c r="C98" s="8" t="s">
        <v>851</v>
      </c>
      <c r="D98" s="9" t="s">
        <v>2477</v>
      </c>
      <c r="E98" s="9" t="s">
        <v>2388</v>
      </c>
      <c r="F98" s="10" t="s">
        <v>2392</v>
      </c>
      <c r="G98" s="9" t="s">
        <v>2453</v>
      </c>
      <c r="H98" s="16" t="s">
        <v>2571</v>
      </c>
      <c r="I98" s="25" t="s">
        <v>2412</v>
      </c>
      <c r="J98" s="25" t="s">
        <v>2412</v>
      </c>
      <c r="K98" s="16">
        <v>0</v>
      </c>
      <c r="L98" s="3" t="s">
        <v>2556</v>
      </c>
      <c r="M98" s="17">
        <f>INDEX(Validade!H:H,MATCH('Controle de Validade'!A98,Validade!C:C,0))</f>
        <v>0</v>
      </c>
      <c r="N98" s="18"/>
    </row>
    <row r="99" spans="1:14" ht="15" hidden="1" x14ac:dyDescent="0.2">
      <c r="A99" s="8" t="s">
        <v>1359</v>
      </c>
      <c r="B99" s="8" t="s">
        <v>2580</v>
      </c>
      <c r="C99" s="8" t="s">
        <v>1360</v>
      </c>
      <c r="D99" s="9" t="s">
        <v>2493</v>
      </c>
      <c r="E99" s="9" t="s">
        <v>2388</v>
      </c>
      <c r="F99" s="10" t="s">
        <v>2387</v>
      </c>
      <c r="G99" s="9" t="s">
        <v>2400</v>
      </c>
      <c r="H99" s="16" t="s">
        <v>2571</v>
      </c>
      <c r="I99" s="25" t="s">
        <v>2412</v>
      </c>
      <c r="J99" s="25" t="s">
        <v>2412</v>
      </c>
      <c r="K99" s="16">
        <v>0</v>
      </c>
      <c r="L99" s="3" t="s">
        <v>2556</v>
      </c>
      <c r="M99" s="17">
        <f>INDEX(Validade!H:H,MATCH('Controle de Validade'!A99,Validade!C:C,0))</f>
        <v>62458</v>
      </c>
      <c r="N99" s="18"/>
    </row>
    <row r="100" spans="1:14" ht="15" hidden="1" x14ac:dyDescent="0.2">
      <c r="A100" s="8" t="s">
        <v>2201</v>
      </c>
      <c r="B100" s="8" t="s">
        <v>2579</v>
      </c>
      <c r="C100" s="8" t="s">
        <v>992</v>
      </c>
      <c r="D100" s="9" t="s">
        <v>2518</v>
      </c>
      <c r="E100" s="9">
        <v>0</v>
      </c>
      <c r="F100" s="10" t="s">
        <v>2387</v>
      </c>
      <c r="G100" s="9" t="s">
        <v>2410</v>
      </c>
      <c r="H100" s="16" t="s">
        <v>2571</v>
      </c>
      <c r="I100" s="25" t="s">
        <v>2412</v>
      </c>
      <c r="J100" s="25" t="s">
        <v>2412</v>
      </c>
      <c r="K100" s="16">
        <v>0</v>
      </c>
      <c r="L100" s="3" t="s">
        <v>2556</v>
      </c>
      <c r="M100" s="17" t="e">
        <f>INDEX(Validade!H:H,MATCH('Controle de Validade'!A100,Validade!C:C,0))</f>
        <v>#N/A</v>
      </c>
      <c r="N100" s="18"/>
    </row>
    <row r="101" spans="1:14" ht="15" hidden="1" x14ac:dyDescent="0.2">
      <c r="A101" s="8" t="s">
        <v>2092</v>
      </c>
      <c r="B101" s="8" t="s">
        <v>2579</v>
      </c>
      <c r="C101" s="8" t="s">
        <v>2620</v>
      </c>
      <c r="D101" s="9" t="s">
        <v>15</v>
      </c>
      <c r="E101" s="9" t="s">
        <v>2388</v>
      </c>
      <c r="F101" s="10" t="s">
        <v>2387</v>
      </c>
      <c r="G101" s="9" t="s">
        <v>2479</v>
      </c>
      <c r="H101" s="16" t="s">
        <v>2571</v>
      </c>
      <c r="I101" s="25" t="s">
        <v>2412</v>
      </c>
      <c r="J101" s="25" t="s">
        <v>2412</v>
      </c>
      <c r="K101" s="16">
        <v>0</v>
      </c>
      <c r="L101" s="3" t="s">
        <v>2556</v>
      </c>
      <c r="M101" s="17" t="e">
        <f>INDEX(Validade!H:H,MATCH('Controle de Validade'!A101,Validade!C:C,0))</f>
        <v>#N/A</v>
      </c>
      <c r="N101" s="18"/>
    </row>
    <row r="102" spans="1:14" ht="15" hidden="1" x14ac:dyDescent="0.2">
      <c r="A102" s="8" t="s">
        <v>2172</v>
      </c>
      <c r="B102" s="8" t="s">
        <v>2579</v>
      </c>
      <c r="C102" s="8" t="s">
        <v>2621</v>
      </c>
      <c r="D102" s="9" t="s">
        <v>41</v>
      </c>
      <c r="E102" s="9" t="s">
        <v>2388</v>
      </c>
      <c r="F102" s="10" t="s">
        <v>2961</v>
      </c>
      <c r="G102" s="9" t="s">
        <v>2429</v>
      </c>
      <c r="H102" s="16" t="s">
        <v>2570</v>
      </c>
      <c r="I102" s="32" t="s">
        <v>2993</v>
      </c>
      <c r="J102" s="26" t="s">
        <v>2994</v>
      </c>
      <c r="K102" s="16">
        <v>1</v>
      </c>
      <c r="L102" s="3" t="s">
        <v>2556</v>
      </c>
      <c r="M102" s="17" t="e">
        <f>INDEX(Validade!H:H,MATCH('Controle de Validade'!A102,Validade!C:C,0))</f>
        <v>#N/A</v>
      </c>
      <c r="N102" s="18"/>
    </row>
    <row r="103" spans="1:14" ht="15" hidden="1" x14ac:dyDescent="0.2">
      <c r="A103" s="8" t="s">
        <v>2161</v>
      </c>
      <c r="B103" s="8" t="s">
        <v>2579</v>
      </c>
      <c r="C103" s="8" t="s">
        <v>2622</v>
      </c>
      <c r="D103" s="9" t="s">
        <v>2520</v>
      </c>
      <c r="E103" s="9" t="s">
        <v>2388</v>
      </c>
      <c r="F103" s="10" t="s">
        <v>2392</v>
      </c>
      <c r="G103" s="9" t="s">
        <v>2394</v>
      </c>
      <c r="H103" s="16" t="s">
        <v>2570</v>
      </c>
      <c r="I103" s="32" t="s">
        <v>2993</v>
      </c>
      <c r="J103" s="29" t="s">
        <v>2412</v>
      </c>
      <c r="K103" s="16">
        <v>1</v>
      </c>
      <c r="L103" s="3" t="s">
        <v>2556</v>
      </c>
      <c r="M103" s="17" t="e">
        <f>INDEX(Validade!H:H,MATCH('Controle de Validade'!A103,Validade!C:C,0))</f>
        <v>#N/A</v>
      </c>
      <c r="N103" s="18" t="s">
        <v>2574</v>
      </c>
    </row>
    <row r="104" spans="1:14" ht="15" hidden="1" x14ac:dyDescent="0.2">
      <c r="A104" s="8" t="s">
        <v>2085</v>
      </c>
      <c r="B104" s="8" t="s">
        <v>2579</v>
      </c>
      <c r="C104" s="8" t="s">
        <v>2623</v>
      </c>
      <c r="D104" s="9" t="s">
        <v>41</v>
      </c>
      <c r="E104" s="9" t="s">
        <v>2388</v>
      </c>
      <c r="F104" s="10" t="s">
        <v>2961</v>
      </c>
      <c r="G104" s="9" t="s">
        <v>2429</v>
      </c>
      <c r="H104" s="16" t="s">
        <v>2570</v>
      </c>
      <c r="I104" s="32" t="s">
        <v>2993</v>
      </c>
      <c r="J104" s="26" t="s">
        <v>2994</v>
      </c>
      <c r="K104" s="16">
        <v>1</v>
      </c>
      <c r="L104" s="3" t="s">
        <v>2556</v>
      </c>
      <c r="M104" s="17" t="e">
        <f>INDEX(Validade!H:H,MATCH('Controle de Validade'!A104,Validade!C:C,0))</f>
        <v>#N/A</v>
      </c>
      <c r="N104" s="18"/>
    </row>
    <row r="105" spans="1:14" ht="15" hidden="1" x14ac:dyDescent="0.2">
      <c r="A105" s="8" t="s">
        <v>2099</v>
      </c>
      <c r="B105" s="8" t="s">
        <v>2579</v>
      </c>
      <c r="C105" s="8" t="s">
        <v>2624</v>
      </c>
      <c r="D105" s="9" t="s">
        <v>41</v>
      </c>
      <c r="E105" s="9" t="s">
        <v>2388</v>
      </c>
      <c r="F105" s="10" t="s">
        <v>2961</v>
      </c>
      <c r="G105" s="9" t="s">
        <v>2429</v>
      </c>
      <c r="H105" s="16" t="s">
        <v>2570</v>
      </c>
      <c r="I105" s="32" t="s">
        <v>2993</v>
      </c>
      <c r="J105" s="26" t="s">
        <v>2994</v>
      </c>
      <c r="K105" s="16">
        <v>1</v>
      </c>
      <c r="L105" s="3" t="s">
        <v>2556</v>
      </c>
      <c r="M105" s="17" t="e">
        <f>INDEX(Validade!H:H,MATCH('Controle de Validade'!A105,Validade!C:C,0))</f>
        <v>#N/A</v>
      </c>
      <c r="N105" s="18"/>
    </row>
    <row r="106" spans="1:14" ht="15" hidden="1" x14ac:dyDescent="0.2">
      <c r="A106" s="8" t="s">
        <v>2077</v>
      </c>
      <c r="B106" s="8" t="s">
        <v>2579</v>
      </c>
      <c r="C106" s="8" t="s">
        <v>2625</v>
      </c>
      <c r="D106" s="9" t="s">
        <v>41</v>
      </c>
      <c r="E106" s="9" t="s">
        <v>2388</v>
      </c>
      <c r="F106" s="10" t="s">
        <v>2961</v>
      </c>
      <c r="G106" s="9" t="s">
        <v>2429</v>
      </c>
      <c r="H106" s="16" t="s">
        <v>2570</v>
      </c>
      <c r="I106" s="32" t="s">
        <v>2993</v>
      </c>
      <c r="J106" s="26" t="s">
        <v>2994</v>
      </c>
      <c r="K106" s="16">
        <v>1</v>
      </c>
      <c r="L106" s="3" t="s">
        <v>2556</v>
      </c>
      <c r="M106" s="17" t="e">
        <f>INDEX(Validade!H:H,MATCH('Controle de Validade'!A106,Validade!C:C,0))</f>
        <v>#N/A</v>
      </c>
      <c r="N106" s="18"/>
    </row>
    <row r="107" spans="1:14" ht="15" hidden="1" x14ac:dyDescent="0.2">
      <c r="A107" s="8" t="s">
        <v>977</v>
      </c>
      <c r="B107" s="8" t="s">
        <v>2579</v>
      </c>
      <c r="C107" s="8" t="s">
        <v>978</v>
      </c>
      <c r="D107" s="9" t="s">
        <v>28</v>
      </c>
      <c r="E107" s="9" t="s">
        <v>2388</v>
      </c>
      <c r="F107" s="10" t="s">
        <v>2387</v>
      </c>
      <c r="G107" s="9" t="s">
        <v>2471</v>
      </c>
      <c r="H107" s="16" t="s">
        <v>2570</v>
      </c>
      <c r="I107" s="40" t="s">
        <v>3187</v>
      </c>
      <c r="J107" s="26" t="s">
        <v>2948</v>
      </c>
      <c r="K107" s="16">
        <v>1</v>
      </c>
      <c r="L107" s="3" t="s">
        <v>2556</v>
      </c>
      <c r="M107" s="17">
        <f>INDEX(Validade!H:H,MATCH('Controle de Validade'!A107,Validade!C:C,0))</f>
        <v>47329</v>
      </c>
      <c r="N107" s="18"/>
    </row>
    <row r="108" spans="1:14" ht="15" hidden="1" x14ac:dyDescent="0.2">
      <c r="A108" s="8" t="s">
        <v>103</v>
      </c>
      <c r="B108" s="8" t="s">
        <v>2579</v>
      </c>
      <c r="C108" s="8" t="s">
        <v>104</v>
      </c>
      <c r="D108" s="9" t="s">
        <v>28</v>
      </c>
      <c r="E108" s="9" t="s">
        <v>2388</v>
      </c>
      <c r="F108" s="10" t="s">
        <v>2387</v>
      </c>
      <c r="G108" s="9" t="s">
        <v>2471</v>
      </c>
      <c r="H108" s="16" t="s">
        <v>2570</v>
      </c>
      <c r="I108" s="40" t="s">
        <v>3187</v>
      </c>
      <c r="J108" s="26" t="s">
        <v>2948</v>
      </c>
      <c r="K108" s="16">
        <v>1</v>
      </c>
      <c r="L108" s="3" t="s">
        <v>2556</v>
      </c>
      <c r="M108" s="17">
        <f>INDEX(Validade!H:H,MATCH('Controle de Validade'!A108,Validade!C:C,0))</f>
        <v>46995</v>
      </c>
      <c r="N108" s="18"/>
    </row>
    <row r="109" spans="1:14" ht="15" hidden="1" x14ac:dyDescent="0.2">
      <c r="A109" s="8" t="s">
        <v>2155</v>
      </c>
      <c r="B109" s="8" t="s">
        <v>2579</v>
      </c>
      <c r="C109" s="8" t="s">
        <v>2626</v>
      </c>
      <c r="D109" s="9" t="s">
        <v>28</v>
      </c>
      <c r="E109" s="9" t="s">
        <v>2388</v>
      </c>
      <c r="F109" s="10" t="s">
        <v>2387</v>
      </c>
      <c r="G109" s="9" t="s">
        <v>2471</v>
      </c>
      <c r="H109" s="16" t="s">
        <v>2570</v>
      </c>
      <c r="I109" s="40" t="s">
        <v>3187</v>
      </c>
      <c r="J109" s="26" t="s">
        <v>2948</v>
      </c>
      <c r="K109" s="16">
        <v>1</v>
      </c>
      <c r="L109" s="3" t="s">
        <v>2556</v>
      </c>
      <c r="M109" s="17" t="e">
        <f>INDEX(Validade!H:H,MATCH('Controle de Validade'!A109,Validade!C:C,0))</f>
        <v>#N/A</v>
      </c>
      <c r="N109" s="18"/>
    </row>
    <row r="110" spans="1:14" ht="15" hidden="1" x14ac:dyDescent="0.2">
      <c r="A110" s="8" t="s">
        <v>2167</v>
      </c>
      <c r="B110" s="8" t="s">
        <v>2579</v>
      </c>
      <c r="C110" s="8" t="s">
        <v>2627</v>
      </c>
      <c r="D110" s="9" t="s">
        <v>28</v>
      </c>
      <c r="E110" s="9" t="s">
        <v>2388</v>
      </c>
      <c r="F110" s="10" t="s">
        <v>2387</v>
      </c>
      <c r="G110" s="9" t="s">
        <v>2394</v>
      </c>
      <c r="H110" s="16" t="s">
        <v>2570</v>
      </c>
      <c r="I110" s="40" t="s">
        <v>3187</v>
      </c>
      <c r="J110" s="26" t="s">
        <v>2948</v>
      </c>
      <c r="K110" s="16">
        <v>1</v>
      </c>
      <c r="L110" s="3" t="s">
        <v>2556</v>
      </c>
      <c r="M110" s="17" t="e">
        <f>INDEX(Validade!H:H,MATCH('Controle de Validade'!A110,Validade!C:C,0))</f>
        <v>#N/A</v>
      </c>
      <c r="N110" s="18"/>
    </row>
    <row r="111" spans="1:14" ht="15" hidden="1" x14ac:dyDescent="0.2">
      <c r="A111" s="28" t="s">
        <v>2299</v>
      </c>
      <c r="B111" s="8" t="s">
        <v>2581</v>
      </c>
      <c r="C111" s="8" t="s">
        <v>2628</v>
      </c>
      <c r="D111" s="9" t="s">
        <v>2507</v>
      </c>
      <c r="E111" s="9">
        <v>0</v>
      </c>
      <c r="F111" s="10" t="s">
        <v>2961</v>
      </c>
      <c r="G111" s="9" t="s">
        <v>2405</v>
      </c>
      <c r="H111" s="16" t="s">
        <v>2570</v>
      </c>
      <c r="I111" s="39"/>
      <c r="J111" s="43"/>
      <c r="K111" s="16">
        <v>1</v>
      </c>
      <c r="L111" s="3" t="s">
        <v>2556</v>
      </c>
      <c r="M111" s="17" t="e">
        <f>INDEX(Validade!H:H,MATCH('Controle de Validade'!A111,Validade!C:C,0))</f>
        <v>#N/A</v>
      </c>
      <c r="N111" s="18"/>
    </row>
    <row r="112" spans="1:14" ht="15" hidden="1" x14ac:dyDescent="0.2">
      <c r="A112" s="8" t="s">
        <v>2179</v>
      </c>
      <c r="B112" s="8" t="s">
        <v>2579</v>
      </c>
      <c r="C112" s="8" t="s">
        <v>2629</v>
      </c>
      <c r="D112" s="9" t="s">
        <v>2499</v>
      </c>
      <c r="E112" s="9" t="s">
        <v>2388</v>
      </c>
      <c r="F112" s="10" t="s">
        <v>2392</v>
      </c>
      <c r="G112" s="9" t="s">
        <v>2394</v>
      </c>
      <c r="H112" s="16" t="s">
        <v>2571</v>
      </c>
      <c r="I112" s="25" t="s">
        <v>2412</v>
      </c>
      <c r="J112" s="25" t="s">
        <v>2412</v>
      </c>
      <c r="K112" s="16">
        <v>0</v>
      </c>
      <c r="L112" s="3" t="s">
        <v>2556</v>
      </c>
      <c r="M112" s="17" t="e">
        <f>INDEX(Validade!H:H,MATCH('Controle de Validade'!A112,Validade!C:C,0))</f>
        <v>#N/A</v>
      </c>
      <c r="N112" s="18"/>
    </row>
    <row r="113" spans="1:14" ht="15" hidden="1" x14ac:dyDescent="0.2">
      <c r="A113" s="8" t="s">
        <v>2158</v>
      </c>
      <c r="B113" s="8" t="s">
        <v>2579</v>
      </c>
      <c r="C113" s="8" t="s">
        <v>2630</v>
      </c>
      <c r="D113" s="9" t="s">
        <v>15</v>
      </c>
      <c r="E113" s="9" t="s">
        <v>2388</v>
      </c>
      <c r="F113" s="10" t="s">
        <v>2387</v>
      </c>
      <c r="G113" s="9" t="s">
        <v>2479</v>
      </c>
      <c r="H113" s="16" t="s">
        <v>2571</v>
      </c>
      <c r="I113" s="25" t="s">
        <v>2412</v>
      </c>
      <c r="J113" s="25" t="s">
        <v>2412</v>
      </c>
      <c r="K113" s="16">
        <v>0</v>
      </c>
      <c r="L113" s="3" t="s">
        <v>2556</v>
      </c>
      <c r="M113" s="17" t="e">
        <f>INDEX(Validade!H:H,MATCH('Controle de Validade'!A113,Validade!C:C,0))</f>
        <v>#N/A</v>
      </c>
      <c r="N113" s="18"/>
    </row>
    <row r="114" spans="1:14" ht="15" hidden="1" x14ac:dyDescent="0.2">
      <c r="A114" s="8" t="s">
        <v>2093</v>
      </c>
      <c r="B114" s="8" t="s">
        <v>2579</v>
      </c>
      <c r="C114" s="8" t="s">
        <v>2631</v>
      </c>
      <c r="D114" s="9" t="s">
        <v>41</v>
      </c>
      <c r="E114" s="9" t="s">
        <v>2388</v>
      </c>
      <c r="F114" s="10" t="s">
        <v>2961</v>
      </c>
      <c r="G114" s="9" t="s">
        <v>2410</v>
      </c>
      <c r="H114" s="16" t="s">
        <v>2570</v>
      </c>
      <c r="I114" s="32" t="s">
        <v>2993</v>
      </c>
      <c r="J114" s="26" t="s">
        <v>2994</v>
      </c>
      <c r="K114" s="16">
        <v>1</v>
      </c>
      <c r="L114" s="3" t="s">
        <v>2556</v>
      </c>
      <c r="M114" s="17" t="e">
        <f>INDEX(Validade!H:H,MATCH('Controle de Validade'!A114,Validade!C:C,0))</f>
        <v>#N/A</v>
      </c>
      <c r="N114" s="18"/>
    </row>
    <row r="115" spans="1:14" ht="15" hidden="1" x14ac:dyDescent="0.2">
      <c r="A115" s="8" t="s">
        <v>2071</v>
      </c>
      <c r="B115" s="8" t="s">
        <v>2579</v>
      </c>
      <c r="C115" s="8" t="s">
        <v>2632</v>
      </c>
      <c r="D115" s="9" t="s">
        <v>41</v>
      </c>
      <c r="E115" s="9" t="s">
        <v>2388</v>
      </c>
      <c r="F115" s="10" t="s">
        <v>2961</v>
      </c>
      <c r="G115" s="9" t="s">
        <v>2410</v>
      </c>
      <c r="H115" s="16" t="s">
        <v>2570</v>
      </c>
      <c r="I115" s="32" t="s">
        <v>2993</v>
      </c>
      <c r="J115" s="26" t="s">
        <v>2994</v>
      </c>
      <c r="K115" s="16">
        <v>1</v>
      </c>
      <c r="L115" s="3" t="s">
        <v>2556</v>
      </c>
      <c r="M115" s="17" t="e">
        <f>INDEX(Validade!H:H,MATCH('Controle de Validade'!A115,Validade!C:C,0))</f>
        <v>#N/A</v>
      </c>
      <c r="N115" s="18"/>
    </row>
    <row r="116" spans="1:14" ht="15" hidden="1" x14ac:dyDescent="0.2">
      <c r="A116" s="8" t="s">
        <v>2171</v>
      </c>
      <c r="B116" s="8" t="s">
        <v>2579</v>
      </c>
      <c r="C116" s="8" t="s">
        <v>2633</v>
      </c>
      <c r="D116" s="9" t="s">
        <v>41</v>
      </c>
      <c r="E116" s="9" t="s">
        <v>2388</v>
      </c>
      <c r="F116" s="10" t="s">
        <v>2961</v>
      </c>
      <c r="G116" s="9" t="s">
        <v>2410</v>
      </c>
      <c r="H116" s="16" t="s">
        <v>2570</v>
      </c>
      <c r="I116" s="32" t="s">
        <v>2993</v>
      </c>
      <c r="J116" s="26" t="s">
        <v>2994</v>
      </c>
      <c r="K116" s="16">
        <v>1</v>
      </c>
      <c r="L116" s="3" t="s">
        <v>2556</v>
      </c>
      <c r="M116" s="17" t="e">
        <f>INDEX(Validade!H:H,MATCH('Controle de Validade'!A116,Validade!C:C,0))</f>
        <v>#N/A</v>
      </c>
      <c r="N116" s="18"/>
    </row>
    <row r="117" spans="1:14" ht="15" hidden="1" x14ac:dyDescent="0.2">
      <c r="A117" s="8" t="s">
        <v>2177</v>
      </c>
      <c r="B117" s="8" t="s">
        <v>2579</v>
      </c>
      <c r="C117" s="8" t="s">
        <v>2634</v>
      </c>
      <c r="D117" s="9" t="s">
        <v>41</v>
      </c>
      <c r="E117" s="9" t="s">
        <v>2388</v>
      </c>
      <c r="F117" s="10" t="s">
        <v>2961</v>
      </c>
      <c r="G117" s="9" t="s">
        <v>2410</v>
      </c>
      <c r="H117" s="16" t="s">
        <v>2570</v>
      </c>
      <c r="I117" s="32" t="s">
        <v>2993</v>
      </c>
      <c r="J117" s="26" t="s">
        <v>2994</v>
      </c>
      <c r="K117" s="16">
        <v>1</v>
      </c>
      <c r="L117" s="3" t="s">
        <v>2556</v>
      </c>
      <c r="M117" s="17" t="e">
        <f>INDEX(Validade!H:H,MATCH('Controle de Validade'!A117,Validade!C:C,0))</f>
        <v>#N/A</v>
      </c>
      <c r="N117" s="18"/>
    </row>
    <row r="118" spans="1:14" ht="15" hidden="1" x14ac:dyDescent="0.2">
      <c r="A118" s="8" t="s">
        <v>2289</v>
      </c>
      <c r="B118" s="8" t="s">
        <v>2579</v>
      </c>
      <c r="C118" s="8" t="s">
        <v>2635</v>
      </c>
      <c r="D118" s="9" t="s">
        <v>41</v>
      </c>
      <c r="E118" s="9" t="s">
        <v>2388</v>
      </c>
      <c r="F118" s="10" t="s">
        <v>2961</v>
      </c>
      <c r="G118" s="9" t="s">
        <v>2410</v>
      </c>
      <c r="H118" s="16" t="s">
        <v>2570</v>
      </c>
      <c r="I118" s="32" t="s">
        <v>2993</v>
      </c>
      <c r="J118" s="26" t="s">
        <v>2994</v>
      </c>
      <c r="K118" s="16">
        <v>1</v>
      </c>
      <c r="L118" s="3" t="s">
        <v>2556</v>
      </c>
      <c r="M118" s="17" t="e">
        <f>INDEX(Validade!H:H,MATCH('Controle de Validade'!A118,Validade!C:C,0))</f>
        <v>#N/A</v>
      </c>
      <c r="N118" s="18"/>
    </row>
    <row r="119" spans="1:14" ht="15" hidden="1" x14ac:dyDescent="0.2">
      <c r="A119" s="8" t="s">
        <v>2070</v>
      </c>
      <c r="B119" s="8" t="s">
        <v>2579</v>
      </c>
      <c r="C119" s="8" t="s">
        <v>2636</v>
      </c>
      <c r="D119" s="9" t="s">
        <v>41</v>
      </c>
      <c r="E119" s="9" t="s">
        <v>2388</v>
      </c>
      <c r="F119" s="10" t="s">
        <v>2961</v>
      </c>
      <c r="G119" s="9" t="s">
        <v>2410</v>
      </c>
      <c r="H119" s="16" t="s">
        <v>2570</v>
      </c>
      <c r="I119" s="32" t="s">
        <v>2993</v>
      </c>
      <c r="J119" s="26" t="s">
        <v>2994</v>
      </c>
      <c r="K119" s="16">
        <v>1</v>
      </c>
      <c r="L119" s="3" t="s">
        <v>2556</v>
      </c>
      <c r="M119" s="17" t="e">
        <f>INDEX(Validade!H:H,MATCH('Controle de Validade'!A119,Validade!C:C,0))</f>
        <v>#N/A</v>
      </c>
      <c r="N119" s="18"/>
    </row>
    <row r="120" spans="1:14" ht="15" hidden="1" x14ac:dyDescent="0.2">
      <c r="A120" s="8" t="s">
        <v>2072</v>
      </c>
      <c r="B120" s="8" t="s">
        <v>2579</v>
      </c>
      <c r="C120" s="8" t="s">
        <v>2637</v>
      </c>
      <c r="D120" s="9" t="s">
        <v>41</v>
      </c>
      <c r="E120" s="9" t="s">
        <v>2388</v>
      </c>
      <c r="F120" s="10" t="s">
        <v>2961</v>
      </c>
      <c r="G120" s="9" t="s">
        <v>2410</v>
      </c>
      <c r="H120" s="16" t="s">
        <v>2570</v>
      </c>
      <c r="I120" s="32" t="s">
        <v>2993</v>
      </c>
      <c r="J120" s="26" t="s">
        <v>2994</v>
      </c>
      <c r="K120" s="16">
        <v>1</v>
      </c>
      <c r="L120" s="3" t="s">
        <v>2556</v>
      </c>
      <c r="M120" s="17" t="e">
        <f>INDEX(Validade!H:H,MATCH('Controle de Validade'!A120,Validade!C:C,0))</f>
        <v>#N/A</v>
      </c>
      <c r="N120" s="18"/>
    </row>
    <row r="121" spans="1:14" ht="15" hidden="1" x14ac:dyDescent="0.2">
      <c r="A121" s="8" t="s">
        <v>2202</v>
      </c>
      <c r="B121" s="8" t="s">
        <v>2579</v>
      </c>
      <c r="C121" s="8" t="s">
        <v>2638</v>
      </c>
      <c r="D121" s="9" t="s">
        <v>41</v>
      </c>
      <c r="E121" s="9" t="s">
        <v>2388</v>
      </c>
      <c r="F121" s="10" t="s">
        <v>2961</v>
      </c>
      <c r="G121" s="9" t="s">
        <v>2410</v>
      </c>
      <c r="H121" s="16" t="s">
        <v>2570</v>
      </c>
      <c r="I121" s="32" t="s">
        <v>2993</v>
      </c>
      <c r="J121" s="26" t="s">
        <v>2994</v>
      </c>
      <c r="K121" s="16">
        <v>1</v>
      </c>
      <c r="L121" s="3" t="s">
        <v>2556</v>
      </c>
      <c r="M121" s="17" t="e">
        <f>INDEX(Validade!H:H,MATCH('Controle de Validade'!A121,Validade!C:C,0))</f>
        <v>#N/A</v>
      </c>
      <c r="N121" s="18"/>
    </row>
    <row r="122" spans="1:14" ht="15" hidden="1" x14ac:dyDescent="0.2">
      <c r="A122" s="8" t="s">
        <v>1614</v>
      </c>
      <c r="B122" s="8" t="s">
        <v>2579</v>
      </c>
      <c r="C122" s="8" t="s">
        <v>1615</v>
      </c>
      <c r="D122" s="9" t="s">
        <v>28</v>
      </c>
      <c r="E122" s="9" t="s">
        <v>2388</v>
      </c>
      <c r="F122" s="10" t="s">
        <v>2387</v>
      </c>
      <c r="G122" s="9" t="s">
        <v>2471</v>
      </c>
      <c r="H122" s="16" t="s">
        <v>2570</v>
      </c>
      <c r="I122" s="40" t="s">
        <v>3187</v>
      </c>
      <c r="J122" s="26" t="s">
        <v>2948</v>
      </c>
      <c r="K122" s="16">
        <v>1</v>
      </c>
      <c r="L122" s="3" t="s">
        <v>2556</v>
      </c>
      <c r="M122" s="17">
        <f>INDEX(Validade!H:H,MATCH('Controle de Validade'!A122,Validade!C:C,0))</f>
        <v>47056</v>
      </c>
      <c r="N122" s="18"/>
    </row>
    <row r="123" spans="1:14" ht="15" hidden="1" x14ac:dyDescent="0.2">
      <c r="A123" s="8" t="s">
        <v>518</v>
      </c>
      <c r="B123" s="8" t="s">
        <v>2579</v>
      </c>
      <c r="C123" s="8" t="s">
        <v>519</v>
      </c>
      <c r="D123" s="9" t="s">
        <v>28</v>
      </c>
      <c r="E123" s="9" t="s">
        <v>2388</v>
      </c>
      <c r="F123" s="10" t="s">
        <v>2387</v>
      </c>
      <c r="G123" s="9" t="s">
        <v>2471</v>
      </c>
      <c r="H123" s="16" t="s">
        <v>2570</v>
      </c>
      <c r="I123" s="40" t="s">
        <v>3187</v>
      </c>
      <c r="J123" s="26" t="s">
        <v>2948</v>
      </c>
      <c r="K123" s="16">
        <v>1</v>
      </c>
      <c r="L123" s="3" t="s">
        <v>2556</v>
      </c>
      <c r="M123" s="17">
        <f>INDEX(Validade!H:H,MATCH('Controle de Validade'!A123,Validade!C:C,0))</f>
        <v>47000</v>
      </c>
      <c r="N123" s="18"/>
    </row>
    <row r="124" spans="1:14" ht="15" hidden="1" x14ac:dyDescent="0.2">
      <c r="A124" s="8" t="s">
        <v>2073</v>
      </c>
      <c r="B124" s="8" t="s">
        <v>2579</v>
      </c>
      <c r="C124" s="8" t="s">
        <v>2639</v>
      </c>
      <c r="D124" s="9" t="s">
        <v>28</v>
      </c>
      <c r="E124" s="9" t="s">
        <v>2388</v>
      </c>
      <c r="F124" s="10" t="s">
        <v>2387</v>
      </c>
      <c r="G124" s="9" t="s">
        <v>2394</v>
      </c>
      <c r="H124" s="16" t="s">
        <v>2570</v>
      </c>
      <c r="I124" s="40" t="s">
        <v>3187</v>
      </c>
      <c r="J124" s="26" t="s">
        <v>2948</v>
      </c>
      <c r="K124" s="16">
        <v>1</v>
      </c>
      <c r="L124" s="3" t="s">
        <v>2556</v>
      </c>
      <c r="M124" s="17" t="e">
        <f>INDEX(Validade!H:H,MATCH('Controle de Validade'!A124,Validade!C:C,0))</f>
        <v>#N/A</v>
      </c>
      <c r="N124" s="18"/>
    </row>
    <row r="125" spans="1:14" ht="15" hidden="1" x14ac:dyDescent="0.2">
      <c r="A125" s="8" t="s">
        <v>2148</v>
      </c>
      <c r="B125" s="8" t="s">
        <v>2579</v>
      </c>
      <c r="C125" s="8" t="s">
        <v>2640</v>
      </c>
      <c r="D125" s="9" t="s">
        <v>15</v>
      </c>
      <c r="E125" s="9" t="s">
        <v>2388</v>
      </c>
      <c r="F125" s="10" t="s">
        <v>2387</v>
      </c>
      <c r="G125" s="9" t="s">
        <v>2479</v>
      </c>
      <c r="H125" s="16" t="s">
        <v>2571</v>
      </c>
      <c r="I125" s="25" t="s">
        <v>2412</v>
      </c>
      <c r="J125" s="25" t="s">
        <v>2412</v>
      </c>
      <c r="K125" s="16">
        <v>0</v>
      </c>
      <c r="L125" s="3" t="s">
        <v>2556</v>
      </c>
      <c r="M125" s="17" t="e">
        <f>INDEX(Validade!H:H,MATCH('Controle de Validade'!A125,Validade!C:C,0))</f>
        <v>#N/A</v>
      </c>
      <c r="N125" s="18"/>
    </row>
    <row r="126" spans="1:14" ht="15" hidden="1" x14ac:dyDescent="0.2">
      <c r="A126" s="8" t="s">
        <v>2178</v>
      </c>
      <c r="B126" s="8" t="s">
        <v>2579</v>
      </c>
      <c r="C126" s="8" t="s">
        <v>2641</v>
      </c>
      <c r="D126" s="9" t="s">
        <v>15</v>
      </c>
      <c r="E126" s="9" t="s">
        <v>2388</v>
      </c>
      <c r="F126" s="10" t="s">
        <v>2387</v>
      </c>
      <c r="G126" s="9" t="s">
        <v>2479</v>
      </c>
      <c r="H126" s="16" t="s">
        <v>2571</v>
      </c>
      <c r="I126" s="25" t="s">
        <v>2412</v>
      </c>
      <c r="J126" s="25" t="s">
        <v>2412</v>
      </c>
      <c r="K126" s="16">
        <v>0</v>
      </c>
      <c r="L126" s="3" t="s">
        <v>2556</v>
      </c>
      <c r="M126" s="17" t="e">
        <f>INDEX(Validade!H:H,MATCH('Controle de Validade'!A126,Validade!C:C,0))</f>
        <v>#N/A</v>
      </c>
      <c r="N126" s="18"/>
    </row>
    <row r="127" spans="1:14" ht="15" hidden="1" x14ac:dyDescent="0.2">
      <c r="A127" s="8" t="s">
        <v>2163</v>
      </c>
      <c r="B127" s="8" t="s">
        <v>2579</v>
      </c>
      <c r="C127" s="8" t="s">
        <v>2642</v>
      </c>
      <c r="D127" s="9" t="s">
        <v>15</v>
      </c>
      <c r="E127" s="9" t="s">
        <v>2388</v>
      </c>
      <c r="F127" s="10" t="s">
        <v>2387</v>
      </c>
      <c r="G127" s="9" t="s">
        <v>2479</v>
      </c>
      <c r="H127" s="16" t="s">
        <v>2571</v>
      </c>
      <c r="I127" s="25" t="s">
        <v>2412</v>
      </c>
      <c r="J127" s="25" t="s">
        <v>2412</v>
      </c>
      <c r="K127" s="16">
        <v>0</v>
      </c>
      <c r="L127" s="3" t="s">
        <v>2556</v>
      </c>
      <c r="M127" s="17" t="e">
        <f>INDEX(Validade!H:H,MATCH('Controle de Validade'!A127,Validade!C:C,0))</f>
        <v>#N/A</v>
      </c>
      <c r="N127" s="18"/>
    </row>
    <row r="128" spans="1:14" ht="15" hidden="1" x14ac:dyDescent="0.2">
      <c r="A128" s="8" t="s">
        <v>1197</v>
      </c>
      <c r="B128" s="8" t="s">
        <v>2580</v>
      </c>
      <c r="C128" s="8" t="s">
        <v>1198</v>
      </c>
      <c r="D128" s="9" t="s">
        <v>2396</v>
      </c>
      <c r="E128" s="9" t="s">
        <v>2393</v>
      </c>
      <c r="F128" s="10" t="s">
        <v>2392</v>
      </c>
      <c r="G128" s="9" t="s">
        <v>2397</v>
      </c>
      <c r="H128" s="16" t="s">
        <v>2571</v>
      </c>
      <c r="I128" s="25" t="s">
        <v>2412</v>
      </c>
      <c r="J128" s="25" t="s">
        <v>2412</v>
      </c>
      <c r="K128" s="16">
        <v>0</v>
      </c>
      <c r="L128" s="3" t="s">
        <v>2556</v>
      </c>
      <c r="M128" s="17">
        <f>INDEX(Validade!H:H,MATCH('Controle de Validade'!A128,Validade!C:C,0))</f>
        <v>0</v>
      </c>
      <c r="N128" s="18"/>
    </row>
    <row r="129" spans="1:14" ht="15" hidden="1" x14ac:dyDescent="0.2">
      <c r="A129" s="8" t="s">
        <v>1631</v>
      </c>
      <c r="B129" s="8" t="s">
        <v>2579</v>
      </c>
      <c r="C129" s="8" t="s">
        <v>1632</v>
      </c>
      <c r="D129" s="9" t="s">
        <v>1471</v>
      </c>
      <c r="E129" s="9" t="s">
        <v>2393</v>
      </c>
      <c r="F129" s="10" t="s">
        <v>2387</v>
      </c>
      <c r="G129" s="9" t="s">
        <v>2414</v>
      </c>
      <c r="H129" s="16" t="s">
        <v>2571</v>
      </c>
      <c r="I129" s="25" t="s">
        <v>2412</v>
      </c>
      <c r="J129" s="25" t="s">
        <v>2412</v>
      </c>
      <c r="K129" s="16">
        <v>0</v>
      </c>
      <c r="L129" s="3" t="s">
        <v>2556</v>
      </c>
      <c r="M129" s="17">
        <f>INDEX(Validade!H:H,MATCH('Controle de Validade'!A129,Validade!C:C,0))</f>
        <v>0</v>
      </c>
      <c r="N129" s="18"/>
    </row>
    <row r="130" spans="1:14" ht="15" hidden="1" x14ac:dyDescent="0.2">
      <c r="A130" s="8" t="s">
        <v>1620</v>
      </c>
      <c r="B130" s="8" t="s">
        <v>2579</v>
      </c>
      <c r="C130" s="8" t="s">
        <v>1621</v>
      </c>
      <c r="D130" s="9" t="s">
        <v>28</v>
      </c>
      <c r="E130" s="9" t="s">
        <v>2388</v>
      </c>
      <c r="F130" s="10" t="s">
        <v>2387</v>
      </c>
      <c r="G130" s="9" t="s">
        <v>2471</v>
      </c>
      <c r="H130" s="16" t="s">
        <v>2570</v>
      </c>
      <c r="I130" s="40" t="s">
        <v>3187</v>
      </c>
      <c r="J130" s="26" t="s">
        <v>2948</v>
      </c>
      <c r="K130" s="16">
        <v>1</v>
      </c>
      <c r="L130" s="3" t="s">
        <v>2556</v>
      </c>
      <c r="M130" s="17">
        <f>INDEX(Validade!H:H,MATCH('Controle de Validade'!A130,Validade!C:C,0))</f>
        <v>47058</v>
      </c>
      <c r="N130" s="18"/>
    </row>
    <row r="131" spans="1:14" ht="15" hidden="1" x14ac:dyDescent="0.2">
      <c r="A131" s="8" t="s">
        <v>1617</v>
      </c>
      <c r="B131" s="8" t="s">
        <v>2579</v>
      </c>
      <c r="C131" s="8" t="s">
        <v>1618</v>
      </c>
      <c r="D131" s="9" t="s">
        <v>28</v>
      </c>
      <c r="E131" s="9" t="s">
        <v>2388</v>
      </c>
      <c r="F131" s="10" t="s">
        <v>2387</v>
      </c>
      <c r="G131" s="9" t="s">
        <v>2471</v>
      </c>
      <c r="H131" s="16" t="s">
        <v>2570</v>
      </c>
      <c r="I131" s="40" t="s">
        <v>3187</v>
      </c>
      <c r="J131" s="26" t="s">
        <v>2948</v>
      </c>
      <c r="K131" s="16">
        <v>1</v>
      </c>
      <c r="L131" s="3" t="s">
        <v>2556</v>
      </c>
      <c r="M131" s="17">
        <f>INDEX(Validade!H:H,MATCH('Controle de Validade'!A131,Validade!C:C,0))</f>
        <v>47047</v>
      </c>
      <c r="N131" s="18"/>
    </row>
    <row r="132" spans="1:14" ht="15" hidden="1" x14ac:dyDescent="0.2">
      <c r="A132" s="28" t="s">
        <v>1633</v>
      </c>
      <c r="B132" s="8" t="s">
        <v>2583</v>
      </c>
      <c r="C132" s="8" t="s">
        <v>1634</v>
      </c>
      <c r="D132" s="9" t="s">
        <v>947</v>
      </c>
      <c r="E132" s="9" t="s">
        <v>2393</v>
      </c>
      <c r="F132" s="10" t="s">
        <v>2392</v>
      </c>
      <c r="G132" s="9" t="s">
        <v>2506</v>
      </c>
      <c r="H132" s="16" t="s">
        <v>2570</v>
      </c>
      <c r="I132" s="56"/>
      <c r="J132" s="43"/>
      <c r="K132" s="16">
        <v>1</v>
      </c>
      <c r="L132" s="3" t="s">
        <v>2556</v>
      </c>
      <c r="M132" s="17">
        <f>INDEX(Validade!H:H,MATCH('Controle de Validade'!A132,Validade!C:C,0))</f>
        <v>45777</v>
      </c>
      <c r="N132" s="55" t="s">
        <v>3201</v>
      </c>
    </row>
    <row r="133" spans="1:14" ht="15" hidden="1" x14ac:dyDescent="0.2">
      <c r="A133" s="8" t="s">
        <v>2079</v>
      </c>
      <c r="B133" s="8" t="s">
        <v>2579</v>
      </c>
      <c r="C133" s="8" t="s">
        <v>2643</v>
      </c>
      <c r="D133" s="9" t="s">
        <v>28</v>
      </c>
      <c r="E133" s="9" t="s">
        <v>2388</v>
      </c>
      <c r="F133" s="10" t="s">
        <v>2387</v>
      </c>
      <c r="G133" s="9" t="s">
        <v>2471</v>
      </c>
      <c r="H133" s="16" t="s">
        <v>2570</v>
      </c>
      <c r="I133" s="40" t="s">
        <v>3187</v>
      </c>
      <c r="J133" s="26" t="s">
        <v>2948</v>
      </c>
      <c r="K133" s="16">
        <v>1</v>
      </c>
      <c r="L133" s="3" t="s">
        <v>2556</v>
      </c>
      <c r="M133" s="17" t="e">
        <f>INDEX(Validade!H:H,MATCH('Controle de Validade'!A133,Validade!C:C,0))</f>
        <v>#N/A</v>
      </c>
      <c r="N133" s="18"/>
    </row>
    <row r="134" spans="1:14" ht="15" hidden="1" x14ac:dyDescent="0.2">
      <c r="A134" s="8" t="s">
        <v>2082</v>
      </c>
      <c r="B134" s="8" t="s">
        <v>2579</v>
      </c>
      <c r="C134" s="8" t="s">
        <v>2644</v>
      </c>
      <c r="D134" s="9" t="s">
        <v>28</v>
      </c>
      <c r="E134" s="9" t="s">
        <v>2388</v>
      </c>
      <c r="F134" s="10" t="s">
        <v>2387</v>
      </c>
      <c r="G134" s="9" t="s">
        <v>2471</v>
      </c>
      <c r="H134" s="16" t="s">
        <v>2570</v>
      </c>
      <c r="I134" s="40" t="s">
        <v>3187</v>
      </c>
      <c r="J134" s="26" t="s">
        <v>2948</v>
      </c>
      <c r="K134" s="16">
        <v>1</v>
      </c>
      <c r="L134" s="3" t="s">
        <v>2556</v>
      </c>
      <c r="M134" s="17" t="e">
        <f>INDEX(Validade!H:H,MATCH('Controle de Validade'!A134,Validade!C:C,0))</f>
        <v>#N/A</v>
      </c>
      <c r="N134" s="18"/>
    </row>
    <row r="135" spans="1:14" ht="15" hidden="1" x14ac:dyDescent="0.2">
      <c r="A135" s="8" t="s">
        <v>2283</v>
      </c>
      <c r="B135" s="8" t="s">
        <v>2579</v>
      </c>
      <c r="C135" s="8" t="s">
        <v>2645</v>
      </c>
      <c r="D135" s="9" t="s">
        <v>28</v>
      </c>
      <c r="E135" s="9" t="s">
        <v>2388</v>
      </c>
      <c r="F135" s="10" t="s">
        <v>2387</v>
      </c>
      <c r="G135" s="9" t="s">
        <v>2471</v>
      </c>
      <c r="H135" s="16" t="s">
        <v>2570</v>
      </c>
      <c r="I135" s="40" t="s">
        <v>3187</v>
      </c>
      <c r="J135" s="26" t="s">
        <v>2948</v>
      </c>
      <c r="K135" s="16">
        <v>1</v>
      </c>
      <c r="L135" s="3" t="s">
        <v>2556</v>
      </c>
      <c r="M135" s="17" t="e">
        <f>INDEX(Validade!H:H,MATCH('Controle de Validade'!A135,Validade!C:C,0))</f>
        <v>#N/A</v>
      </c>
      <c r="N135" s="18"/>
    </row>
    <row r="136" spans="1:14" ht="15" hidden="1" x14ac:dyDescent="0.2">
      <c r="A136" s="8" t="s">
        <v>112</v>
      </c>
      <c r="B136" s="8" t="s">
        <v>2579</v>
      </c>
      <c r="C136" s="8" t="s">
        <v>113</v>
      </c>
      <c r="D136" s="9" t="s">
        <v>28</v>
      </c>
      <c r="E136" s="9" t="s">
        <v>2388</v>
      </c>
      <c r="F136" s="10" t="s">
        <v>2387</v>
      </c>
      <c r="G136" s="9" t="s">
        <v>2471</v>
      </c>
      <c r="H136" s="16" t="s">
        <v>2570</v>
      </c>
      <c r="I136" s="40" t="s">
        <v>3187</v>
      </c>
      <c r="J136" s="26" t="s">
        <v>2948</v>
      </c>
      <c r="K136" s="16">
        <v>1</v>
      </c>
      <c r="L136" s="3" t="s">
        <v>2556</v>
      </c>
      <c r="M136" s="17">
        <f>INDEX(Validade!H:H,MATCH('Controle de Validade'!A136,Validade!C:C,0))</f>
        <v>46931</v>
      </c>
      <c r="N136" s="18"/>
    </row>
    <row r="137" spans="1:14" ht="15" hidden="1" x14ac:dyDescent="0.2">
      <c r="A137" s="8" t="s">
        <v>873</v>
      </c>
      <c r="B137" s="8" t="s">
        <v>2579</v>
      </c>
      <c r="C137" s="8" t="s">
        <v>874</v>
      </c>
      <c r="D137" s="9" t="s">
        <v>2533</v>
      </c>
      <c r="E137" s="9" t="s">
        <v>2393</v>
      </c>
      <c r="F137" s="10" t="s">
        <v>2392</v>
      </c>
      <c r="G137" s="9" t="s">
        <v>2463</v>
      </c>
      <c r="H137" s="16" t="s">
        <v>2571</v>
      </c>
      <c r="I137" s="25" t="s">
        <v>2412</v>
      </c>
      <c r="J137" s="25" t="s">
        <v>2412</v>
      </c>
      <c r="K137" s="16">
        <v>0</v>
      </c>
      <c r="L137" s="3" t="s">
        <v>2556</v>
      </c>
      <c r="M137" s="17">
        <f>INDEX(Validade!H:H,MATCH('Controle de Validade'!A137,Validade!C:C,0))</f>
        <v>0</v>
      </c>
      <c r="N137" s="18"/>
    </row>
    <row r="138" spans="1:14" ht="15" hidden="1" x14ac:dyDescent="0.2">
      <c r="A138" s="8" t="s">
        <v>938</v>
      </c>
      <c r="B138" s="8" t="s">
        <v>2579</v>
      </c>
      <c r="C138" s="8" t="s">
        <v>939</v>
      </c>
      <c r="D138" s="9" t="s">
        <v>28</v>
      </c>
      <c r="E138" s="9" t="s">
        <v>2388</v>
      </c>
      <c r="F138" s="10" t="s">
        <v>2387</v>
      </c>
      <c r="G138" s="9" t="s">
        <v>2471</v>
      </c>
      <c r="H138" s="16" t="s">
        <v>2570</v>
      </c>
      <c r="I138" s="40" t="s">
        <v>3187</v>
      </c>
      <c r="J138" s="26" t="s">
        <v>2948</v>
      </c>
      <c r="K138" s="16">
        <v>1</v>
      </c>
      <c r="L138" s="3" t="s">
        <v>2556</v>
      </c>
      <c r="M138" s="17">
        <f>INDEX(Validade!H:H,MATCH('Controle de Validade'!A138,Validade!C:C,0))</f>
        <v>45699</v>
      </c>
      <c r="N138" s="18"/>
    </row>
    <row r="139" spans="1:14" ht="15" hidden="1" x14ac:dyDescent="0.2">
      <c r="A139" s="8" t="s">
        <v>2302</v>
      </c>
      <c r="B139" s="8" t="s">
        <v>2579</v>
      </c>
      <c r="C139" s="8" t="s">
        <v>2646</v>
      </c>
      <c r="D139" s="9" t="s">
        <v>2499</v>
      </c>
      <c r="E139" s="9" t="s">
        <v>2388</v>
      </c>
      <c r="F139" s="10" t="s">
        <v>2392</v>
      </c>
      <c r="G139" s="9" t="s">
        <v>2463</v>
      </c>
      <c r="H139" s="16" t="s">
        <v>2571</v>
      </c>
      <c r="I139" s="25" t="s">
        <v>2412</v>
      </c>
      <c r="J139" s="25" t="s">
        <v>2412</v>
      </c>
      <c r="K139" s="16">
        <v>0</v>
      </c>
      <c r="L139" s="3" t="s">
        <v>2558</v>
      </c>
      <c r="M139" s="17" t="e">
        <f>INDEX(Validade!H:H,MATCH('Controle de Validade'!A139,Validade!C:C,0))</f>
        <v>#N/A</v>
      </c>
      <c r="N139" s="18"/>
    </row>
    <row r="140" spans="1:14" ht="15" hidden="1" x14ac:dyDescent="0.2">
      <c r="A140" s="8" t="s">
        <v>1013</v>
      </c>
      <c r="B140" s="8" t="s">
        <v>2579</v>
      </c>
      <c r="C140" s="8" t="s">
        <v>1014</v>
      </c>
      <c r="D140" s="9" t="s">
        <v>41</v>
      </c>
      <c r="E140" s="9" t="s">
        <v>2388</v>
      </c>
      <c r="F140" s="10" t="s">
        <v>2961</v>
      </c>
      <c r="G140" s="9" t="s">
        <v>2429</v>
      </c>
      <c r="H140" s="16" t="s">
        <v>2570</v>
      </c>
      <c r="I140" s="32" t="s">
        <v>2993</v>
      </c>
      <c r="J140" s="26" t="s">
        <v>2994</v>
      </c>
      <c r="K140" s="16">
        <v>1</v>
      </c>
      <c r="L140" s="3" t="s">
        <v>2556</v>
      </c>
      <c r="M140" s="17">
        <f>INDEX(Validade!H:H,MATCH('Controle de Validade'!A140,Validade!C:C,0))</f>
        <v>45960</v>
      </c>
      <c r="N140" s="18"/>
    </row>
    <row r="141" spans="1:14" ht="15" hidden="1" x14ac:dyDescent="0.2">
      <c r="A141" s="8" t="s">
        <v>136</v>
      </c>
      <c r="B141" s="8" t="s">
        <v>2647</v>
      </c>
      <c r="C141" s="8" t="s">
        <v>137</v>
      </c>
      <c r="D141" s="9" t="s">
        <v>15</v>
      </c>
      <c r="E141" s="9" t="s">
        <v>2388</v>
      </c>
      <c r="F141" s="10" t="s">
        <v>2387</v>
      </c>
      <c r="G141" s="9" t="s">
        <v>2479</v>
      </c>
      <c r="H141" s="16" t="s">
        <v>2571</v>
      </c>
      <c r="I141" s="25" t="s">
        <v>2412</v>
      </c>
      <c r="J141" s="25" t="s">
        <v>2412</v>
      </c>
      <c r="K141" s="16">
        <v>0</v>
      </c>
      <c r="L141" s="3" t="s">
        <v>2556</v>
      </c>
      <c r="M141" s="17">
        <f>INDEX(Validade!H:H,MATCH('Controle de Validade'!A141,Validade!C:C,0))</f>
        <v>62458</v>
      </c>
      <c r="N141" s="18"/>
    </row>
    <row r="142" spans="1:14" ht="15" hidden="1" x14ac:dyDescent="0.2">
      <c r="A142" s="8" t="s">
        <v>133</v>
      </c>
      <c r="B142" s="8" t="s">
        <v>2647</v>
      </c>
      <c r="C142" s="8" t="s">
        <v>134</v>
      </c>
      <c r="D142" s="9" t="s">
        <v>15</v>
      </c>
      <c r="E142" s="9" t="s">
        <v>2388</v>
      </c>
      <c r="F142" s="10" t="s">
        <v>2387</v>
      </c>
      <c r="G142" s="9" t="s">
        <v>2479</v>
      </c>
      <c r="H142" s="16" t="s">
        <v>2571</v>
      </c>
      <c r="I142" s="25" t="s">
        <v>2412</v>
      </c>
      <c r="J142" s="25" t="s">
        <v>2412</v>
      </c>
      <c r="K142" s="16">
        <v>0</v>
      </c>
      <c r="L142" s="3" t="s">
        <v>2556</v>
      </c>
      <c r="M142" s="17">
        <f>INDEX(Validade!H:H,MATCH('Controle de Validade'!A142,Validade!C:C,0))</f>
        <v>62458</v>
      </c>
      <c r="N142" s="18"/>
    </row>
    <row r="143" spans="1:14" ht="15" hidden="1" x14ac:dyDescent="0.2">
      <c r="A143" s="8" t="s">
        <v>2301</v>
      </c>
      <c r="B143" s="8" t="s">
        <v>2579</v>
      </c>
      <c r="C143" s="8" t="s">
        <v>2648</v>
      </c>
      <c r="D143" s="9" t="s">
        <v>15</v>
      </c>
      <c r="E143" s="9" t="s">
        <v>2388</v>
      </c>
      <c r="F143" s="10" t="s">
        <v>2387</v>
      </c>
      <c r="G143" s="9" t="s">
        <v>2479</v>
      </c>
      <c r="H143" s="16" t="s">
        <v>2571</v>
      </c>
      <c r="I143" s="25" t="s">
        <v>2412</v>
      </c>
      <c r="J143" s="25" t="s">
        <v>2412</v>
      </c>
      <c r="K143" s="16">
        <v>0</v>
      </c>
      <c r="L143" s="3" t="s">
        <v>2556</v>
      </c>
      <c r="M143" s="17" t="e">
        <f>INDEX(Validade!H:H,MATCH('Controle de Validade'!A143,Validade!C:C,0))</f>
        <v>#N/A</v>
      </c>
      <c r="N143" s="18"/>
    </row>
    <row r="144" spans="1:14" ht="15" hidden="1" x14ac:dyDescent="0.2">
      <c r="A144" s="8" t="s">
        <v>114</v>
      </c>
      <c r="B144" s="8" t="s">
        <v>2579</v>
      </c>
      <c r="C144" s="8" t="s">
        <v>115</v>
      </c>
      <c r="D144" s="9" t="s">
        <v>15</v>
      </c>
      <c r="E144" s="9" t="s">
        <v>2388</v>
      </c>
      <c r="F144" s="10" t="s">
        <v>2387</v>
      </c>
      <c r="G144" s="9" t="s">
        <v>2479</v>
      </c>
      <c r="H144" s="16" t="s">
        <v>2571</v>
      </c>
      <c r="I144" s="25" t="s">
        <v>2412</v>
      </c>
      <c r="J144" s="25" t="s">
        <v>2412</v>
      </c>
      <c r="K144" s="16">
        <v>0</v>
      </c>
      <c r="L144" s="3" t="s">
        <v>2556</v>
      </c>
      <c r="M144" s="17">
        <f>INDEX(Validade!H:H,MATCH('Controle de Validade'!A144,Validade!C:C,0))</f>
        <v>62458</v>
      </c>
      <c r="N144" s="18"/>
    </row>
    <row r="145" spans="1:14" ht="15" hidden="1" x14ac:dyDescent="0.2">
      <c r="A145" s="8" t="s">
        <v>109</v>
      </c>
      <c r="B145" s="8" t="s">
        <v>2579</v>
      </c>
      <c r="C145" s="8" t="s">
        <v>110</v>
      </c>
      <c r="D145" s="9" t="s">
        <v>15</v>
      </c>
      <c r="E145" s="9" t="s">
        <v>2388</v>
      </c>
      <c r="F145" s="10" t="s">
        <v>2387</v>
      </c>
      <c r="G145" s="9" t="s">
        <v>2479</v>
      </c>
      <c r="H145" s="16" t="s">
        <v>2571</v>
      </c>
      <c r="I145" s="25" t="s">
        <v>2412</v>
      </c>
      <c r="J145" s="25" t="s">
        <v>2412</v>
      </c>
      <c r="K145" s="16">
        <v>0</v>
      </c>
      <c r="L145" s="3" t="s">
        <v>2556</v>
      </c>
      <c r="M145" s="17">
        <f>INDEX(Validade!H:H,MATCH('Controle de Validade'!A145,Validade!C:C,0))</f>
        <v>62458</v>
      </c>
      <c r="N145" s="18"/>
    </row>
    <row r="146" spans="1:14" ht="15" hidden="1" x14ac:dyDescent="0.2">
      <c r="A146" s="8" t="s">
        <v>2154</v>
      </c>
      <c r="B146" s="8" t="s">
        <v>2579</v>
      </c>
      <c r="C146" s="8" t="s">
        <v>2649</v>
      </c>
      <c r="D146" s="9">
        <v>0</v>
      </c>
      <c r="E146" s="9">
        <v>0</v>
      </c>
      <c r="F146" s="10" t="s">
        <v>2387</v>
      </c>
      <c r="G146" s="9" t="s">
        <v>2456</v>
      </c>
      <c r="H146" s="16" t="s">
        <v>2571</v>
      </c>
      <c r="I146" s="25" t="s">
        <v>2412</v>
      </c>
      <c r="J146" s="25" t="s">
        <v>2412</v>
      </c>
      <c r="K146" s="16">
        <v>0</v>
      </c>
      <c r="L146" s="15" t="s">
        <v>2556</v>
      </c>
      <c r="M146" s="17" t="e">
        <f>INDEX(Validade!H:H,MATCH('Controle de Validade'!A146,Validade!C:C,0))</f>
        <v>#N/A</v>
      </c>
      <c r="N146" s="18"/>
    </row>
    <row r="147" spans="1:14" ht="15" hidden="1" x14ac:dyDescent="0.2">
      <c r="A147" s="8" t="s">
        <v>2290</v>
      </c>
      <c r="B147" s="8" t="s">
        <v>2579</v>
      </c>
      <c r="C147" s="8" t="s">
        <v>2650</v>
      </c>
      <c r="D147" s="9" t="s">
        <v>41</v>
      </c>
      <c r="E147" s="9" t="s">
        <v>2388</v>
      </c>
      <c r="F147" s="10" t="s">
        <v>2961</v>
      </c>
      <c r="G147" s="9" t="s">
        <v>2429</v>
      </c>
      <c r="H147" s="16" t="s">
        <v>2570</v>
      </c>
      <c r="I147" s="32" t="s">
        <v>2993</v>
      </c>
      <c r="J147" s="26" t="s">
        <v>2994</v>
      </c>
      <c r="K147" s="16">
        <v>1</v>
      </c>
      <c r="L147" s="3" t="s">
        <v>2556</v>
      </c>
      <c r="M147" s="17" t="e">
        <f>INDEX(Validade!H:H,MATCH('Controle de Validade'!A147,Validade!C:C,0))</f>
        <v>#N/A</v>
      </c>
      <c r="N147" s="18"/>
    </row>
    <row r="148" spans="1:14" ht="15" hidden="1" x14ac:dyDescent="0.2">
      <c r="A148" s="8" t="s">
        <v>2094</v>
      </c>
      <c r="B148" s="8" t="s">
        <v>2579</v>
      </c>
      <c r="C148" s="8" t="s">
        <v>2651</v>
      </c>
      <c r="D148" s="9" t="s">
        <v>2499</v>
      </c>
      <c r="E148" s="9" t="s">
        <v>2388</v>
      </c>
      <c r="F148" s="10" t="s">
        <v>2392</v>
      </c>
      <c r="G148" s="9" t="s">
        <v>2463</v>
      </c>
      <c r="H148" s="16" t="s">
        <v>2571</v>
      </c>
      <c r="I148" s="25" t="s">
        <v>2412</v>
      </c>
      <c r="J148" s="25" t="s">
        <v>2412</v>
      </c>
      <c r="K148" s="16">
        <v>0</v>
      </c>
      <c r="L148" s="3" t="s">
        <v>2558</v>
      </c>
      <c r="M148" s="17" t="e">
        <f>INDEX(Validade!H:H,MATCH('Controle de Validade'!A148,Validade!C:C,0))</f>
        <v>#N/A</v>
      </c>
      <c r="N148" s="18"/>
    </row>
    <row r="149" spans="1:14" ht="15" hidden="1" x14ac:dyDescent="0.2">
      <c r="A149" s="8" t="s">
        <v>54</v>
      </c>
      <c r="B149" s="8" t="s">
        <v>2579</v>
      </c>
      <c r="C149" s="8" t="s">
        <v>55</v>
      </c>
      <c r="D149" s="9" t="s">
        <v>15</v>
      </c>
      <c r="E149" s="9" t="s">
        <v>2388</v>
      </c>
      <c r="F149" s="10" t="s">
        <v>2387</v>
      </c>
      <c r="G149" s="9" t="s">
        <v>2479</v>
      </c>
      <c r="H149" s="16" t="s">
        <v>2571</v>
      </c>
      <c r="I149" s="25" t="s">
        <v>2412</v>
      </c>
      <c r="J149" s="25" t="s">
        <v>2412</v>
      </c>
      <c r="K149" s="16">
        <v>0</v>
      </c>
      <c r="L149" s="3" t="s">
        <v>2556</v>
      </c>
      <c r="M149" s="17">
        <f>INDEX(Validade!H:H,MATCH('Controle de Validade'!A149,Validade!C:C,0))</f>
        <v>62458</v>
      </c>
      <c r="N149" s="18"/>
    </row>
    <row r="150" spans="1:14" ht="15" hidden="1" x14ac:dyDescent="0.2">
      <c r="A150" s="8" t="s">
        <v>60</v>
      </c>
      <c r="B150" s="8" t="s">
        <v>2579</v>
      </c>
      <c r="C150" s="8" t="s">
        <v>61</v>
      </c>
      <c r="D150" s="9" t="s">
        <v>15</v>
      </c>
      <c r="E150" s="9" t="s">
        <v>2388</v>
      </c>
      <c r="F150" s="10" t="s">
        <v>2387</v>
      </c>
      <c r="G150" s="9" t="s">
        <v>2479</v>
      </c>
      <c r="H150" s="16" t="s">
        <v>2571</v>
      </c>
      <c r="I150" s="25" t="s">
        <v>2412</v>
      </c>
      <c r="J150" s="25" t="s">
        <v>2412</v>
      </c>
      <c r="K150" s="16">
        <v>0</v>
      </c>
      <c r="L150" s="3" t="s">
        <v>2556</v>
      </c>
      <c r="M150" s="17">
        <f>INDEX(Validade!H:H,MATCH('Controle de Validade'!A150,Validade!C:C,0))</f>
        <v>62458</v>
      </c>
      <c r="N150" s="18"/>
    </row>
    <row r="151" spans="1:14" ht="15" hidden="1" x14ac:dyDescent="0.2">
      <c r="A151" s="8" t="s">
        <v>72</v>
      </c>
      <c r="B151" s="8" t="s">
        <v>2579</v>
      </c>
      <c r="C151" s="8" t="s">
        <v>73</v>
      </c>
      <c r="D151" s="9" t="s">
        <v>15</v>
      </c>
      <c r="E151" s="9" t="s">
        <v>2388</v>
      </c>
      <c r="F151" s="10" t="s">
        <v>2387</v>
      </c>
      <c r="G151" s="9" t="s">
        <v>2479</v>
      </c>
      <c r="H151" s="16" t="s">
        <v>2571</v>
      </c>
      <c r="I151" s="25" t="s">
        <v>2412</v>
      </c>
      <c r="J151" s="25" t="s">
        <v>2412</v>
      </c>
      <c r="K151" s="16">
        <v>0</v>
      </c>
      <c r="L151" s="3" t="s">
        <v>2556</v>
      </c>
      <c r="M151" s="17">
        <f>INDEX(Validade!H:H,MATCH('Controle de Validade'!A151,Validade!C:C,0))</f>
        <v>62458</v>
      </c>
      <c r="N151" s="18"/>
    </row>
    <row r="152" spans="1:14" ht="15" hidden="1" x14ac:dyDescent="0.2">
      <c r="A152" s="8" t="s">
        <v>2150</v>
      </c>
      <c r="B152" s="8" t="s">
        <v>2579</v>
      </c>
      <c r="C152" s="8" t="s">
        <v>2652</v>
      </c>
      <c r="D152" s="9" t="s">
        <v>41</v>
      </c>
      <c r="E152" s="9" t="s">
        <v>2388</v>
      </c>
      <c r="F152" s="10" t="s">
        <v>2961</v>
      </c>
      <c r="G152" s="9" t="s">
        <v>2429</v>
      </c>
      <c r="H152" s="16" t="s">
        <v>2570</v>
      </c>
      <c r="I152" s="32" t="s">
        <v>2993</v>
      </c>
      <c r="J152" s="26" t="s">
        <v>2994</v>
      </c>
      <c r="K152" s="16">
        <v>1</v>
      </c>
      <c r="L152" s="3" t="s">
        <v>2556</v>
      </c>
      <c r="M152" s="17" t="e">
        <f>INDEX(Validade!H:H,MATCH('Controle de Validade'!A152,Validade!C:C,0))</f>
        <v>#N/A</v>
      </c>
      <c r="N152" s="18"/>
    </row>
    <row r="153" spans="1:14" ht="15" hidden="1" x14ac:dyDescent="0.2">
      <c r="A153" s="8" t="s">
        <v>690</v>
      </c>
      <c r="B153" s="8" t="s">
        <v>2579</v>
      </c>
      <c r="C153" s="8" t="s">
        <v>691</v>
      </c>
      <c r="D153" s="9" t="s">
        <v>15</v>
      </c>
      <c r="E153" s="9" t="s">
        <v>2388</v>
      </c>
      <c r="F153" s="10" t="s">
        <v>2387</v>
      </c>
      <c r="G153" s="9" t="s">
        <v>2479</v>
      </c>
      <c r="H153" s="16" t="s">
        <v>2571</v>
      </c>
      <c r="I153" s="25" t="s">
        <v>2412</v>
      </c>
      <c r="J153" s="25" t="s">
        <v>2412</v>
      </c>
      <c r="K153" s="16">
        <v>0</v>
      </c>
      <c r="L153" s="3" t="s">
        <v>2556</v>
      </c>
      <c r="M153" s="17">
        <f>INDEX(Validade!H:H,MATCH('Controle de Validade'!A153,Validade!C:C,0))</f>
        <v>62458</v>
      </c>
      <c r="N153" s="18"/>
    </row>
    <row r="154" spans="1:14" ht="15" hidden="1" x14ac:dyDescent="0.2">
      <c r="A154" s="8" t="s">
        <v>687</v>
      </c>
      <c r="B154" s="8" t="s">
        <v>2579</v>
      </c>
      <c r="C154" s="8" t="s">
        <v>688</v>
      </c>
      <c r="D154" s="9" t="s">
        <v>15</v>
      </c>
      <c r="E154" s="9" t="s">
        <v>2388</v>
      </c>
      <c r="F154" s="10" t="s">
        <v>2387</v>
      </c>
      <c r="G154" s="9" t="s">
        <v>2479</v>
      </c>
      <c r="H154" s="16" t="s">
        <v>2571</v>
      </c>
      <c r="I154" s="25" t="s">
        <v>2412</v>
      </c>
      <c r="J154" s="25" t="s">
        <v>2412</v>
      </c>
      <c r="K154" s="16">
        <v>0</v>
      </c>
      <c r="L154" s="3" t="s">
        <v>2556</v>
      </c>
      <c r="M154" s="17">
        <f>INDEX(Validade!H:H,MATCH('Controle de Validade'!A154,Validade!C:C,0))</f>
        <v>62458</v>
      </c>
      <c r="N154" s="18"/>
    </row>
    <row r="155" spans="1:14" ht="15" hidden="1" x14ac:dyDescent="0.2">
      <c r="A155" s="8" t="s">
        <v>684</v>
      </c>
      <c r="B155" s="8" t="s">
        <v>2579</v>
      </c>
      <c r="C155" s="8" t="s">
        <v>685</v>
      </c>
      <c r="D155" s="9" t="s">
        <v>15</v>
      </c>
      <c r="E155" s="9" t="s">
        <v>2388</v>
      </c>
      <c r="F155" s="10" t="s">
        <v>2387</v>
      </c>
      <c r="G155" s="9" t="s">
        <v>2479</v>
      </c>
      <c r="H155" s="16" t="s">
        <v>2571</v>
      </c>
      <c r="I155" s="25" t="s">
        <v>2412</v>
      </c>
      <c r="J155" s="25" t="s">
        <v>2412</v>
      </c>
      <c r="K155" s="16">
        <v>0</v>
      </c>
      <c r="L155" s="3" t="s">
        <v>2556</v>
      </c>
      <c r="M155" s="17">
        <f>INDEX(Validade!H:H,MATCH('Controle de Validade'!A155,Validade!C:C,0))</f>
        <v>62458</v>
      </c>
      <c r="N155" s="18"/>
    </row>
    <row r="156" spans="1:14" ht="15" hidden="1" x14ac:dyDescent="0.2">
      <c r="A156" s="8" t="s">
        <v>669</v>
      </c>
      <c r="B156" s="8" t="s">
        <v>2579</v>
      </c>
      <c r="C156" s="8" t="s">
        <v>670</v>
      </c>
      <c r="D156" s="9" t="s">
        <v>15</v>
      </c>
      <c r="E156" s="9" t="s">
        <v>2388</v>
      </c>
      <c r="F156" s="10" t="s">
        <v>2387</v>
      </c>
      <c r="G156" s="9" t="s">
        <v>2479</v>
      </c>
      <c r="H156" s="16" t="s">
        <v>2571</v>
      </c>
      <c r="I156" s="25" t="s">
        <v>2412</v>
      </c>
      <c r="J156" s="25" t="s">
        <v>2412</v>
      </c>
      <c r="K156" s="16">
        <v>0</v>
      </c>
      <c r="L156" s="3" t="s">
        <v>2556</v>
      </c>
      <c r="M156" s="17">
        <f>INDEX(Validade!H:H,MATCH('Controle de Validade'!A156,Validade!C:C,0))</f>
        <v>62458</v>
      </c>
      <c r="N156" s="18"/>
    </row>
    <row r="157" spans="1:14" ht="15" hidden="1" x14ac:dyDescent="0.2">
      <c r="A157" s="8" t="s">
        <v>666</v>
      </c>
      <c r="B157" s="8" t="s">
        <v>2579</v>
      </c>
      <c r="C157" s="8" t="s">
        <v>667</v>
      </c>
      <c r="D157" s="9" t="s">
        <v>15</v>
      </c>
      <c r="E157" s="9" t="s">
        <v>2388</v>
      </c>
      <c r="F157" s="10" t="s">
        <v>2387</v>
      </c>
      <c r="G157" s="9" t="s">
        <v>2479</v>
      </c>
      <c r="H157" s="16" t="s">
        <v>2571</v>
      </c>
      <c r="I157" s="25" t="s">
        <v>2412</v>
      </c>
      <c r="J157" s="25" t="s">
        <v>2412</v>
      </c>
      <c r="K157" s="16">
        <v>0</v>
      </c>
      <c r="L157" s="3" t="s">
        <v>2556</v>
      </c>
      <c r="M157" s="17">
        <f>INDEX(Validade!H:H,MATCH('Controle de Validade'!A157,Validade!C:C,0))</f>
        <v>62458</v>
      </c>
      <c r="N157" s="18"/>
    </row>
    <row r="158" spans="1:14" ht="15" hidden="1" x14ac:dyDescent="0.2">
      <c r="A158" s="8" t="s">
        <v>657</v>
      </c>
      <c r="B158" s="8" t="s">
        <v>2579</v>
      </c>
      <c r="C158" s="8" t="s">
        <v>658</v>
      </c>
      <c r="D158" s="9" t="s">
        <v>3237</v>
      </c>
      <c r="E158" s="9" t="s">
        <v>2388</v>
      </c>
      <c r="F158" s="10" t="s">
        <v>2387</v>
      </c>
      <c r="G158" s="9" t="s">
        <v>2479</v>
      </c>
      <c r="H158" s="16" t="s">
        <v>2571</v>
      </c>
      <c r="I158" s="25" t="s">
        <v>2412</v>
      </c>
      <c r="J158" s="25" t="s">
        <v>2412</v>
      </c>
      <c r="K158" s="16">
        <v>0</v>
      </c>
      <c r="L158" s="3" t="s">
        <v>2556</v>
      </c>
      <c r="M158" s="17">
        <f>INDEX(Validade!H:H,MATCH('Controle de Validade'!A158,Validade!C:C,0))</f>
        <v>62458</v>
      </c>
      <c r="N158" s="18"/>
    </row>
    <row r="159" spans="1:14" ht="15" hidden="1" x14ac:dyDescent="0.2">
      <c r="A159" s="8" t="s">
        <v>654</v>
      </c>
      <c r="B159" s="8" t="s">
        <v>2579</v>
      </c>
      <c r="C159" s="8" t="s">
        <v>655</v>
      </c>
      <c r="D159" s="9" t="s">
        <v>15</v>
      </c>
      <c r="E159" s="9" t="s">
        <v>2388</v>
      </c>
      <c r="F159" s="10" t="s">
        <v>2387</v>
      </c>
      <c r="G159" s="9" t="s">
        <v>2479</v>
      </c>
      <c r="H159" s="16" t="s">
        <v>2571</v>
      </c>
      <c r="I159" s="25" t="s">
        <v>2412</v>
      </c>
      <c r="J159" s="25" t="s">
        <v>2412</v>
      </c>
      <c r="K159" s="16">
        <v>0</v>
      </c>
      <c r="L159" s="3" t="s">
        <v>2556</v>
      </c>
      <c r="M159" s="17">
        <f>INDEX(Validade!H:H,MATCH('Controle de Validade'!A159,Validade!C:C,0))</f>
        <v>62458</v>
      </c>
      <c r="N159" s="18"/>
    </row>
    <row r="160" spans="1:14" ht="15" hidden="1" x14ac:dyDescent="0.2">
      <c r="A160" s="8" t="s">
        <v>646</v>
      </c>
      <c r="B160" s="8" t="s">
        <v>2579</v>
      </c>
      <c r="C160" s="8" t="s">
        <v>647</v>
      </c>
      <c r="D160" s="9" t="s">
        <v>15</v>
      </c>
      <c r="E160" s="9" t="s">
        <v>2388</v>
      </c>
      <c r="F160" s="10" t="s">
        <v>2387</v>
      </c>
      <c r="G160" s="9" t="s">
        <v>2479</v>
      </c>
      <c r="H160" s="16" t="s">
        <v>2571</v>
      </c>
      <c r="I160" s="25" t="s">
        <v>2412</v>
      </c>
      <c r="J160" s="25" t="s">
        <v>2412</v>
      </c>
      <c r="K160" s="16">
        <v>0</v>
      </c>
      <c r="L160" s="3" t="s">
        <v>2556</v>
      </c>
      <c r="M160" s="17">
        <f>INDEX(Validade!H:H,MATCH('Controle de Validade'!A160,Validade!C:C,0))</f>
        <v>62458</v>
      </c>
      <c r="N160" s="18"/>
    </row>
    <row r="161" spans="1:14" ht="15" hidden="1" x14ac:dyDescent="0.2">
      <c r="A161" s="8" t="s">
        <v>81</v>
      </c>
      <c r="B161" s="8" t="s">
        <v>2579</v>
      </c>
      <c r="C161" s="8" t="s">
        <v>82</v>
      </c>
      <c r="D161" s="9" t="s">
        <v>15</v>
      </c>
      <c r="E161" s="9" t="s">
        <v>2388</v>
      </c>
      <c r="F161" s="10" t="s">
        <v>2387</v>
      </c>
      <c r="G161" s="9" t="s">
        <v>2479</v>
      </c>
      <c r="H161" s="16" t="s">
        <v>2571</v>
      </c>
      <c r="I161" s="25" t="s">
        <v>2412</v>
      </c>
      <c r="J161" s="25" t="s">
        <v>2412</v>
      </c>
      <c r="K161" s="16">
        <v>0</v>
      </c>
      <c r="L161" s="3" t="s">
        <v>2556</v>
      </c>
      <c r="M161" s="17">
        <f>INDEX(Validade!H:H,MATCH('Controle de Validade'!A161,Validade!C:C,0))</f>
        <v>62458</v>
      </c>
      <c r="N161" s="18"/>
    </row>
    <row r="162" spans="1:14" ht="15" hidden="1" x14ac:dyDescent="0.2">
      <c r="A162" s="8" t="s">
        <v>78</v>
      </c>
      <c r="B162" s="8" t="s">
        <v>2579</v>
      </c>
      <c r="C162" s="8" t="s">
        <v>79</v>
      </c>
      <c r="D162" s="9" t="s">
        <v>15</v>
      </c>
      <c r="E162" s="9" t="s">
        <v>2388</v>
      </c>
      <c r="F162" s="10" t="s">
        <v>2387</v>
      </c>
      <c r="G162" s="9" t="s">
        <v>2479</v>
      </c>
      <c r="H162" s="16" t="s">
        <v>2571</v>
      </c>
      <c r="I162" s="25" t="s">
        <v>2412</v>
      </c>
      <c r="J162" s="25" t="s">
        <v>2412</v>
      </c>
      <c r="K162" s="16">
        <v>0</v>
      </c>
      <c r="L162" s="3" t="s">
        <v>2556</v>
      </c>
      <c r="M162" s="17">
        <f>INDEX(Validade!H:H,MATCH('Controle de Validade'!A162,Validade!C:C,0))</f>
        <v>62458</v>
      </c>
      <c r="N162" s="18"/>
    </row>
    <row r="163" spans="1:14" ht="15" hidden="1" x14ac:dyDescent="0.2">
      <c r="A163" s="8" t="s">
        <v>75</v>
      </c>
      <c r="B163" s="8" t="s">
        <v>2579</v>
      </c>
      <c r="C163" s="8" t="s">
        <v>76</v>
      </c>
      <c r="D163" s="9" t="s">
        <v>15</v>
      </c>
      <c r="E163" s="9" t="s">
        <v>2388</v>
      </c>
      <c r="F163" s="10" t="s">
        <v>2387</v>
      </c>
      <c r="G163" s="9" t="s">
        <v>2479</v>
      </c>
      <c r="H163" s="16" t="s">
        <v>2571</v>
      </c>
      <c r="I163" s="25" t="s">
        <v>2412</v>
      </c>
      <c r="J163" s="25" t="s">
        <v>2412</v>
      </c>
      <c r="K163" s="16">
        <v>0</v>
      </c>
      <c r="L163" s="3" t="s">
        <v>2556</v>
      </c>
      <c r="M163" s="17">
        <f>INDEX(Validade!H:H,MATCH('Controle de Validade'!A163,Validade!C:C,0))</f>
        <v>62458</v>
      </c>
      <c r="N163" s="18"/>
    </row>
    <row r="164" spans="1:14" ht="15" hidden="1" x14ac:dyDescent="0.2">
      <c r="A164" s="8" t="s">
        <v>63</v>
      </c>
      <c r="B164" s="8" t="s">
        <v>2579</v>
      </c>
      <c r="C164" s="8" t="s">
        <v>64</v>
      </c>
      <c r="D164" s="9" t="s">
        <v>28</v>
      </c>
      <c r="E164" s="9" t="s">
        <v>2388</v>
      </c>
      <c r="F164" s="10" t="s">
        <v>2387</v>
      </c>
      <c r="G164" s="9" t="s">
        <v>2471</v>
      </c>
      <c r="H164" s="16" t="s">
        <v>2570</v>
      </c>
      <c r="I164" s="40" t="s">
        <v>3187</v>
      </c>
      <c r="J164" s="26" t="s">
        <v>2948</v>
      </c>
      <c r="K164" s="16">
        <v>1</v>
      </c>
      <c r="L164" s="3" t="s">
        <v>2556</v>
      </c>
      <c r="M164" s="17">
        <f>INDEX(Validade!H:H,MATCH('Controle de Validade'!A164,Validade!C:C,0))</f>
        <v>46084</v>
      </c>
      <c r="N164" s="18"/>
    </row>
    <row r="165" spans="1:14" ht="15" hidden="1" x14ac:dyDescent="0.2">
      <c r="A165" s="8" t="s">
        <v>917</v>
      </c>
      <c r="B165" s="8" t="s">
        <v>2580</v>
      </c>
      <c r="C165" s="8" t="s">
        <v>918</v>
      </c>
      <c r="D165" s="9" t="s">
        <v>2422</v>
      </c>
      <c r="E165" s="9" t="s">
        <v>2388</v>
      </c>
      <c r="F165" s="10" t="s">
        <v>2961</v>
      </c>
      <c r="G165" s="9" t="s">
        <v>2423</v>
      </c>
      <c r="H165" s="21" t="s">
        <v>2571</v>
      </c>
      <c r="I165" s="25" t="s">
        <v>2412</v>
      </c>
      <c r="J165" s="25" t="s">
        <v>2412</v>
      </c>
      <c r="K165" s="16">
        <v>0</v>
      </c>
      <c r="L165" s="3" t="s">
        <v>2556</v>
      </c>
      <c r="M165" s="17">
        <f>INDEX(Validade!H:H,MATCH('Controle de Validade'!A165,Validade!C:C,0))</f>
        <v>0</v>
      </c>
      <c r="N165" s="18"/>
    </row>
    <row r="166" spans="1:14" ht="15" hidden="1" x14ac:dyDescent="0.2">
      <c r="A166" s="8" t="s">
        <v>57</v>
      </c>
      <c r="B166" s="8" t="s">
        <v>2579</v>
      </c>
      <c r="C166" s="8" t="s">
        <v>58</v>
      </c>
      <c r="D166" s="9" t="s">
        <v>15</v>
      </c>
      <c r="E166" s="9" t="s">
        <v>2388</v>
      </c>
      <c r="F166" s="10" t="s">
        <v>2387</v>
      </c>
      <c r="G166" s="9" t="s">
        <v>2479</v>
      </c>
      <c r="H166" s="16" t="s">
        <v>2571</v>
      </c>
      <c r="I166" s="25" t="s">
        <v>2412</v>
      </c>
      <c r="J166" s="25" t="s">
        <v>2412</v>
      </c>
      <c r="K166" s="16">
        <v>0</v>
      </c>
      <c r="L166" s="3" t="s">
        <v>2556</v>
      </c>
      <c r="M166" s="17">
        <f>INDEX(Validade!H:H,MATCH('Controle de Validade'!A166,Validade!C:C,0))</f>
        <v>0</v>
      </c>
      <c r="N166" s="18"/>
    </row>
    <row r="167" spans="1:14" ht="15" hidden="1" x14ac:dyDescent="0.2">
      <c r="A167" s="8" t="s">
        <v>51</v>
      </c>
      <c r="B167" s="8" t="s">
        <v>2579</v>
      </c>
      <c r="C167" s="8" t="s">
        <v>52</v>
      </c>
      <c r="D167" s="9" t="s">
        <v>15</v>
      </c>
      <c r="E167" s="9" t="s">
        <v>2388</v>
      </c>
      <c r="F167" s="10" t="s">
        <v>2387</v>
      </c>
      <c r="G167" s="9" t="s">
        <v>2479</v>
      </c>
      <c r="H167" s="16" t="s">
        <v>2571</v>
      </c>
      <c r="I167" s="25" t="s">
        <v>2412</v>
      </c>
      <c r="J167" s="25" t="s">
        <v>2412</v>
      </c>
      <c r="K167" s="16">
        <v>0</v>
      </c>
      <c r="L167" s="3" t="s">
        <v>2556</v>
      </c>
      <c r="M167" s="17">
        <f>INDEX(Validade!H:H,MATCH('Controle de Validade'!A167,Validade!C:C,0))</f>
        <v>62458</v>
      </c>
      <c r="N167" s="18"/>
    </row>
    <row r="168" spans="1:14" ht="15" hidden="1" x14ac:dyDescent="0.2">
      <c r="A168" s="8" t="s">
        <v>48</v>
      </c>
      <c r="B168" s="8" t="s">
        <v>2579</v>
      </c>
      <c r="C168" s="8" t="s">
        <v>49</v>
      </c>
      <c r="D168" s="9" t="s">
        <v>15</v>
      </c>
      <c r="E168" s="9" t="s">
        <v>2388</v>
      </c>
      <c r="F168" s="10" t="s">
        <v>2387</v>
      </c>
      <c r="G168" s="9" t="s">
        <v>2479</v>
      </c>
      <c r="H168" s="16" t="s">
        <v>2571</v>
      </c>
      <c r="I168" s="25" t="s">
        <v>2412</v>
      </c>
      <c r="J168" s="25" t="s">
        <v>2412</v>
      </c>
      <c r="K168" s="16">
        <v>0</v>
      </c>
      <c r="L168" s="3" t="s">
        <v>2556</v>
      </c>
      <c r="M168" s="17">
        <f>INDEX(Validade!H:H,MATCH('Controle de Validade'!A168,Validade!C:C,0))</f>
        <v>62458</v>
      </c>
      <c r="N168" s="18"/>
    </row>
    <row r="169" spans="1:14" ht="15" hidden="1" x14ac:dyDescent="0.2">
      <c r="A169" s="8" t="s">
        <v>42</v>
      </c>
      <c r="B169" s="8" t="s">
        <v>2579</v>
      </c>
      <c r="C169" s="8" t="s">
        <v>43</v>
      </c>
      <c r="D169" s="9" t="s">
        <v>15</v>
      </c>
      <c r="E169" s="9" t="s">
        <v>2388</v>
      </c>
      <c r="F169" s="10" t="s">
        <v>2387</v>
      </c>
      <c r="G169" s="9" t="s">
        <v>2479</v>
      </c>
      <c r="H169" s="16" t="s">
        <v>2571</v>
      </c>
      <c r="I169" s="25" t="s">
        <v>2412</v>
      </c>
      <c r="J169" s="25" t="s">
        <v>2412</v>
      </c>
      <c r="K169" s="16">
        <v>0</v>
      </c>
      <c r="L169" s="3" t="s">
        <v>2556</v>
      </c>
      <c r="M169" s="17">
        <f>INDEX(Validade!H:H,MATCH('Controle de Validade'!A169,Validade!C:C,0))</f>
        <v>62458</v>
      </c>
      <c r="N169" s="18"/>
    </row>
    <row r="170" spans="1:14" ht="15" hidden="1" x14ac:dyDescent="0.2">
      <c r="A170" s="8" t="s">
        <v>30</v>
      </c>
      <c r="B170" s="8" t="s">
        <v>2579</v>
      </c>
      <c r="C170" s="8" t="s">
        <v>31</v>
      </c>
      <c r="D170" s="9" t="s">
        <v>28</v>
      </c>
      <c r="E170" s="9" t="s">
        <v>2388</v>
      </c>
      <c r="F170" s="10" t="s">
        <v>2387</v>
      </c>
      <c r="G170" s="9" t="s">
        <v>2471</v>
      </c>
      <c r="H170" s="16" t="s">
        <v>2570</v>
      </c>
      <c r="I170" s="40" t="s">
        <v>3187</v>
      </c>
      <c r="J170" s="26" t="s">
        <v>2948</v>
      </c>
      <c r="K170" s="16">
        <v>1</v>
      </c>
      <c r="L170" s="3" t="s">
        <v>2556</v>
      </c>
      <c r="M170" s="17">
        <f>INDEX(Validade!H:H,MATCH('Controle de Validade'!A170,Validade!C:C,0))</f>
        <v>47022</v>
      </c>
      <c r="N170" s="18"/>
    </row>
    <row r="171" spans="1:14" ht="15" hidden="1" x14ac:dyDescent="0.2">
      <c r="A171" s="8" t="s">
        <v>23</v>
      </c>
      <c r="B171" s="8" t="s">
        <v>2579</v>
      </c>
      <c r="C171" s="8" t="s">
        <v>24</v>
      </c>
      <c r="D171" s="9" t="s">
        <v>15</v>
      </c>
      <c r="E171" s="9" t="s">
        <v>2388</v>
      </c>
      <c r="F171" s="10" t="s">
        <v>2387</v>
      </c>
      <c r="G171" s="9" t="s">
        <v>2479</v>
      </c>
      <c r="H171" s="16" t="s">
        <v>2571</v>
      </c>
      <c r="I171" s="25" t="s">
        <v>2412</v>
      </c>
      <c r="J171" s="25" t="s">
        <v>2412</v>
      </c>
      <c r="K171" s="16">
        <v>0</v>
      </c>
      <c r="L171" s="3" t="s">
        <v>2556</v>
      </c>
      <c r="M171" s="17">
        <f>INDEX(Validade!H:H,MATCH('Controle de Validade'!A171,Validade!C:C,0))</f>
        <v>62458</v>
      </c>
      <c r="N171" s="18"/>
    </row>
    <row r="172" spans="1:14" ht="15" hidden="1" x14ac:dyDescent="0.2">
      <c r="A172" s="8" t="s">
        <v>20</v>
      </c>
      <c r="B172" s="8" t="s">
        <v>2579</v>
      </c>
      <c r="C172" s="8" t="s">
        <v>21</v>
      </c>
      <c r="D172" s="9" t="s">
        <v>15</v>
      </c>
      <c r="E172" s="9" t="s">
        <v>2388</v>
      </c>
      <c r="F172" s="10" t="s">
        <v>2387</v>
      </c>
      <c r="G172" s="9" t="s">
        <v>2479</v>
      </c>
      <c r="H172" s="16" t="s">
        <v>2571</v>
      </c>
      <c r="I172" s="25" t="s">
        <v>2412</v>
      </c>
      <c r="J172" s="25" t="s">
        <v>2412</v>
      </c>
      <c r="K172" s="16">
        <v>0</v>
      </c>
      <c r="L172" s="3" t="s">
        <v>2556</v>
      </c>
      <c r="M172" s="17">
        <f>INDEX(Validade!H:H,MATCH('Controle de Validade'!A172,Validade!C:C,0))</f>
        <v>62458</v>
      </c>
      <c r="N172" s="18"/>
    </row>
    <row r="173" spans="1:14" ht="15" hidden="1" x14ac:dyDescent="0.2">
      <c r="A173" s="8" t="s">
        <v>17</v>
      </c>
      <c r="B173" s="8" t="s">
        <v>2579</v>
      </c>
      <c r="C173" s="8" t="s">
        <v>18</v>
      </c>
      <c r="D173" s="9" t="s">
        <v>1847</v>
      </c>
      <c r="E173" s="9" t="s">
        <v>2388</v>
      </c>
      <c r="F173" s="10" t="s">
        <v>2387</v>
      </c>
      <c r="G173" s="9" t="s">
        <v>2479</v>
      </c>
      <c r="H173" s="16" t="s">
        <v>2571</v>
      </c>
      <c r="I173" s="25" t="s">
        <v>2412</v>
      </c>
      <c r="J173" s="25" t="s">
        <v>2412</v>
      </c>
      <c r="K173" s="16">
        <v>0</v>
      </c>
      <c r="L173" s="3" t="s">
        <v>2556</v>
      </c>
      <c r="M173" s="17">
        <f>INDEX(Validade!H:H,MATCH('Controle de Validade'!A173,Validade!C:C,0))</f>
        <v>62458</v>
      </c>
      <c r="N173" s="18"/>
    </row>
    <row r="174" spans="1:14" ht="15" hidden="1" x14ac:dyDescent="0.2">
      <c r="A174" s="8" t="s">
        <v>13</v>
      </c>
      <c r="B174" s="8" t="s">
        <v>2579</v>
      </c>
      <c r="C174" s="8" t="s">
        <v>14</v>
      </c>
      <c r="D174" s="9" t="s">
        <v>15</v>
      </c>
      <c r="E174" s="9" t="s">
        <v>2388</v>
      </c>
      <c r="F174" s="10" t="s">
        <v>2387</v>
      </c>
      <c r="G174" s="9" t="s">
        <v>2479</v>
      </c>
      <c r="H174" s="16" t="s">
        <v>2571</v>
      </c>
      <c r="I174" s="25" t="s">
        <v>2412</v>
      </c>
      <c r="J174" s="25" t="s">
        <v>2412</v>
      </c>
      <c r="K174" s="16">
        <v>0</v>
      </c>
      <c r="L174" s="3" t="s">
        <v>2556</v>
      </c>
      <c r="M174" s="17">
        <f>INDEX(Validade!H:H,MATCH('Controle de Validade'!A174,Validade!C:C,0))</f>
        <v>62458</v>
      </c>
      <c r="N174" s="18"/>
    </row>
    <row r="175" spans="1:14" ht="15" hidden="1" x14ac:dyDescent="0.2">
      <c r="A175" s="8" t="s">
        <v>681</v>
      </c>
      <c r="B175" s="8" t="s">
        <v>2579</v>
      </c>
      <c r="C175" s="8" t="s">
        <v>682</v>
      </c>
      <c r="D175" s="9" t="s">
        <v>15</v>
      </c>
      <c r="E175" s="9" t="s">
        <v>2388</v>
      </c>
      <c r="F175" s="10" t="s">
        <v>2387</v>
      </c>
      <c r="G175" s="9" t="s">
        <v>2479</v>
      </c>
      <c r="H175" s="16" t="s">
        <v>2571</v>
      </c>
      <c r="I175" s="25" t="s">
        <v>2412</v>
      </c>
      <c r="J175" s="25" t="s">
        <v>2412</v>
      </c>
      <c r="K175" s="16">
        <v>0</v>
      </c>
      <c r="L175" s="3" t="s">
        <v>2556</v>
      </c>
      <c r="M175" s="17">
        <f>INDEX(Validade!H:H,MATCH('Controle de Validade'!A175,Validade!C:C,0))</f>
        <v>62458</v>
      </c>
      <c r="N175" s="18"/>
    </row>
    <row r="176" spans="1:14" ht="15" hidden="1" x14ac:dyDescent="0.2">
      <c r="A176" s="8" t="s">
        <v>675</v>
      </c>
      <c r="B176" s="8" t="s">
        <v>2579</v>
      </c>
      <c r="C176" s="8" t="s">
        <v>676</v>
      </c>
      <c r="D176" s="9" t="s">
        <v>15</v>
      </c>
      <c r="E176" s="9" t="s">
        <v>2388</v>
      </c>
      <c r="F176" s="10" t="s">
        <v>2387</v>
      </c>
      <c r="G176" s="9" t="s">
        <v>2479</v>
      </c>
      <c r="H176" s="16" t="s">
        <v>2571</v>
      </c>
      <c r="I176" s="25" t="s">
        <v>2412</v>
      </c>
      <c r="J176" s="25" t="s">
        <v>2412</v>
      </c>
      <c r="K176" s="16">
        <v>0</v>
      </c>
      <c r="L176" s="3" t="s">
        <v>2556</v>
      </c>
      <c r="M176" s="17">
        <f>INDEX(Validade!H:H,MATCH('Controle de Validade'!A176,Validade!C:C,0))</f>
        <v>62458</v>
      </c>
      <c r="N176" s="18"/>
    </row>
    <row r="177" spans="1:14" ht="15" hidden="1" x14ac:dyDescent="0.2">
      <c r="A177" s="8" t="s">
        <v>1047</v>
      </c>
      <c r="B177" s="8" t="s">
        <v>2580</v>
      </c>
      <c r="C177" s="8" t="s">
        <v>1048</v>
      </c>
      <c r="D177" s="9" t="s">
        <v>903</v>
      </c>
      <c r="E177" s="9" t="s">
        <v>2393</v>
      </c>
      <c r="F177" s="10" t="s">
        <v>2392</v>
      </c>
      <c r="G177" s="9" t="s">
        <v>2403</v>
      </c>
      <c r="H177" s="16" t="s">
        <v>2571</v>
      </c>
      <c r="I177" s="25" t="s">
        <v>2412</v>
      </c>
      <c r="J177" s="25" t="s">
        <v>2412</v>
      </c>
      <c r="K177" s="16">
        <v>0</v>
      </c>
      <c r="L177" s="3" t="s">
        <v>2556</v>
      </c>
      <c r="M177" s="17">
        <f>INDEX(Validade!H:H,MATCH('Controle de Validade'!A177,Validade!C:C,0))</f>
        <v>0</v>
      </c>
      <c r="N177" s="18"/>
    </row>
    <row r="178" spans="1:14" ht="15" hidden="1" x14ac:dyDescent="0.2">
      <c r="A178" s="8" t="s">
        <v>2293</v>
      </c>
      <c r="B178" s="8" t="s">
        <v>2579</v>
      </c>
      <c r="C178" s="8" t="s">
        <v>2653</v>
      </c>
      <c r="D178" s="9" t="s">
        <v>2475</v>
      </c>
      <c r="E178" s="9" t="s">
        <v>2476</v>
      </c>
      <c r="F178" s="10" t="s">
        <v>2387</v>
      </c>
      <c r="G178" s="9" t="s">
        <v>2456</v>
      </c>
      <c r="H178" s="20" t="s">
        <v>2571</v>
      </c>
      <c r="I178" s="25" t="s">
        <v>2412</v>
      </c>
      <c r="J178" s="25" t="s">
        <v>2412</v>
      </c>
      <c r="K178" s="16">
        <v>0</v>
      </c>
      <c r="L178" s="3" t="s">
        <v>2556</v>
      </c>
      <c r="M178" s="17" t="e">
        <f>INDEX(Validade!H:H,MATCH('Controle de Validade'!A178,Validade!C:C,0))</f>
        <v>#N/A</v>
      </c>
      <c r="N178" s="18"/>
    </row>
    <row r="179" spans="1:14" ht="15" hidden="1" x14ac:dyDescent="0.2">
      <c r="A179" s="8" t="s">
        <v>778</v>
      </c>
      <c r="B179" s="8" t="s">
        <v>2579</v>
      </c>
      <c r="C179" s="8" t="s">
        <v>779</v>
      </c>
      <c r="D179" s="9" t="s">
        <v>749</v>
      </c>
      <c r="E179" s="9" t="s">
        <v>2476</v>
      </c>
      <c r="F179" s="10" t="s">
        <v>2387</v>
      </c>
      <c r="G179" s="9" t="s">
        <v>2456</v>
      </c>
      <c r="H179" s="16" t="s">
        <v>2571</v>
      </c>
      <c r="I179" s="25" t="s">
        <v>2412</v>
      </c>
      <c r="J179" s="25" t="s">
        <v>2412</v>
      </c>
      <c r="K179" s="16">
        <v>0</v>
      </c>
      <c r="L179" s="3" t="s">
        <v>2556</v>
      </c>
      <c r="M179" s="17">
        <f>INDEX(Validade!H:H,MATCH('Controle de Validade'!A179,Validade!C:C,0))</f>
        <v>0</v>
      </c>
      <c r="N179" s="18"/>
    </row>
    <row r="180" spans="1:14" ht="15" hidden="1" x14ac:dyDescent="0.2">
      <c r="A180" s="8" t="s">
        <v>2156</v>
      </c>
      <c r="B180" s="8" t="s">
        <v>2579</v>
      </c>
      <c r="C180" s="8" t="s">
        <v>2654</v>
      </c>
      <c r="D180" s="9" t="s">
        <v>2475</v>
      </c>
      <c r="E180" s="9" t="s">
        <v>2476</v>
      </c>
      <c r="F180" s="10" t="s">
        <v>2387</v>
      </c>
      <c r="G180" s="9" t="s">
        <v>2456</v>
      </c>
      <c r="H180" s="20" t="s">
        <v>2571</v>
      </c>
      <c r="I180" s="25" t="s">
        <v>2412</v>
      </c>
      <c r="J180" s="25" t="s">
        <v>2412</v>
      </c>
      <c r="K180" s="16">
        <v>0</v>
      </c>
      <c r="L180" s="3" t="s">
        <v>2556</v>
      </c>
      <c r="M180" s="17" t="e">
        <f>INDEX(Validade!H:H,MATCH('Controle de Validade'!A180,Validade!C:C,0))</f>
        <v>#N/A</v>
      </c>
      <c r="N180" s="18"/>
    </row>
    <row r="181" spans="1:14" ht="15" hidden="1" x14ac:dyDescent="0.2">
      <c r="A181" s="8" t="s">
        <v>2162</v>
      </c>
      <c r="B181" s="8" t="s">
        <v>2579</v>
      </c>
      <c r="C181" s="8" t="s">
        <v>2655</v>
      </c>
      <c r="D181" s="9" t="s">
        <v>2475</v>
      </c>
      <c r="E181" s="9" t="s">
        <v>2476</v>
      </c>
      <c r="F181" s="10" t="s">
        <v>2387</v>
      </c>
      <c r="G181" s="9" t="s">
        <v>2456</v>
      </c>
      <c r="H181" s="20" t="s">
        <v>2571</v>
      </c>
      <c r="I181" s="25" t="s">
        <v>2412</v>
      </c>
      <c r="J181" s="25" t="s">
        <v>2412</v>
      </c>
      <c r="K181" s="16">
        <v>0</v>
      </c>
      <c r="L181" s="3" t="s">
        <v>2556</v>
      </c>
      <c r="M181" s="17" t="e">
        <f>INDEX(Validade!H:H,MATCH('Controle de Validade'!A181,Validade!C:C,0))</f>
        <v>#N/A</v>
      </c>
      <c r="N181" s="18"/>
    </row>
    <row r="182" spans="1:14" ht="15" hidden="1" x14ac:dyDescent="0.2">
      <c r="A182" s="8" t="s">
        <v>2157</v>
      </c>
      <c r="B182" s="8" t="s">
        <v>2579</v>
      </c>
      <c r="C182" s="8" t="s">
        <v>2656</v>
      </c>
      <c r="D182" s="9" t="s">
        <v>2475</v>
      </c>
      <c r="E182" s="9" t="s">
        <v>2476</v>
      </c>
      <c r="F182" s="10" t="s">
        <v>2387</v>
      </c>
      <c r="G182" s="9" t="s">
        <v>2456</v>
      </c>
      <c r="H182" s="20" t="s">
        <v>2571</v>
      </c>
      <c r="I182" s="25" t="s">
        <v>2412</v>
      </c>
      <c r="J182" s="25" t="s">
        <v>2412</v>
      </c>
      <c r="K182" s="16">
        <v>0</v>
      </c>
      <c r="L182" s="3" t="s">
        <v>2556</v>
      </c>
      <c r="M182" s="17" t="e">
        <f>INDEX(Validade!H:H,MATCH('Controle de Validade'!A182,Validade!C:C,0))</f>
        <v>#N/A</v>
      </c>
      <c r="N182" s="18"/>
    </row>
    <row r="183" spans="1:14" ht="15" hidden="1" x14ac:dyDescent="0.2">
      <c r="A183" s="8" t="s">
        <v>2180</v>
      </c>
      <c r="B183" s="8" t="s">
        <v>2579</v>
      </c>
      <c r="C183" s="8" t="s">
        <v>2657</v>
      </c>
      <c r="D183" s="9" t="s">
        <v>2475</v>
      </c>
      <c r="E183" s="9" t="s">
        <v>2476</v>
      </c>
      <c r="F183" s="10" t="s">
        <v>2387</v>
      </c>
      <c r="G183" s="9" t="s">
        <v>2456</v>
      </c>
      <c r="H183" s="20" t="s">
        <v>2571</v>
      </c>
      <c r="I183" s="25" t="s">
        <v>2412</v>
      </c>
      <c r="J183" s="25" t="s">
        <v>2412</v>
      </c>
      <c r="K183" s="16">
        <v>0</v>
      </c>
      <c r="L183" s="3" t="s">
        <v>2556</v>
      </c>
      <c r="M183" s="17" t="e">
        <f>INDEX(Validade!H:H,MATCH('Controle de Validade'!A183,Validade!C:C,0))</f>
        <v>#N/A</v>
      </c>
      <c r="N183" s="18"/>
    </row>
    <row r="184" spans="1:14" ht="15" hidden="1" x14ac:dyDescent="0.2">
      <c r="A184" s="8" t="s">
        <v>2344</v>
      </c>
      <c r="B184" s="8" t="s">
        <v>2579</v>
      </c>
      <c r="C184" s="8" t="s">
        <v>2658</v>
      </c>
      <c r="D184" s="9" t="s">
        <v>2475</v>
      </c>
      <c r="E184" s="9" t="s">
        <v>2476</v>
      </c>
      <c r="F184" s="10" t="s">
        <v>2387</v>
      </c>
      <c r="G184" s="9" t="s">
        <v>2456</v>
      </c>
      <c r="H184" s="20" t="s">
        <v>2571</v>
      </c>
      <c r="I184" s="25" t="s">
        <v>2412</v>
      </c>
      <c r="J184" s="25" t="s">
        <v>2412</v>
      </c>
      <c r="K184" s="16">
        <v>0</v>
      </c>
      <c r="L184" s="3" t="s">
        <v>2556</v>
      </c>
      <c r="M184" s="17" t="e">
        <f>INDEX(Validade!H:H,MATCH('Controle de Validade'!A184,Validade!C:C,0))</f>
        <v>#N/A</v>
      </c>
      <c r="N184" s="18"/>
    </row>
    <row r="185" spans="1:14" ht="15" hidden="1" x14ac:dyDescent="0.2">
      <c r="A185" s="8" t="s">
        <v>2336</v>
      </c>
      <c r="B185" s="8" t="s">
        <v>2579</v>
      </c>
      <c r="C185" s="8" t="s">
        <v>2659</v>
      </c>
      <c r="D185" s="9" t="s">
        <v>2475</v>
      </c>
      <c r="E185" s="9" t="s">
        <v>2476</v>
      </c>
      <c r="F185" s="10" t="s">
        <v>2387</v>
      </c>
      <c r="G185" s="9" t="s">
        <v>2456</v>
      </c>
      <c r="H185" s="20" t="s">
        <v>2571</v>
      </c>
      <c r="I185" s="25" t="s">
        <v>2412</v>
      </c>
      <c r="J185" s="25" t="s">
        <v>2412</v>
      </c>
      <c r="K185" s="16">
        <v>0</v>
      </c>
      <c r="L185" s="3" t="s">
        <v>2556</v>
      </c>
      <c r="M185" s="17" t="e">
        <f>INDEX(Validade!H:H,MATCH('Controle de Validade'!A185,Validade!C:C,0))</f>
        <v>#N/A</v>
      </c>
      <c r="N185" s="18"/>
    </row>
    <row r="186" spans="1:14" ht="15" hidden="1" x14ac:dyDescent="0.2">
      <c r="A186" s="8" t="s">
        <v>2345</v>
      </c>
      <c r="B186" s="8" t="s">
        <v>2579</v>
      </c>
      <c r="C186" s="8" t="s">
        <v>2660</v>
      </c>
      <c r="D186" s="9" t="s">
        <v>2475</v>
      </c>
      <c r="E186" s="9" t="s">
        <v>2476</v>
      </c>
      <c r="F186" s="10" t="s">
        <v>2387</v>
      </c>
      <c r="G186" s="9" t="s">
        <v>2456</v>
      </c>
      <c r="H186" s="20" t="s">
        <v>2571</v>
      </c>
      <c r="I186" s="25" t="s">
        <v>2412</v>
      </c>
      <c r="J186" s="25" t="s">
        <v>2412</v>
      </c>
      <c r="K186" s="16">
        <v>0</v>
      </c>
      <c r="L186" s="3" t="s">
        <v>2556</v>
      </c>
      <c r="M186" s="17" t="e">
        <f>INDEX(Validade!H:H,MATCH('Controle de Validade'!A186,Validade!C:C,0))</f>
        <v>#N/A</v>
      </c>
      <c r="N186" s="18"/>
    </row>
    <row r="187" spans="1:14" ht="15" hidden="1" x14ac:dyDescent="0.2">
      <c r="A187" s="8" t="s">
        <v>2346</v>
      </c>
      <c r="B187" s="8" t="s">
        <v>2579</v>
      </c>
      <c r="C187" s="8" t="s">
        <v>2661</v>
      </c>
      <c r="D187" s="9" t="s">
        <v>2475</v>
      </c>
      <c r="E187" s="9" t="s">
        <v>2476</v>
      </c>
      <c r="F187" s="10" t="s">
        <v>2387</v>
      </c>
      <c r="G187" s="9" t="s">
        <v>2456</v>
      </c>
      <c r="H187" s="20" t="s">
        <v>2571</v>
      </c>
      <c r="I187" s="25" t="s">
        <v>2412</v>
      </c>
      <c r="J187" s="25" t="s">
        <v>2412</v>
      </c>
      <c r="K187" s="16">
        <v>0</v>
      </c>
      <c r="L187" s="3" t="s">
        <v>2556</v>
      </c>
      <c r="M187" s="17" t="e">
        <f>INDEX(Validade!H:H,MATCH('Controle de Validade'!A187,Validade!C:C,0))</f>
        <v>#N/A</v>
      </c>
      <c r="N187" s="18"/>
    </row>
    <row r="188" spans="1:14" ht="15" hidden="1" x14ac:dyDescent="0.2">
      <c r="A188" s="8" t="s">
        <v>2358</v>
      </c>
      <c r="B188" s="8" t="s">
        <v>2579</v>
      </c>
      <c r="C188" s="8" t="s">
        <v>2662</v>
      </c>
      <c r="D188" s="9" t="s">
        <v>2475</v>
      </c>
      <c r="E188" s="9" t="s">
        <v>2476</v>
      </c>
      <c r="F188" s="10" t="s">
        <v>2387</v>
      </c>
      <c r="G188" s="9" t="s">
        <v>2456</v>
      </c>
      <c r="H188" s="20" t="s">
        <v>2571</v>
      </c>
      <c r="I188" s="25" t="s">
        <v>2412</v>
      </c>
      <c r="J188" s="25" t="s">
        <v>2412</v>
      </c>
      <c r="K188" s="16">
        <v>0</v>
      </c>
      <c r="L188" s="3" t="s">
        <v>2556</v>
      </c>
      <c r="M188" s="17" t="e">
        <f>INDEX(Validade!H:H,MATCH('Controle de Validade'!A188,Validade!C:C,0))</f>
        <v>#N/A</v>
      </c>
      <c r="N188" s="18"/>
    </row>
    <row r="189" spans="1:14" ht="15" hidden="1" x14ac:dyDescent="0.2">
      <c r="A189" s="8" t="s">
        <v>2100</v>
      </c>
      <c r="B189" s="8" t="s">
        <v>2579</v>
      </c>
      <c r="C189" s="8" t="s">
        <v>2663</v>
      </c>
      <c r="D189" s="9" t="s">
        <v>749</v>
      </c>
      <c r="E189" s="9" t="s">
        <v>2476</v>
      </c>
      <c r="F189" s="10" t="s">
        <v>2387</v>
      </c>
      <c r="G189" s="9" t="s">
        <v>2456</v>
      </c>
      <c r="H189" s="16" t="s">
        <v>2571</v>
      </c>
      <c r="I189" s="25" t="s">
        <v>2412</v>
      </c>
      <c r="J189" s="25" t="s">
        <v>2412</v>
      </c>
      <c r="K189" s="16">
        <v>0</v>
      </c>
      <c r="L189" s="3" t="s">
        <v>2556</v>
      </c>
      <c r="M189" s="17" t="e">
        <f>INDEX(Validade!H:H,MATCH('Controle de Validade'!A189,Validade!C:C,0))</f>
        <v>#N/A</v>
      </c>
      <c r="N189" s="18"/>
    </row>
    <row r="190" spans="1:14" ht="15" hidden="1" x14ac:dyDescent="0.2">
      <c r="A190" s="8" t="s">
        <v>2146</v>
      </c>
      <c r="B190" s="8" t="s">
        <v>2579</v>
      </c>
      <c r="C190" s="8" t="s">
        <v>2664</v>
      </c>
      <c r="D190" s="9" t="s">
        <v>749</v>
      </c>
      <c r="E190" s="9" t="s">
        <v>2476</v>
      </c>
      <c r="F190" s="10" t="s">
        <v>2387</v>
      </c>
      <c r="G190" s="9" t="s">
        <v>2456</v>
      </c>
      <c r="H190" s="16" t="s">
        <v>2571</v>
      </c>
      <c r="I190" s="25" t="s">
        <v>2412</v>
      </c>
      <c r="J190" s="25" t="s">
        <v>2412</v>
      </c>
      <c r="K190" s="16">
        <v>0</v>
      </c>
      <c r="L190" s="3" t="s">
        <v>2556</v>
      </c>
      <c r="M190" s="17" t="e">
        <f>INDEX(Validade!H:H,MATCH('Controle de Validade'!A190,Validade!C:C,0))</f>
        <v>#N/A</v>
      </c>
      <c r="N190" s="18"/>
    </row>
    <row r="191" spans="1:14" ht="15" hidden="1" x14ac:dyDescent="0.2">
      <c r="A191" s="8" t="s">
        <v>2102</v>
      </c>
      <c r="B191" s="8" t="s">
        <v>2579</v>
      </c>
      <c r="C191" s="8" t="s">
        <v>2665</v>
      </c>
      <c r="D191" s="9" t="s">
        <v>749</v>
      </c>
      <c r="E191" s="9" t="s">
        <v>2476</v>
      </c>
      <c r="F191" s="10" t="s">
        <v>2387</v>
      </c>
      <c r="G191" s="9" t="s">
        <v>2456</v>
      </c>
      <c r="H191" s="16" t="s">
        <v>2571</v>
      </c>
      <c r="I191" s="25" t="s">
        <v>2412</v>
      </c>
      <c r="J191" s="25" t="s">
        <v>2412</v>
      </c>
      <c r="K191" s="16">
        <v>0</v>
      </c>
      <c r="L191" s="3" t="s">
        <v>2556</v>
      </c>
      <c r="M191" s="17" t="e">
        <f>INDEX(Validade!H:H,MATCH('Controle de Validade'!A191,Validade!C:C,0))</f>
        <v>#N/A</v>
      </c>
      <c r="N191" s="18"/>
    </row>
    <row r="192" spans="1:14" ht="15" hidden="1" x14ac:dyDescent="0.2">
      <c r="A192" s="8" t="s">
        <v>2208</v>
      </c>
      <c r="B192" s="8" t="s">
        <v>2579</v>
      </c>
      <c r="C192" s="8" t="s">
        <v>2666</v>
      </c>
      <c r="D192" s="9" t="s">
        <v>749</v>
      </c>
      <c r="E192" s="9" t="s">
        <v>2476</v>
      </c>
      <c r="F192" s="10" t="s">
        <v>2387</v>
      </c>
      <c r="G192" s="9" t="s">
        <v>2456</v>
      </c>
      <c r="H192" s="16" t="s">
        <v>2571</v>
      </c>
      <c r="I192" s="25" t="s">
        <v>2412</v>
      </c>
      <c r="J192" s="25" t="s">
        <v>2412</v>
      </c>
      <c r="K192" s="16">
        <v>0</v>
      </c>
      <c r="L192" s="3" t="s">
        <v>2556</v>
      </c>
      <c r="M192" s="17" t="e">
        <f>INDEX(Validade!H:H,MATCH('Controle de Validade'!A192,Validade!C:C,0))</f>
        <v>#N/A</v>
      </c>
      <c r="N192" s="18"/>
    </row>
    <row r="193" spans="1:14" ht="15" hidden="1" x14ac:dyDescent="0.2">
      <c r="A193" s="8" t="s">
        <v>847</v>
      </c>
      <c r="B193" s="8" t="s">
        <v>2579</v>
      </c>
      <c r="C193" s="8" t="s">
        <v>848</v>
      </c>
      <c r="D193" s="9" t="s">
        <v>749</v>
      </c>
      <c r="E193" s="9" t="s">
        <v>2476</v>
      </c>
      <c r="F193" s="10" t="s">
        <v>2387</v>
      </c>
      <c r="G193" s="9" t="s">
        <v>2456</v>
      </c>
      <c r="H193" s="16" t="s">
        <v>2571</v>
      </c>
      <c r="I193" s="25" t="s">
        <v>2412</v>
      </c>
      <c r="J193" s="25" t="s">
        <v>2412</v>
      </c>
      <c r="K193" s="16">
        <v>0</v>
      </c>
      <c r="L193" s="3" t="s">
        <v>2556</v>
      </c>
      <c r="M193" s="17">
        <f>INDEX(Validade!H:H,MATCH('Controle de Validade'!A193,Validade!C:C,0))</f>
        <v>0</v>
      </c>
      <c r="N193" s="18"/>
    </row>
    <row r="194" spans="1:14" ht="15" hidden="1" x14ac:dyDescent="0.2">
      <c r="A194" s="8" t="s">
        <v>844</v>
      </c>
      <c r="B194" s="8" t="s">
        <v>2579</v>
      </c>
      <c r="C194" s="8" t="s">
        <v>845</v>
      </c>
      <c r="D194" s="9" t="s">
        <v>749</v>
      </c>
      <c r="E194" s="9" t="s">
        <v>2476</v>
      </c>
      <c r="F194" s="10" t="s">
        <v>2387</v>
      </c>
      <c r="G194" s="9" t="s">
        <v>2456</v>
      </c>
      <c r="H194" s="20" t="s">
        <v>2571</v>
      </c>
      <c r="I194" s="25" t="s">
        <v>2412</v>
      </c>
      <c r="J194" s="25" t="s">
        <v>2412</v>
      </c>
      <c r="K194" s="16">
        <v>0</v>
      </c>
      <c r="L194" s="3" t="s">
        <v>2556</v>
      </c>
      <c r="M194" s="17">
        <f>INDEX(Validade!H:H,MATCH('Controle de Validade'!A194,Validade!C:C,0))</f>
        <v>0</v>
      </c>
      <c r="N194" s="18"/>
    </row>
    <row r="195" spans="1:14" ht="15" hidden="1" x14ac:dyDescent="0.2">
      <c r="A195" s="8" t="s">
        <v>841</v>
      </c>
      <c r="B195" s="8" t="s">
        <v>2579</v>
      </c>
      <c r="C195" s="8" t="s">
        <v>842</v>
      </c>
      <c r="D195" s="9" t="s">
        <v>749</v>
      </c>
      <c r="E195" s="9" t="s">
        <v>2476</v>
      </c>
      <c r="F195" s="10" t="s">
        <v>2387</v>
      </c>
      <c r="G195" s="9" t="s">
        <v>2456</v>
      </c>
      <c r="H195" s="20" t="s">
        <v>2571</v>
      </c>
      <c r="I195" s="25" t="s">
        <v>2412</v>
      </c>
      <c r="J195" s="25" t="s">
        <v>2412</v>
      </c>
      <c r="K195" s="16">
        <v>0</v>
      </c>
      <c r="L195" s="3" t="s">
        <v>2556</v>
      </c>
      <c r="M195" s="17">
        <f>INDEX(Validade!H:H,MATCH('Controle de Validade'!A195,Validade!C:C,0))</f>
        <v>0</v>
      </c>
      <c r="N195" s="18"/>
    </row>
    <row r="196" spans="1:14" ht="15" hidden="1" x14ac:dyDescent="0.2">
      <c r="A196" s="8" t="s">
        <v>838</v>
      </c>
      <c r="B196" s="8" t="s">
        <v>2579</v>
      </c>
      <c r="C196" s="8" t="s">
        <v>839</v>
      </c>
      <c r="D196" s="9" t="s">
        <v>749</v>
      </c>
      <c r="E196" s="9" t="s">
        <v>2476</v>
      </c>
      <c r="F196" s="10" t="s">
        <v>2387</v>
      </c>
      <c r="G196" s="9" t="s">
        <v>2456</v>
      </c>
      <c r="H196" s="16" t="s">
        <v>2571</v>
      </c>
      <c r="I196" s="25" t="s">
        <v>2412</v>
      </c>
      <c r="J196" s="25" t="s">
        <v>2412</v>
      </c>
      <c r="K196" s="16">
        <v>0</v>
      </c>
      <c r="L196" s="3" t="s">
        <v>2556</v>
      </c>
      <c r="M196" s="17">
        <f>INDEX(Validade!H:H,MATCH('Controle de Validade'!A196,Validade!C:C,0))</f>
        <v>0</v>
      </c>
      <c r="N196" s="18"/>
    </row>
    <row r="197" spans="1:14" ht="15" hidden="1" x14ac:dyDescent="0.2">
      <c r="A197" s="8" t="s">
        <v>835</v>
      </c>
      <c r="B197" s="8" t="s">
        <v>2579</v>
      </c>
      <c r="C197" s="8" t="s">
        <v>836</v>
      </c>
      <c r="D197" s="9" t="s">
        <v>749</v>
      </c>
      <c r="E197" s="9" t="s">
        <v>2476</v>
      </c>
      <c r="F197" s="10" t="s">
        <v>2387</v>
      </c>
      <c r="G197" s="9" t="s">
        <v>2456</v>
      </c>
      <c r="H197" s="16" t="s">
        <v>2571</v>
      </c>
      <c r="I197" s="25" t="s">
        <v>2412</v>
      </c>
      <c r="J197" s="25" t="s">
        <v>2412</v>
      </c>
      <c r="K197" s="16">
        <v>0</v>
      </c>
      <c r="L197" s="3" t="s">
        <v>2556</v>
      </c>
      <c r="M197" s="17">
        <f>INDEX(Validade!H:H,MATCH('Controle de Validade'!A197,Validade!C:C,0))</f>
        <v>0</v>
      </c>
      <c r="N197" s="18"/>
    </row>
    <row r="198" spans="1:14" ht="15" hidden="1" x14ac:dyDescent="0.2">
      <c r="A198" s="8" t="s">
        <v>832</v>
      </c>
      <c r="B198" s="8" t="s">
        <v>2579</v>
      </c>
      <c r="C198" s="8" t="s">
        <v>833</v>
      </c>
      <c r="D198" s="9" t="s">
        <v>749</v>
      </c>
      <c r="E198" s="9" t="s">
        <v>2476</v>
      </c>
      <c r="F198" s="10" t="s">
        <v>2387</v>
      </c>
      <c r="G198" s="9" t="s">
        <v>2456</v>
      </c>
      <c r="H198" s="16" t="s">
        <v>2571</v>
      </c>
      <c r="I198" s="25" t="s">
        <v>2412</v>
      </c>
      <c r="J198" s="25" t="s">
        <v>2412</v>
      </c>
      <c r="K198" s="16">
        <v>0</v>
      </c>
      <c r="L198" s="3" t="s">
        <v>2556</v>
      </c>
      <c r="M198" s="17">
        <f>INDEX(Validade!H:H,MATCH('Controle de Validade'!A198,Validade!C:C,0))</f>
        <v>0</v>
      </c>
      <c r="N198" s="18"/>
    </row>
    <row r="199" spans="1:14" ht="15" hidden="1" x14ac:dyDescent="0.2">
      <c r="A199" s="8" t="s">
        <v>829</v>
      </c>
      <c r="B199" s="8" t="s">
        <v>2579</v>
      </c>
      <c r="C199" s="8" t="s">
        <v>830</v>
      </c>
      <c r="D199" s="9" t="s">
        <v>749</v>
      </c>
      <c r="E199" s="9" t="s">
        <v>2476</v>
      </c>
      <c r="F199" s="10" t="s">
        <v>2387</v>
      </c>
      <c r="G199" s="9" t="s">
        <v>2456</v>
      </c>
      <c r="H199" s="16" t="s">
        <v>2571</v>
      </c>
      <c r="I199" s="25" t="s">
        <v>2412</v>
      </c>
      <c r="J199" s="25" t="s">
        <v>2412</v>
      </c>
      <c r="K199" s="16">
        <v>0</v>
      </c>
      <c r="L199" s="3" t="s">
        <v>2556</v>
      </c>
      <c r="M199" s="17">
        <f>INDEX(Validade!H:H,MATCH('Controle de Validade'!A199,Validade!C:C,0))</f>
        <v>0</v>
      </c>
      <c r="N199" s="18"/>
    </row>
    <row r="200" spans="1:14" ht="15" hidden="1" x14ac:dyDescent="0.2">
      <c r="A200" s="8" t="s">
        <v>2170</v>
      </c>
      <c r="B200" s="8" t="s">
        <v>2579</v>
      </c>
      <c r="C200" s="8" t="s">
        <v>2667</v>
      </c>
      <c r="D200" s="9" t="s">
        <v>2475</v>
      </c>
      <c r="E200" s="9" t="s">
        <v>2476</v>
      </c>
      <c r="F200" s="10" t="s">
        <v>2387</v>
      </c>
      <c r="G200" s="9" t="s">
        <v>2456</v>
      </c>
      <c r="H200" s="16" t="s">
        <v>2571</v>
      </c>
      <c r="I200" s="25" t="s">
        <v>2412</v>
      </c>
      <c r="J200" s="25" t="s">
        <v>2412</v>
      </c>
      <c r="K200" s="16">
        <v>0</v>
      </c>
      <c r="L200" s="3" t="s">
        <v>2556</v>
      </c>
      <c r="M200" s="17" t="e">
        <f>INDEX(Validade!H:H,MATCH('Controle de Validade'!A200,Validade!C:C,0))</f>
        <v>#N/A</v>
      </c>
      <c r="N200" s="18"/>
    </row>
    <row r="201" spans="1:14" ht="15" hidden="1" x14ac:dyDescent="0.2">
      <c r="A201" s="8" t="s">
        <v>2169</v>
      </c>
      <c r="B201" s="8" t="s">
        <v>2579</v>
      </c>
      <c r="C201" s="8" t="s">
        <v>2668</v>
      </c>
      <c r="D201" s="9" t="s">
        <v>2475</v>
      </c>
      <c r="E201" s="9" t="s">
        <v>2476</v>
      </c>
      <c r="F201" s="10" t="s">
        <v>2387</v>
      </c>
      <c r="G201" s="9" t="s">
        <v>2456</v>
      </c>
      <c r="H201" s="20" t="s">
        <v>2571</v>
      </c>
      <c r="I201" s="25" t="s">
        <v>2412</v>
      </c>
      <c r="J201" s="25" t="s">
        <v>2412</v>
      </c>
      <c r="K201" s="16">
        <v>0</v>
      </c>
      <c r="L201" s="3" t="s">
        <v>2556</v>
      </c>
      <c r="M201" s="17" t="e">
        <f>INDEX(Validade!H:H,MATCH('Controle de Validade'!A201,Validade!C:C,0))</f>
        <v>#N/A</v>
      </c>
      <c r="N201" s="18"/>
    </row>
    <row r="202" spans="1:14" ht="15" hidden="1" x14ac:dyDescent="0.2">
      <c r="A202" s="8" t="s">
        <v>802</v>
      </c>
      <c r="B202" s="8" t="s">
        <v>2579</v>
      </c>
      <c r="C202" s="8" t="s">
        <v>803</v>
      </c>
      <c r="D202" s="9" t="s">
        <v>2475</v>
      </c>
      <c r="E202" s="9" t="s">
        <v>2476</v>
      </c>
      <c r="F202" s="10" t="s">
        <v>2387</v>
      </c>
      <c r="G202" s="9" t="s">
        <v>2456</v>
      </c>
      <c r="H202" s="20" t="s">
        <v>2571</v>
      </c>
      <c r="I202" s="25" t="s">
        <v>2412</v>
      </c>
      <c r="J202" s="25" t="s">
        <v>2412</v>
      </c>
      <c r="K202" s="16">
        <v>0</v>
      </c>
      <c r="L202" s="3" t="s">
        <v>2556</v>
      </c>
      <c r="M202" s="17">
        <f>INDEX(Validade!H:H,MATCH('Controle de Validade'!A202,Validade!C:C,0))</f>
        <v>0</v>
      </c>
      <c r="N202" s="18"/>
    </row>
    <row r="203" spans="1:14" ht="15" hidden="1" x14ac:dyDescent="0.2">
      <c r="A203" s="8" t="s">
        <v>793</v>
      </c>
      <c r="B203" s="8" t="s">
        <v>2579</v>
      </c>
      <c r="C203" s="8" t="s">
        <v>794</v>
      </c>
      <c r="D203" s="9" t="s">
        <v>749</v>
      </c>
      <c r="E203" s="9" t="s">
        <v>2476</v>
      </c>
      <c r="F203" s="10" t="s">
        <v>2387</v>
      </c>
      <c r="G203" s="9" t="s">
        <v>2456</v>
      </c>
      <c r="H203" s="16" t="s">
        <v>2571</v>
      </c>
      <c r="I203" s="25" t="s">
        <v>2412</v>
      </c>
      <c r="J203" s="25" t="s">
        <v>2412</v>
      </c>
      <c r="K203" s="16">
        <v>0</v>
      </c>
      <c r="L203" s="3" t="s">
        <v>2556</v>
      </c>
      <c r="M203" s="17">
        <f>INDEX(Validade!H:H,MATCH('Controle de Validade'!A203,Validade!C:C,0))</f>
        <v>0</v>
      </c>
      <c r="N203" s="18"/>
    </row>
    <row r="204" spans="1:14" ht="15" hidden="1" x14ac:dyDescent="0.2">
      <c r="A204" s="8" t="s">
        <v>790</v>
      </c>
      <c r="B204" s="8" t="s">
        <v>2579</v>
      </c>
      <c r="C204" s="8" t="s">
        <v>791</v>
      </c>
      <c r="D204" s="9" t="s">
        <v>749</v>
      </c>
      <c r="E204" s="9" t="s">
        <v>2476</v>
      </c>
      <c r="F204" s="10" t="s">
        <v>2387</v>
      </c>
      <c r="G204" s="9" t="s">
        <v>2456</v>
      </c>
      <c r="H204" s="16" t="s">
        <v>2571</v>
      </c>
      <c r="I204" s="25" t="s">
        <v>2412</v>
      </c>
      <c r="J204" s="25" t="s">
        <v>2412</v>
      </c>
      <c r="K204" s="16">
        <v>0</v>
      </c>
      <c r="L204" s="3" t="s">
        <v>2556</v>
      </c>
      <c r="M204" s="17">
        <f>INDEX(Validade!H:H,MATCH('Controle de Validade'!A204,Validade!C:C,0))</f>
        <v>0</v>
      </c>
      <c r="N204" s="18"/>
    </row>
    <row r="205" spans="1:14" ht="15" hidden="1" x14ac:dyDescent="0.2">
      <c r="A205" s="8" t="s">
        <v>787</v>
      </c>
      <c r="B205" s="8" t="s">
        <v>2579</v>
      </c>
      <c r="C205" s="8" t="s">
        <v>788</v>
      </c>
      <c r="D205" s="9" t="s">
        <v>749</v>
      </c>
      <c r="E205" s="9" t="s">
        <v>2476</v>
      </c>
      <c r="F205" s="10" t="s">
        <v>2387</v>
      </c>
      <c r="G205" s="9" t="s">
        <v>2456</v>
      </c>
      <c r="H205" s="16" t="s">
        <v>2571</v>
      </c>
      <c r="I205" s="25" t="s">
        <v>2412</v>
      </c>
      <c r="J205" s="25" t="s">
        <v>2412</v>
      </c>
      <c r="K205" s="16">
        <v>0</v>
      </c>
      <c r="L205" s="3" t="s">
        <v>2556</v>
      </c>
      <c r="M205" s="17">
        <f>INDEX(Validade!H:H,MATCH('Controle de Validade'!A205,Validade!C:C,0))</f>
        <v>0</v>
      </c>
      <c r="N205" s="18"/>
    </row>
    <row r="206" spans="1:14" ht="15" hidden="1" x14ac:dyDescent="0.2">
      <c r="A206" s="8" t="s">
        <v>784</v>
      </c>
      <c r="B206" s="8" t="s">
        <v>2579</v>
      </c>
      <c r="C206" s="8" t="s">
        <v>785</v>
      </c>
      <c r="D206" s="9" t="s">
        <v>749</v>
      </c>
      <c r="E206" s="9" t="s">
        <v>2476</v>
      </c>
      <c r="F206" s="10" t="s">
        <v>2387</v>
      </c>
      <c r="G206" s="9" t="s">
        <v>2456</v>
      </c>
      <c r="H206" s="16" t="s">
        <v>2571</v>
      </c>
      <c r="I206" s="25" t="s">
        <v>2412</v>
      </c>
      <c r="J206" s="25" t="s">
        <v>2412</v>
      </c>
      <c r="K206" s="16">
        <v>0</v>
      </c>
      <c r="L206" s="3" t="s">
        <v>2556</v>
      </c>
      <c r="M206" s="17">
        <f>INDEX(Validade!H:H,MATCH('Controle de Validade'!A206,Validade!C:C,0))</f>
        <v>0</v>
      </c>
      <c r="N206" s="18"/>
    </row>
    <row r="207" spans="1:14" ht="15" hidden="1" x14ac:dyDescent="0.2">
      <c r="A207" s="8" t="s">
        <v>781</v>
      </c>
      <c r="B207" s="8" t="s">
        <v>2579</v>
      </c>
      <c r="C207" s="8" t="s">
        <v>782</v>
      </c>
      <c r="D207" s="9" t="s">
        <v>749</v>
      </c>
      <c r="E207" s="9" t="s">
        <v>2476</v>
      </c>
      <c r="F207" s="10" t="s">
        <v>2387</v>
      </c>
      <c r="G207" s="9" t="s">
        <v>2456</v>
      </c>
      <c r="H207" s="16" t="s">
        <v>2571</v>
      </c>
      <c r="I207" s="25" t="s">
        <v>2412</v>
      </c>
      <c r="J207" s="25" t="s">
        <v>2412</v>
      </c>
      <c r="K207" s="16">
        <v>0</v>
      </c>
      <c r="L207" s="3" t="s">
        <v>2556</v>
      </c>
      <c r="M207" s="17">
        <f>INDEX(Validade!H:H,MATCH('Controle de Validade'!A207,Validade!C:C,0))</f>
        <v>0</v>
      </c>
      <c r="N207" s="18"/>
    </row>
    <row r="208" spans="1:14" ht="15" hidden="1" x14ac:dyDescent="0.2">
      <c r="A208" s="8" t="s">
        <v>772</v>
      </c>
      <c r="B208" s="8" t="s">
        <v>2579</v>
      </c>
      <c r="C208" s="8" t="s">
        <v>773</v>
      </c>
      <c r="D208" s="9" t="s">
        <v>749</v>
      </c>
      <c r="E208" s="9" t="s">
        <v>2476</v>
      </c>
      <c r="F208" s="10" t="s">
        <v>2387</v>
      </c>
      <c r="G208" s="9" t="s">
        <v>2456</v>
      </c>
      <c r="H208" s="16" t="s">
        <v>2571</v>
      </c>
      <c r="I208" s="25" t="s">
        <v>2412</v>
      </c>
      <c r="J208" s="25" t="s">
        <v>2412</v>
      </c>
      <c r="K208" s="16">
        <v>0</v>
      </c>
      <c r="L208" s="3" t="s">
        <v>2556</v>
      </c>
      <c r="M208" s="17">
        <f>INDEX(Validade!H:H,MATCH('Controle de Validade'!A208,Validade!C:C,0))</f>
        <v>0</v>
      </c>
      <c r="N208" s="18"/>
    </row>
    <row r="209" spans="1:14" ht="15" hidden="1" x14ac:dyDescent="0.2">
      <c r="A209" s="8" t="s">
        <v>769</v>
      </c>
      <c r="B209" s="8" t="s">
        <v>2579</v>
      </c>
      <c r="C209" s="8" t="s">
        <v>770</v>
      </c>
      <c r="D209" s="9" t="s">
        <v>749</v>
      </c>
      <c r="E209" s="9" t="s">
        <v>2476</v>
      </c>
      <c r="F209" s="10" t="s">
        <v>2387</v>
      </c>
      <c r="G209" s="9" t="s">
        <v>2456</v>
      </c>
      <c r="H209" s="16" t="s">
        <v>2571</v>
      </c>
      <c r="I209" s="25" t="s">
        <v>2412</v>
      </c>
      <c r="J209" s="25" t="s">
        <v>2412</v>
      </c>
      <c r="K209" s="16">
        <v>0</v>
      </c>
      <c r="L209" s="3" t="s">
        <v>2556</v>
      </c>
      <c r="M209" s="17">
        <f>INDEX(Validade!H:H,MATCH('Controle de Validade'!A209,Validade!C:C,0))</f>
        <v>0</v>
      </c>
      <c r="N209" s="18"/>
    </row>
    <row r="210" spans="1:14" ht="15" hidden="1" x14ac:dyDescent="0.2">
      <c r="A210" s="8" t="s">
        <v>766</v>
      </c>
      <c r="B210" s="8" t="s">
        <v>2579</v>
      </c>
      <c r="C210" s="8" t="s">
        <v>767</v>
      </c>
      <c r="D210" s="9" t="s">
        <v>749</v>
      </c>
      <c r="E210" s="9" t="s">
        <v>2476</v>
      </c>
      <c r="F210" s="10" t="s">
        <v>2387</v>
      </c>
      <c r="G210" s="9" t="s">
        <v>2456</v>
      </c>
      <c r="H210" s="16" t="s">
        <v>2571</v>
      </c>
      <c r="I210" s="25" t="s">
        <v>2412</v>
      </c>
      <c r="J210" s="25" t="s">
        <v>2412</v>
      </c>
      <c r="K210" s="16">
        <v>0</v>
      </c>
      <c r="L210" s="3" t="s">
        <v>2556</v>
      </c>
      <c r="M210" s="17">
        <f>INDEX(Validade!H:H,MATCH('Controle de Validade'!A210,Validade!C:C,0))</f>
        <v>0</v>
      </c>
      <c r="N210" s="18"/>
    </row>
    <row r="211" spans="1:14" ht="15" hidden="1" x14ac:dyDescent="0.2">
      <c r="A211" s="8" t="s">
        <v>763</v>
      </c>
      <c r="B211" s="8" t="s">
        <v>2579</v>
      </c>
      <c r="C211" s="8" t="s">
        <v>764</v>
      </c>
      <c r="D211" s="9" t="s">
        <v>749</v>
      </c>
      <c r="E211" s="9" t="s">
        <v>2476</v>
      </c>
      <c r="F211" s="10" t="s">
        <v>2387</v>
      </c>
      <c r="G211" s="9" t="s">
        <v>2456</v>
      </c>
      <c r="H211" s="16" t="s">
        <v>2571</v>
      </c>
      <c r="I211" s="25" t="s">
        <v>2412</v>
      </c>
      <c r="J211" s="25" t="s">
        <v>2412</v>
      </c>
      <c r="K211" s="16">
        <v>0</v>
      </c>
      <c r="L211" s="3" t="s">
        <v>2556</v>
      </c>
      <c r="M211" s="17">
        <f>INDEX(Validade!H:H,MATCH('Controle de Validade'!A211,Validade!C:C,0))</f>
        <v>0</v>
      </c>
      <c r="N211" s="18"/>
    </row>
    <row r="212" spans="1:14" ht="15" hidden="1" x14ac:dyDescent="0.2">
      <c r="A212" s="8" t="s">
        <v>2096</v>
      </c>
      <c r="B212" s="8" t="s">
        <v>2579</v>
      </c>
      <c r="C212" s="8" t="s">
        <v>2669</v>
      </c>
      <c r="D212" s="9" t="s">
        <v>749</v>
      </c>
      <c r="E212" s="9" t="s">
        <v>2476</v>
      </c>
      <c r="F212" s="10" t="s">
        <v>2387</v>
      </c>
      <c r="G212" s="9" t="s">
        <v>2456</v>
      </c>
      <c r="H212" s="16" t="s">
        <v>2571</v>
      </c>
      <c r="I212" s="25" t="s">
        <v>2412</v>
      </c>
      <c r="J212" s="25" t="s">
        <v>2412</v>
      </c>
      <c r="K212" s="16">
        <v>0</v>
      </c>
      <c r="L212" s="3" t="s">
        <v>2556</v>
      </c>
      <c r="M212" s="17" t="e">
        <f>INDEX(Validade!H:H,MATCH('Controle de Validade'!A212,Validade!C:C,0))</f>
        <v>#N/A</v>
      </c>
      <c r="N212" s="18"/>
    </row>
    <row r="213" spans="1:14" ht="15" hidden="1" x14ac:dyDescent="0.2">
      <c r="A213" s="8" t="s">
        <v>796</v>
      </c>
      <c r="B213" s="8" t="s">
        <v>2579</v>
      </c>
      <c r="C213" s="8" t="s">
        <v>797</v>
      </c>
      <c r="D213" s="9" t="s">
        <v>749</v>
      </c>
      <c r="E213" s="9" t="s">
        <v>2476</v>
      </c>
      <c r="F213" s="10" t="s">
        <v>2387</v>
      </c>
      <c r="G213" s="9" t="s">
        <v>2456</v>
      </c>
      <c r="H213" s="16" t="s">
        <v>2571</v>
      </c>
      <c r="I213" s="25" t="s">
        <v>2412</v>
      </c>
      <c r="J213" s="25" t="s">
        <v>2412</v>
      </c>
      <c r="K213" s="16">
        <v>0</v>
      </c>
      <c r="L213" s="3" t="s">
        <v>2556</v>
      </c>
      <c r="M213" s="17">
        <f>INDEX(Validade!H:H,MATCH('Controle de Validade'!A213,Validade!C:C,0))</f>
        <v>0</v>
      </c>
      <c r="N213" s="18"/>
    </row>
    <row r="214" spans="1:14" ht="15" hidden="1" x14ac:dyDescent="0.2">
      <c r="A214" s="8" t="s">
        <v>182</v>
      </c>
      <c r="B214" s="8" t="s">
        <v>2579</v>
      </c>
      <c r="C214" s="8" t="s">
        <v>183</v>
      </c>
      <c r="D214" s="9" t="s">
        <v>184</v>
      </c>
      <c r="E214" s="9" t="s">
        <v>2388</v>
      </c>
      <c r="F214" s="10" t="s">
        <v>2387</v>
      </c>
      <c r="G214" s="9" t="s">
        <v>2456</v>
      </c>
      <c r="H214" s="20" t="s">
        <v>2571</v>
      </c>
      <c r="I214" s="25" t="s">
        <v>2412</v>
      </c>
      <c r="J214" s="25" t="s">
        <v>2412</v>
      </c>
      <c r="K214" s="16">
        <v>0</v>
      </c>
      <c r="L214" s="3" t="s">
        <v>2556</v>
      </c>
      <c r="M214" s="17">
        <f>INDEX(Validade!H:H,MATCH('Controle de Validade'!A214,Validade!C:C,0))</f>
        <v>0</v>
      </c>
      <c r="N214" s="18"/>
    </row>
    <row r="215" spans="1:14" ht="15" hidden="1" x14ac:dyDescent="0.2">
      <c r="A215" s="8" t="s">
        <v>1044</v>
      </c>
      <c r="B215" s="8" t="s">
        <v>2579</v>
      </c>
      <c r="C215" s="8" t="s">
        <v>1045</v>
      </c>
      <c r="D215" s="9" t="s">
        <v>1042</v>
      </c>
      <c r="E215" s="9" t="s">
        <v>2393</v>
      </c>
      <c r="F215" s="10" t="s">
        <v>2387</v>
      </c>
      <c r="G215" s="9" t="s">
        <v>2431</v>
      </c>
      <c r="H215" s="16" t="s">
        <v>2571</v>
      </c>
      <c r="I215" s="25" t="s">
        <v>2412</v>
      </c>
      <c r="J215" s="25" t="s">
        <v>2412</v>
      </c>
      <c r="K215" s="16">
        <v>0</v>
      </c>
      <c r="L215" s="3" t="s">
        <v>2556</v>
      </c>
      <c r="M215" s="17">
        <f>INDEX(Validade!H:H,MATCH('Controle de Validade'!A215,Validade!C:C,0))</f>
        <v>0</v>
      </c>
      <c r="N215" s="18"/>
    </row>
    <row r="216" spans="1:14" ht="15" hidden="1" x14ac:dyDescent="0.2">
      <c r="A216" s="8" t="s">
        <v>1040</v>
      </c>
      <c r="B216" s="8" t="s">
        <v>2579</v>
      </c>
      <c r="C216" s="8" t="s">
        <v>1041</v>
      </c>
      <c r="D216" s="9" t="s">
        <v>1042</v>
      </c>
      <c r="E216" s="9" t="s">
        <v>2393</v>
      </c>
      <c r="F216" s="10" t="s">
        <v>2387</v>
      </c>
      <c r="G216" s="9" t="s">
        <v>2431</v>
      </c>
      <c r="H216" s="16" t="s">
        <v>2571</v>
      </c>
      <c r="I216" s="25" t="s">
        <v>2412</v>
      </c>
      <c r="J216" s="25" t="s">
        <v>2412</v>
      </c>
      <c r="K216" s="16">
        <v>0</v>
      </c>
      <c r="L216" s="3" t="s">
        <v>2556</v>
      </c>
      <c r="M216" s="17">
        <f>INDEX(Validade!H:H,MATCH('Controle de Validade'!A216,Validade!C:C,0))</f>
        <v>0</v>
      </c>
      <c r="N216" s="18"/>
    </row>
    <row r="217" spans="1:14" ht="15" hidden="1" x14ac:dyDescent="0.2">
      <c r="A217" s="8" t="s">
        <v>1037</v>
      </c>
      <c r="B217" s="8" t="s">
        <v>2579</v>
      </c>
      <c r="C217" s="8" t="s">
        <v>1038</v>
      </c>
      <c r="D217" s="9" t="s">
        <v>41</v>
      </c>
      <c r="E217" s="9" t="s">
        <v>2388</v>
      </c>
      <c r="F217" s="10" t="s">
        <v>2961</v>
      </c>
      <c r="G217" s="9" t="s">
        <v>2429</v>
      </c>
      <c r="H217" s="16" t="s">
        <v>2570</v>
      </c>
      <c r="I217" s="32" t="s">
        <v>2993</v>
      </c>
      <c r="J217" s="26" t="s">
        <v>2994</v>
      </c>
      <c r="K217" s="16">
        <v>1</v>
      </c>
      <c r="L217" s="3" t="s">
        <v>2556</v>
      </c>
      <c r="M217" s="17">
        <f>INDEX(Validade!H:H,MATCH('Controle de Validade'!A217,Validade!C:C,0))</f>
        <v>45939</v>
      </c>
      <c r="N217" s="18"/>
    </row>
    <row r="218" spans="1:14" ht="15" hidden="1" x14ac:dyDescent="0.2">
      <c r="A218" s="8" t="s">
        <v>2300</v>
      </c>
      <c r="B218" s="8" t="s">
        <v>2579</v>
      </c>
      <c r="C218" s="8" t="s">
        <v>2670</v>
      </c>
      <c r="D218" s="9" t="s">
        <v>15</v>
      </c>
      <c r="E218" s="9" t="s">
        <v>2388</v>
      </c>
      <c r="F218" s="10" t="s">
        <v>2387</v>
      </c>
      <c r="G218" s="9" t="s">
        <v>2479</v>
      </c>
      <c r="H218" s="16" t="s">
        <v>2571</v>
      </c>
      <c r="I218" s="25" t="s">
        <v>2412</v>
      </c>
      <c r="J218" s="25" t="s">
        <v>2412</v>
      </c>
      <c r="K218" s="16">
        <v>0</v>
      </c>
      <c r="L218" s="3" t="s">
        <v>2556</v>
      </c>
      <c r="M218" s="17" t="e">
        <f>INDEX(Validade!H:H,MATCH('Controle de Validade'!A218,Validade!C:C,0))</f>
        <v>#N/A</v>
      </c>
      <c r="N218" s="18"/>
    </row>
    <row r="219" spans="1:14" ht="15" hidden="1" x14ac:dyDescent="0.2">
      <c r="A219" s="8" t="s">
        <v>1028</v>
      </c>
      <c r="B219" s="8" t="s">
        <v>2579</v>
      </c>
      <c r="C219" s="8" t="s">
        <v>1029</v>
      </c>
      <c r="D219" s="9" t="s">
        <v>1030</v>
      </c>
      <c r="E219" s="9" t="s">
        <v>2388</v>
      </c>
      <c r="F219" s="10" t="s">
        <v>2961</v>
      </c>
      <c r="G219" s="9" t="s">
        <v>2414</v>
      </c>
      <c r="H219" s="16" t="s">
        <v>2570</v>
      </c>
      <c r="I219" s="32" t="s">
        <v>2993</v>
      </c>
      <c r="J219" s="26" t="s">
        <v>2962</v>
      </c>
      <c r="K219" s="16">
        <v>1</v>
      </c>
      <c r="L219" s="3" t="s">
        <v>2556</v>
      </c>
      <c r="M219" s="17">
        <f>INDEX(Validade!H:H,MATCH('Controle de Validade'!A219,Validade!C:C,0))</f>
        <v>45814</v>
      </c>
      <c r="N219" s="18"/>
    </row>
    <row r="220" spans="1:14" ht="15" hidden="1" x14ac:dyDescent="0.2">
      <c r="A220" s="8" t="s">
        <v>172</v>
      </c>
      <c r="B220" s="8" t="s">
        <v>2579</v>
      </c>
      <c r="C220" s="8" t="s">
        <v>173</v>
      </c>
      <c r="D220" s="9" t="s">
        <v>28</v>
      </c>
      <c r="E220" s="9" t="s">
        <v>2388</v>
      </c>
      <c r="F220" s="10" t="s">
        <v>2387</v>
      </c>
      <c r="G220" s="9" t="s">
        <v>2471</v>
      </c>
      <c r="H220" s="16" t="s">
        <v>2570</v>
      </c>
      <c r="I220" s="40" t="s">
        <v>3187</v>
      </c>
      <c r="J220" s="26" t="s">
        <v>2948</v>
      </c>
      <c r="K220" s="16">
        <v>1</v>
      </c>
      <c r="L220" s="3" t="s">
        <v>2556</v>
      </c>
      <c r="M220" s="17">
        <f>INDEX(Validade!H:H,MATCH('Controle de Validade'!A220,Validade!C:C,0))</f>
        <v>46999</v>
      </c>
      <c r="N220" s="18"/>
    </row>
    <row r="221" spans="1:14" ht="15" hidden="1" x14ac:dyDescent="0.2">
      <c r="A221" s="8" t="s">
        <v>170</v>
      </c>
      <c r="B221" s="8" t="s">
        <v>2579</v>
      </c>
      <c r="C221" s="8" t="s">
        <v>171</v>
      </c>
      <c r="D221" s="9" t="s">
        <v>28</v>
      </c>
      <c r="E221" s="9" t="s">
        <v>2388</v>
      </c>
      <c r="F221" s="10" t="s">
        <v>2387</v>
      </c>
      <c r="G221" s="9" t="s">
        <v>2471</v>
      </c>
      <c r="H221" s="16" t="s">
        <v>2570</v>
      </c>
      <c r="I221" s="40" t="s">
        <v>3187</v>
      </c>
      <c r="J221" s="26" t="s">
        <v>2948</v>
      </c>
      <c r="K221" s="16">
        <v>1</v>
      </c>
      <c r="L221" s="3" t="s">
        <v>2556</v>
      </c>
      <c r="M221" s="17">
        <f>INDEX(Validade!H:H,MATCH('Controle de Validade'!A221,Validade!C:C,0))</f>
        <v>46911</v>
      </c>
      <c r="N221" s="18"/>
    </row>
    <row r="222" spans="1:14" ht="15" hidden="1" x14ac:dyDescent="0.2">
      <c r="A222" s="8" t="s">
        <v>166</v>
      </c>
      <c r="B222" s="8" t="s">
        <v>2579</v>
      </c>
      <c r="C222" s="8" t="s">
        <v>167</v>
      </c>
      <c r="D222" s="9" t="s">
        <v>15</v>
      </c>
      <c r="E222" s="9" t="s">
        <v>2388</v>
      </c>
      <c r="F222" s="10" t="s">
        <v>2387</v>
      </c>
      <c r="G222" s="9" t="s">
        <v>2479</v>
      </c>
      <c r="H222" s="16" t="s">
        <v>2571</v>
      </c>
      <c r="I222" s="25" t="s">
        <v>2412</v>
      </c>
      <c r="J222" s="25" t="s">
        <v>2412</v>
      </c>
      <c r="K222" s="16">
        <v>0</v>
      </c>
      <c r="L222" s="3" t="s">
        <v>2556</v>
      </c>
      <c r="M222" s="17">
        <f>INDEX(Validade!H:H,MATCH('Controle de Validade'!A222,Validade!C:C,0))</f>
        <v>0</v>
      </c>
      <c r="N222" s="18"/>
    </row>
    <row r="223" spans="1:14" ht="15" hidden="1" x14ac:dyDescent="0.2">
      <c r="A223" s="8" t="s">
        <v>163</v>
      </c>
      <c r="B223" s="8" t="s">
        <v>2579</v>
      </c>
      <c r="C223" s="8" t="s">
        <v>164</v>
      </c>
      <c r="D223" s="9" t="s">
        <v>15</v>
      </c>
      <c r="E223" s="9" t="s">
        <v>2388</v>
      </c>
      <c r="F223" s="10" t="s">
        <v>2387</v>
      </c>
      <c r="G223" s="9" t="s">
        <v>2479</v>
      </c>
      <c r="H223" s="16" t="s">
        <v>2571</v>
      </c>
      <c r="I223" s="25" t="s">
        <v>2412</v>
      </c>
      <c r="J223" s="25" t="s">
        <v>2412</v>
      </c>
      <c r="K223" s="16">
        <v>0</v>
      </c>
      <c r="L223" s="3" t="s">
        <v>2556</v>
      </c>
      <c r="M223" s="17">
        <f>INDEX(Validade!H:H,MATCH('Controle de Validade'!A223,Validade!C:C,0))</f>
        <v>62458</v>
      </c>
      <c r="N223" s="18"/>
    </row>
    <row r="224" spans="1:14" ht="15" hidden="1" x14ac:dyDescent="0.2">
      <c r="A224" s="8" t="s">
        <v>160</v>
      </c>
      <c r="B224" s="8" t="s">
        <v>2579</v>
      </c>
      <c r="C224" s="8" t="s">
        <v>161</v>
      </c>
      <c r="D224" s="9" t="s">
        <v>3238</v>
      </c>
      <c r="E224" s="9" t="s">
        <v>2388</v>
      </c>
      <c r="F224" s="10" t="s">
        <v>2387</v>
      </c>
      <c r="G224" s="9" t="s">
        <v>2479</v>
      </c>
      <c r="H224" s="16" t="s">
        <v>2571</v>
      </c>
      <c r="I224" s="25" t="s">
        <v>2412</v>
      </c>
      <c r="J224" s="25" t="s">
        <v>2412</v>
      </c>
      <c r="K224" s="16">
        <v>0</v>
      </c>
      <c r="L224" s="3" t="s">
        <v>2556</v>
      </c>
      <c r="M224" s="17">
        <f>INDEX(Validade!H:H,MATCH('Controle de Validade'!A224,Validade!C:C,0))</f>
        <v>62458</v>
      </c>
      <c r="N224" s="18"/>
    </row>
    <row r="225" spans="1:14" ht="15" hidden="1" x14ac:dyDescent="0.2">
      <c r="A225" s="8" t="s">
        <v>157</v>
      </c>
      <c r="B225" s="8" t="s">
        <v>2579</v>
      </c>
      <c r="C225" s="8" t="s">
        <v>158</v>
      </c>
      <c r="D225" s="9" t="s">
        <v>15</v>
      </c>
      <c r="E225" s="9" t="s">
        <v>2388</v>
      </c>
      <c r="F225" s="10" t="s">
        <v>2387</v>
      </c>
      <c r="G225" s="9" t="s">
        <v>2479</v>
      </c>
      <c r="H225" s="16" t="s">
        <v>2571</v>
      </c>
      <c r="I225" s="25" t="s">
        <v>2412</v>
      </c>
      <c r="J225" s="25" t="s">
        <v>2412</v>
      </c>
      <c r="K225" s="16">
        <v>0</v>
      </c>
      <c r="L225" s="3" t="s">
        <v>2556</v>
      </c>
      <c r="M225" s="17">
        <f>INDEX(Validade!H:H,MATCH('Controle de Validade'!A225,Validade!C:C,0))</f>
        <v>62458</v>
      </c>
      <c r="N225" s="18"/>
    </row>
    <row r="226" spans="1:14" ht="15" hidden="1" x14ac:dyDescent="0.2">
      <c r="A226" s="8" t="s">
        <v>154</v>
      </c>
      <c r="B226" s="8" t="s">
        <v>2579</v>
      </c>
      <c r="C226" s="8" t="s">
        <v>155</v>
      </c>
      <c r="D226" s="9" t="s">
        <v>15</v>
      </c>
      <c r="E226" s="9" t="s">
        <v>2388</v>
      </c>
      <c r="F226" s="10" t="s">
        <v>2387</v>
      </c>
      <c r="G226" s="9" t="s">
        <v>2479</v>
      </c>
      <c r="H226" s="16" t="s">
        <v>2571</v>
      </c>
      <c r="I226" s="25" t="s">
        <v>2412</v>
      </c>
      <c r="J226" s="25" t="s">
        <v>2412</v>
      </c>
      <c r="K226" s="16">
        <v>0</v>
      </c>
      <c r="L226" s="3" t="s">
        <v>2556</v>
      </c>
      <c r="M226" s="17">
        <f>INDEX(Validade!H:H,MATCH('Controle de Validade'!A226,Validade!C:C,0))</f>
        <v>62458</v>
      </c>
      <c r="N226" s="18"/>
    </row>
    <row r="227" spans="1:14" ht="15" hidden="1" x14ac:dyDescent="0.2">
      <c r="A227" s="8" t="s">
        <v>151</v>
      </c>
      <c r="B227" s="8" t="s">
        <v>2579</v>
      </c>
      <c r="C227" s="8" t="s">
        <v>152</v>
      </c>
      <c r="D227" s="9" t="s">
        <v>15</v>
      </c>
      <c r="E227" s="9" t="s">
        <v>2388</v>
      </c>
      <c r="F227" s="10" t="s">
        <v>2387</v>
      </c>
      <c r="G227" s="9" t="s">
        <v>2479</v>
      </c>
      <c r="H227" s="16" t="s">
        <v>2571</v>
      </c>
      <c r="I227" s="25" t="s">
        <v>2412</v>
      </c>
      <c r="J227" s="25" t="s">
        <v>2412</v>
      </c>
      <c r="K227" s="16">
        <v>0</v>
      </c>
      <c r="L227" s="3" t="s">
        <v>2556</v>
      </c>
      <c r="M227" s="17">
        <f>INDEX(Validade!H:H,MATCH('Controle de Validade'!A227,Validade!C:C,0))</f>
        <v>62458</v>
      </c>
      <c r="N227" s="18"/>
    </row>
    <row r="228" spans="1:14" ht="15" hidden="1" x14ac:dyDescent="0.2">
      <c r="A228" s="8" t="s">
        <v>179</v>
      </c>
      <c r="B228" s="8" t="s">
        <v>2579</v>
      </c>
      <c r="C228" s="8" t="s">
        <v>180</v>
      </c>
      <c r="D228" s="9" t="s">
        <v>177</v>
      </c>
      <c r="E228" s="9" t="s">
        <v>2388</v>
      </c>
      <c r="F228" s="10" t="s">
        <v>2387</v>
      </c>
      <c r="G228" s="9" t="s">
        <v>2433</v>
      </c>
      <c r="H228" s="16" t="s">
        <v>2571</v>
      </c>
      <c r="I228" s="25" t="s">
        <v>2412</v>
      </c>
      <c r="J228" s="25" t="s">
        <v>2412</v>
      </c>
      <c r="K228" s="16">
        <v>0</v>
      </c>
      <c r="L228" s="3" t="s">
        <v>2556</v>
      </c>
      <c r="M228" s="17">
        <f>INDEX(Validade!H:H,MATCH('Controle de Validade'!A228,Validade!C:C,0))</f>
        <v>62458</v>
      </c>
      <c r="N228" s="18"/>
    </row>
    <row r="229" spans="1:14" ht="15" hidden="1" x14ac:dyDescent="0.2">
      <c r="A229" s="8" t="s">
        <v>175</v>
      </c>
      <c r="B229" s="8" t="s">
        <v>2579</v>
      </c>
      <c r="C229" s="8" t="s">
        <v>176</v>
      </c>
      <c r="D229" s="9" t="s">
        <v>177</v>
      </c>
      <c r="E229" s="9" t="s">
        <v>2388</v>
      </c>
      <c r="F229" s="10" t="s">
        <v>2387</v>
      </c>
      <c r="G229" s="9" t="s">
        <v>2433</v>
      </c>
      <c r="H229" s="16" t="s">
        <v>2571</v>
      </c>
      <c r="I229" s="25" t="s">
        <v>2412</v>
      </c>
      <c r="J229" s="25" t="s">
        <v>2412</v>
      </c>
      <c r="K229" s="16">
        <v>0</v>
      </c>
      <c r="L229" s="3" t="s">
        <v>2556</v>
      </c>
      <c r="M229" s="17">
        <f>INDEX(Validade!H:H,MATCH('Controle de Validade'!A229,Validade!C:C,0))</f>
        <v>0</v>
      </c>
      <c r="N229" s="18"/>
    </row>
    <row r="230" spans="1:14" ht="15" hidden="1" x14ac:dyDescent="0.2">
      <c r="A230" s="8" t="s">
        <v>811</v>
      </c>
      <c r="B230" s="8" t="s">
        <v>2579</v>
      </c>
      <c r="C230" s="8" t="s">
        <v>812</v>
      </c>
      <c r="D230" s="9" t="s">
        <v>2475</v>
      </c>
      <c r="E230" s="9" t="s">
        <v>2476</v>
      </c>
      <c r="F230" s="10" t="s">
        <v>2387</v>
      </c>
      <c r="G230" s="9" t="s">
        <v>2456</v>
      </c>
      <c r="H230" s="20" t="s">
        <v>2571</v>
      </c>
      <c r="I230" s="25" t="s">
        <v>2412</v>
      </c>
      <c r="J230" s="25" t="s">
        <v>2412</v>
      </c>
      <c r="K230" s="16">
        <v>0</v>
      </c>
      <c r="L230" s="3" t="s">
        <v>2556</v>
      </c>
      <c r="M230" s="17">
        <f>INDEX(Validade!H:H,MATCH('Controle de Validade'!A230,Validade!C:C,0))</f>
        <v>0</v>
      </c>
      <c r="N230" s="18"/>
    </row>
    <row r="231" spans="1:14" ht="15" hidden="1" x14ac:dyDescent="0.2">
      <c r="A231" s="8" t="s">
        <v>820</v>
      </c>
      <c r="B231" s="8" t="s">
        <v>2579</v>
      </c>
      <c r="C231" s="8" t="s">
        <v>821</v>
      </c>
      <c r="D231" s="9" t="s">
        <v>2475</v>
      </c>
      <c r="E231" s="9" t="s">
        <v>2476</v>
      </c>
      <c r="F231" s="10" t="s">
        <v>2387</v>
      </c>
      <c r="G231" s="9" t="s">
        <v>2456</v>
      </c>
      <c r="H231" s="20" t="s">
        <v>2571</v>
      </c>
      <c r="I231" s="25" t="s">
        <v>2412</v>
      </c>
      <c r="J231" s="25" t="s">
        <v>2412</v>
      </c>
      <c r="K231" s="16">
        <v>0</v>
      </c>
      <c r="L231" s="3" t="s">
        <v>2556</v>
      </c>
      <c r="M231" s="17">
        <f>INDEX(Validade!H:H,MATCH('Controle de Validade'!A231,Validade!C:C,0))</f>
        <v>0</v>
      </c>
      <c r="N231" s="18"/>
    </row>
    <row r="232" spans="1:14" ht="15" hidden="1" x14ac:dyDescent="0.2">
      <c r="A232" s="8" t="s">
        <v>826</v>
      </c>
      <c r="B232" s="8" t="s">
        <v>2579</v>
      </c>
      <c r="C232" s="8" t="s">
        <v>827</v>
      </c>
      <c r="D232" s="9" t="s">
        <v>2475</v>
      </c>
      <c r="E232" s="9" t="s">
        <v>2476</v>
      </c>
      <c r="F232" s="10" t="s">
        <v>2387</v>
      </c>
      <c r="G232" s="9" t="s">
        <v>2456</v>
      </c>
      <c r="H232" s="20" t="s">
        <v>2571</v>
      </c>
      <c r="I232" s="25" t="s">
        <v>2412</v>
      </c>
      <c r="J232" s="25" t="s">
        <v>2412</v>
      </c>
      <c r="K232" s="16">
        <v>0</v>
      </c>
      <c r="L232" s="3" t="s">
        <v>2556</v>
      </c>
      <c r="M232" s="17">
        <f>INDEX(Validade!H:H,MATCH('Controle de Validade'!A232,Validade!C:C,0))</f>
        <v>62458</v>
      </c>
      <c r="N232" s="18"/>
    </row>
    <row r="233" spans="1:14" ht="15" hidden="1" x14ac:dyDescent="0.2">
      <c r="A233" s="8" t="s">
        <v>142</v>
      </c>
      <c r="B233" s="8" t="s">
        <v>2579</v>
      </c>
      <c r="C233" s="8" t="s">
        <v>143</v>
      </c>
      <c r="D233" s="9" t="s">
        <v>144</v>
      </c>
      <c r="E233" s="9" t="s">
        <v>2388</v>
      </c>
      <c r="F233" s="10" t="s">
        <v>2392</v>
      </c>
      <c r="G233" s="9" t="s">
        <v>2410</v>
      </c>
      <c r="H233" s="16" t="s">
        <v>2571</v>
      </c>
      <c r="I233" s="25" t="s">
        <v>2412</v>
      </c>
      <c r="J233" s="25" t="s">
        <v>2412</v>
      </c>
      <c r="K233" s="16">
        <v>0</v>
      </c>
      <c r="L233" s="3" t="s">
        <v>2556</v>
      </c>
      <c r="M233" s="17">
        <f>INDEX(Validade!H:H,MATCH('Controle de Validade'!A233,Validade!C:C,0))</f>
        <v>62458</v>
      </c>
      <c r="N233" s="18"/>
    </row>
    <row r="234" spans="1:14" ht="15" hidden="1" x14ac:dyDescent="0.2">
      <c r="A234" s="8" t="s">
        <v>1435</v>
      </c>
      <c r="B234" s="8" t="s">
        <v>2579</v>
      </c>
      <c r="C234" s="8" t="s">
        <v>1436</v>
      </c>
      <c r="D234" s="9" t="s">
        <v>922</v>
      </c>
      <c r="E234" s="9" t="s">
        <v>2388</v>
      </c>
      <c r="F234" s="10" t="s">
        <v>2392</v>
      </c>
      <c r="G234" s="9" t="s">
        <v>2451</v>
      </c>
      <c r="H234" s="16" t="s">
        <v>2571</v>
      </c>
      <c r="I234" s="25" t="s">
        <v>2412</v>
      </c>
      <c r="J234" s="25" t="s">
        <v>2412</v>
      </c>
      <c r="K234" s="16">
        <v>0</v>
      </c>
      <c r="L234" s="3" t="s">
        <v>2556</v>
      </c>
      <c r="M234" s="17">
        <f>INDEX(Validade!H:H,MATCH('Controle de Validade'!A234,Validade!C:C,0))</f>
        <v>62458</v>
      </c>
      <c r="N234" s="18"/>
    </row>
    <row r="235" spans="1:14" ht="15" hidden="1" x14ac:dyDescent="0.2">
      <c r="A235" s="8" t="s">
        <v>2207</v>
      </c>
      <c r="B235" s="8" t="s">
        <v>2580</v>
      </c>
      <c r="C235" s="8" t="s">
        <v>2671</v>
      </c>
      <c r="D235" s="9" t="s">
        <v>1176</v>
      </c>
      <c r="E235" s="9" t="s">
        <v>2393</v>
      </c>
      <c r="F235" s="10" t="s">
        <v>2392</v>
      </c>
      <c r="G235" s="9" t="s">
        <v>2403</v>
      </c>
      <c r="H235" s="16" t="s">
        <v>2571</v>
      </c>
      <c r="I235" s="25" t="s">
        <v>2412</v>
      </c>
      <c r="J235" s="25" t="s">
        <v>2412</v>
      </c>
      <c r="K235" s="16">
        <v>0</v>
      </c>
      <c r="L235" s="3" t="s">
        <v>2556</v>
      </c>
      <c r="M235" s="17" t="e">
        <f>INDEX(Validade!H:H,MATCH('Controle de Validade'!A235,Validade!C:C,0))</f>
        <v>#N/A</v>
      </c>
      <c r="N235" s="18"/>
    </row>
    <row r="236" spans="1:14" ht="15" hidden="1" x14ac:dyDescent="0.2">
      <c r="A236" s="8" t="s">
        <v>1259</v>
      </c>
      <c r="B236" s="8" t="s">
        <v>2580</v>
      </c>
      <c r="C236" s="8" t="s">
        <v>1260</v>
      </c>
      <c r="D236" s="9" t="s">
        <v>1176</v>
      </c>
      <c r="E236" s="9" t="s">
        <v>2393</v>
      </c>
      <c r="F236" s="10" t="s">
        <v>2392</v>
      </c>
      <c r="G236" s="9" t="s">
        <v>2403</v>
      </c>
      <c r="H236" s="16" t="s">
        <v>2571</v>
      </c>
      <c r="I236" s="25" t="s">
        <v>2412</v>
      </c>
      <c r="J236" s="25" t="s">
        <v>2412</v>
      </c>
      <c r="K236" s="16">
        <v>0</v>
      </c>
      <c r="L236" s="3" t="s">
        <v>2556</v>
      </c>
      <c r="M236" s="17">
        <f>INDEX(Validade!H:H,MATCH('Controle de Validade'!A236,Validade!C:C,0))</f>
        <v>62458</v>
      </c>
      <c r="N236" s="18"/>
    </row>
    <row r="237" spans="1:14" ht="15" hidden="1" x14ac:dyDescent="0.2">
      <c r="A237" s="8" t="s">
        <v>2206</v>
      </c>
      <c r="B237" s="8" t="s">
        <v>2580</v>
      </c>
      <c r="C237" s="8" t="s">
        <v>2672</v>
      </c>
      <c r="D237" s="9" t="s">
        <v>1176</v>
      </c>
      <c r="E237" s="9" t="s">
        <v>2393</v>
      </c>
      <c r="F237" s="10" t="s">
        <v>2392</v>
      </c>
      <c r="G237" s="9" t="s">
        <v>2403</v>
      </c>
      <c r="H237" s="16" t="s">
        <v>2571</v>
      </c>
      <c r="I237" s="25" t="s">
        <v>2412</v>
      </c>
      <c r="J237" s="25" t="s">
        <v>2412</v>
      </c>
      <c r="K237" s="16">
        <v>0</v>
      </c>
      <c r="L237" s="3" t="s">
        <v>2556</v>
      </c>
      <c r="M237" s="17" t="e">
        <f>INDEX(Validade!H:H,MATCH('Controle de Validade'!A237,Validade!C:C,0))</f>
        <v>#N/A</v>
      </c>
      <c r="N237" s="18"/>
    </row>
    <row r="238" spans="1:14" ht="15" hidden="1" x14ac:dyDescent="0.2">
      <c r="A238" s="8" t="s">
        <v>1466</v>
      </c>
      <c r="B238" s="8" t="s">
        <v>2579</v>
      </c>
      <c r="C238" s="8" t="s">
        <v>1467</v>
      </c>
      <c r="D238" s="9" t="s">
        <v>1471</v>
      </c>
      <c r="E238" s="9" t="s">
        <v>2393</v>
      </c>
      <c r="F238" s="10" t="s">
        <v>2387</v>
      </c>
      <c r="G238" s="9" t="s">
        <v>2414</v>
      </c>
      <c r="H238" s="16" t="s">
        <v>2571</v>
      </c>
      <c r="I238" s="25" t="s">
        <v>2412</v>
      </c>
      <c r="J238" s="25" t="s">
        <v>2412</v>
      </c>
      <c r="K238" s="16">
        <v>0</v>
      </c>
      <c r="L238" s="3" t="s">
        <v>2556</v>
      </c>
      <c r="M238" s="17">
        <f>INDEX(Validade!H:H,MATCH('Controle de Validade'!A238,Validade!C:C,0))</f>
        <v>62458</v>
      </c>
      <c r="N238" s="18"/>
    </row>
    <row r="239" spans="1:14" ht="15" hidden="1" x14ac:dyDescent="0.2">
      <c r="A239" s="8" t="s">
        <v>540</v>
      </c>
      <c r="B239" s="8" t="s">
        <v>2579</v>
      </c>
      <c r="C239" s="8" t="s">
        <v>541</v>
      </c>
      <c r="D239" s="9" t="s">
        <v>15</v>
      </c>
      <c r="E239" s="9" t="s">
        <v>2388</v>
      </c>
      <c r="F239" s="10" t="s">
        <v>2387</v>
      </c>
      <c r="G239" s="9" t="s">
        <v>2479</v>
      </c>
      <c r="H239" s="16" t="s">
        <v>2571</v>
      </c>
      <c r="I239" s="25" t="s">
        <v>2412</v>
      </c>
      <c r="J239" s="25" t="s">
        <v>2412</v>
      </c>
      <c r="K239" s="16">
        <v>0</v>
      </c>
      <c r="L239" s="3" t="s">
        <v>2556</v>
      </c>
      <c r="M239" s="17">
        <f>INDEX(Validade!H:H,MATCH('Controle de Validade'!A239,Validade!C:C,0))</f>
        <v>62458</v>
      </c>
      <c r="N239" s="18"/>
    </row>
    <row r="240" spans="1:14" ht="15" hidden="1" x14ac:dyDescent="0.2">
      <c r="A240" s="8" t="s">
        <v>1397</v>
      </c>
      <c r="B240" s="8" t="s">
        <v>2580</v>
      </c>
      <c r="C240" s="8" t="s">
        <v>1398</v>
      </c>
      <c r="D240" s="9" t="s">
        <v>1312</v>
      </c>
      <c r="E240" s="9" t="s">
        <v>2388</v>
      </c>
      <c r="F240" s="10" t="s">
        <v>2387</v>
      </c>
      <c r="G240" s="9" t="s">
        <v>2400</v>
      </c>
      <c r="H240" s="16" t="s">
        <v>2571</v>
      </c>
      <c r="I240" s="25" t="s">
        <v>2412</v>
      </c>
      <c r="J240" s="25" t="s">
        <v>2412</v>
      </c>
      <c r="K240" s="16">
        <v>0</v>
      </c>
      <c r="L240" s="3" t="s">
        <v>2556</v>
      </c>
      <c r="M240" s="17">
        <f>INDEX(Validade!H:H,MATCH('Controle de Validade'!A240,Validade!C:C,0))</f>
        <v>62458</v>
      </c>
      <c r="N240" s="18"/>
    </row>
    <row r="241" spans="1:14" ht="15" hidden="1" x14ac:dyDescent="0.2">
      <c r="A241" s="8" t="s">
        <v>1350</v>
      </c>
      <c r="B241" s="8" t="s">
        <v>2580</v>
      </c>
      <c r="C241" s="8" t="s">
        <v>1351</v>
      </c>
      <c r="D241" s="9" t="s">
        <v>1312</v>
      </c>
      <c r="E241" s="9" t="s">
        <v>2388</v>
      </c>
      <c r="F241" s="10" t="s">
        <v>2392</v>
      </c>
      <c r="G241" s="9" t="s">
        <v>2400</v>
      </c>
      <c r="H241" s="16" t="s">
        <v>2571</v>
      </c>
      <c r="I241" s="25" t="s">
        <v>2412</v>
      </c>
      <c r="J241" s="25" t="s">
        <v>2412</v>
      </c>
      <c r="K241" s="16">
        <v>0</v>
      </c>
      <c r="L241" s="3" t="s">
        <v>2556</v>
      </c>
      <c r="M241" s="17">
        <f>INDEX(Validade!H:H,MATCH('Controle de Validade'!A241,Validade!C:C,0))</f>
        <v>62458</v>
      </c>
      <c r="N241" s="18"/>
    </row>
    <row r="242" spans="1:14" ht="15" hidden="1" x14ac:dyDescent="0.2">
      <c r="A242" s="8" t="s">
        <v>1314</v>
      </c>
      <c r="B242" s="8" t="s">
        <v>2580</v>
      </c>
      <c r="C242" s="8" t="s">
        <v>1315</v>
      </c>
      <c r="D242" s="9" t="s">
        <v>1312</v>
      </c>
      <c r="E242" s="9" t="s">
        <v>2388</v>
      </c>
      <c r="F242" s="10" t="s">
        <v>2392</v>
      </c>
      <c r="G242" s="9" t="s">
        <v>2400</v>
      </c>
      <c r="H242" s="16" t="s">
        <v>2571</v>
      </c>
      <c r="I242" s="25" t="s">
        <v>2412</v>
      </c>
      <c r="J242" s="25" t="s">
        <v>2412</v>
      </c>
      <c r="K242" s="16">
        <v>0</v>
      </c>
      <c r="L242" s="3" t="s">
        <v>2556</v>
      </c>
      <c r="M242" s="17">
        <f>INDEX(Validade!H:H,MATCH('Controle de Validade'!A242,Validade!C:C,0))</f>
        <v>62458</v>
      </c>
      <c r="N242" s="18"/>
    </row>
    <row r="243" spans="1:14" ht="15" hidden="1" x14ac:dyDescent="0.2">
      <c r="A243" s="8" t="s">
        <v>1247</v>
      </c>
      <c r="B243" s="8" t="s">
        <v>2580</v>
      </c>
      <c r="C243" s="8" t="s">
        <v>1248</v>
      </c>
      <c r="D243" s="9" t="s">
        <v>1215</v>
      </c>
      <c r="E243" s="9" t="s">
        <v>2388</v>
      </c>
      <c r="F243" s="10" t="s">
        <v>2392</v>
      </c>
      <c r="G243" s="9" t="s">
        <v>2451</v>
      </c>
      <c r="H243" s="16" t="s">
        <v>2571</v>
      </c>
      <c r="I243" s="25" t="s">
        <v>2412</v>
      </c>
      <c r="J243" s="25" t="s">
        <v>2412</v>
      </c>
      <c r="K243" s="16">
        <v>0</v>
      </c>
      <c r="L243" s="3" t="s">
        <v>2556</v>
      </c>
      <c r="M243" s="17">
        <f>INDEX(Validade!H:H,MATCH('Controle de Validade'!A243,Validade!C:C,0))</f>
        <v>62458</v>
      </c>
      <c r="N243" s="18"/>
    </row>
    <row r="244" spans="1:14" ht="15" hidden="1" x14ac:dyDescent="0.2">
      <c r="A244" s="8" t="s">
        <v>411</v>
      </c>
      <c r="B244" s="8" t="s">
        <v>2581</v>
      </c>
      <c r="C244" s="8" t="s">
        <v>412</v>
      </c>
      <c r="D244" s="9" t="s">
        <v>2373</v>
      </c>
      <c r="E244" s="9" t="s">
        <v>2388</v>
      </c>
      <c r="F244" s="10" t="s">
        <v>2961</v>
      </c>
      <c r="G244" s="9" t="s">
        <v>2405</v>
      </c>
      <c r="H244" s="16" t="s">
        <v>2570</v>
      </c>
      <c r="I244" s="32" t="s">
        <v>2993</v>
      </c>
      <c r="J244" s="29" t="s">
        <v>2412</v>
      </c>
      <c r="K244" s="16">
        <v>1</v>
      </c>
      <c r="L244" s="3" t="s">
        <v>2556</v>
      </c>
      <c r="M244" s="17">
        <f>INDEX(Validade!H:H,MATCH('Controle de Validade'!A244,Validade!C:C,0))</f>
        <v>45785</v>
      </c>
      <c r="N244" s="18"/>
    </row>
    <row r="245" spans="1:14" ht="15" hidden="1" x14ac:dyDescent="0.2">
      <c r="A245" s="8" t="s">
        <v>2325</v>
      </c>
      <c r="B245" s="8" t="s">
        <v>2579</v>
      </c>
      <c r="C245" s="8" t="s">
        <v>2673</v>
      </c>
      <c r="D245" s="9" t="s">
        <v>2518</v>
      </c>
      <c r="E245" s="9">
        <v>0</v>
      </c>
      <c r="F245" s="10" t="s">
        <v>2387</v>
      </c>
      <c r="G245" s="9" t="s">
        <v>2410</v>
      </c>
      <c r="H245" s="16" t="s">
        <v>2571</v>
      </c>
      <c r="I245" s="25" t="s">
        <v>2412</v>
      </c>
      <c r="J245" s="25" t="s">
        <v>2412</v>
      </c>
      <c r="K245" s="16">
        <v>0</v>
      </c>
      <c r="L245" s="3" t="s">
        <v>2556</v>
      </c>
      <c r="M245" s="17" t="e">
        <f>INDEX(Validade!H:H,MATCH('Controle de Validade'!A245,Validade!C:C,0))</f>
        <v>#N/A</v>
      </c>
      <c r="N245" s="18"/>
    </row>
    <row r="246" spans="1:14" ht="15" hidden="1" x14ac:dyDescent="0.2">
      <c r="A246" s="8" t="s">
        <v>1457</v>
      </c>
      <c r="B246" s="8" t="s">
        <v>2579</v>
      </c>
      <c r="C246" s="8" t="s">
        <v>1458</v>
      </c>
      <c r="D246" s="9" t="s">
        <v>2518</v>
      </c>
      <c r="E246" s="9">
        <v>0</v>
      </c>
      <c r="F246" s="10" t="s">
        <v>2387</v>
      </c>
      <c r="G246" s="9" t="s">
        <v>2451</v>
      </c>
      <c r="H246" s="16" t="s">
        <v>2571</v>
      </c>
      <c r="I246" s="25" t="s">
        <v>2412</v>
      </c>
      <c r="J246" s="25" t="s">
        <v>2412</v>
      </c>
      <c r="K246" s="16">
        <v>0</v>
      </c>
      <c r="L246" s="3" t="s">
        <v>2556</v>
      </c>
      <c r="M246" s="17">
        <f>INDEX(Validade!H:H,MATCH('Controle de Validade'!A246,Validade!C:C,0))</f>
        <v>62458</v>
      </c>
      <c r="N246" s="18"/>
    </row>
    <row r="247" spans="1:14" ht="15" hidden="1" x14ac:dyDescent="0.2">
      <c r="A247" s="8" t="s">
        <v>1454</v>
      </c>
      <c r="B247" s="8" t="s">
        <v>2579</v>
      </c>
      <c r="C247" s="8" t="s">
        <v>1455</v>
      </c>
      <c r="D247" s="9" t="s">
        <v>922</v>
      </c>
      <c r="E247" s="9" t="s">
        <v>2388</v>
      </c>
      <c r="F247" s="10" t="s">
        <v>2392</v>
      </c>
      <c r="G247" s="9" t="s">
        <v>2451</v>
      </c>
      <c r="H247" s="16" t="s">
        <v>2571</v>
      </c>
      <c r="I247" s="25" t="s">
        <v>2412</v>
      </c>
      <c r="J247" s="25" t="s">
        <v>2412</v>
      </c>
      <c r="K247" s="16">
        <v>0</v>
      </c>
      <c r="L247" s="3" t="s">
        <v>2556</v>
      </c>
      <c r="M247" s="17">
        <f>INDEX(Validade!H:H,MATCH('Controle de Validade'!A247,Validade!C:C,0))</f>
        <v>0</v>
      </c>
      <c r="N247" s="18"/>
    </row>
    <row r="248" spans="1:14" ht="15" hidden="1" x14ac:dyDescent="0.2">
      <c r="A248" s="8" t="s">
        <v>1444</v>
      </c>
      <c r="B248" s="8" t="s">
        <v>2580</v>
      </c>
      <c r="C248" s="8" t="s">
        <v>1445</v>
      </c>
      <c r="D248" s="9" t="s">
        <v>2518</v>
      </c>
      <c r="E248" s="9">
        <v>0</v>
      </c>
      <c r="F248" s="10" t="s">
        <v>2387</v>
      </c>
      <c r="G248" s="9" t="s">
        <v>2451</v>
      </c>
      <c r="H248" s="16" t="s">
        <v>2571</v>
      </c>
      <c r="I248" s="25" t="s">
        <v>2412</v>
      </c>
      <c r="J248" s="25" t="s">
        <v>2412</v>
      </c>
      <c r="K248" s="16">
        <v>0</v>
      </c>
      <c r="L248" s="3" t="s">
        <v>2556</v>
      </c>
      <c r="M248" s="17">
        <f>INDEX(Validade!H:H,MATCH('Controle de Validade'!A248,Validade!C:C,0))</f>
        <v>62458</v>
      </c>
      <c r="N248" s="18"/>
    </row>
    <row r="249" spans="1:14" ht="15" hidden="1" x14ac:dyDescent="0.2">
      <c r="A249" s="8" t="s">
        <v>1343</v>
      </c>
      <c r="B249" s="8" t="s">
        <v>2580</v>
      </c>
      <c r="C249" s="8" t="s">
        <v>1344</v>
      </c>
      <c r="D249" s="9" t="s">
        <v>1312</v>
      </c>
      <c r="E249" s="9" t="s">
        <v>2388</v>
      </c>
      <c r="F249" s="10" t="s">
        <v>2392</v>
      </c>
      <c r="G249" s="9" t="s">
        <v>2400</v>
      </c>
      <c r="H249" s="16" t="s">
        <v>2571</v>
      </c>
      <c r="I249" s="25" t="s">
        <v>2412</v>
      </c>
      <c r="J249" s="25" t="s">
        <v>2412</v>
      </c>
      <c r="K249" s="16">
        <v>0</v>
      </c>
      <c r="L249" s="3" t="s">
        <v>2556</v>
      </c>
      <c r="M249" s="17">
        <f>INDEX(Validade!H:H,MATCH('Controle de Validade'!A249,Validade!C:C,0))</f>
        <v>0</v>
      </c>
      <c r="N249" s="18"/>
    </row>
    <row r="250" spans="1:14" ht="15" hidden="1" x14ac:dyDescent="0.2">
      <c r="A250" s="8" t="s">
        <v>462</v>
      </c>
      <c r="B250" s="8" t="s">
        <v>2579</v>
      </c>
      <c r="C250" s="8" t="s">
        <v>463</v>
      </c>
      <c r="D250" s="9" t="s">
        <v>28</v>
      </c>
      <c r="E250" s="9" t="s">
        <v>2388</v>
      </c>
      <c r="F250" s="10" t="s">
        <v>2387</v>
      </c>
      <c r="G250" s="9" t="s">
        <v>2471</v>
      </c>
      <c r="H250" s="16" t="s">
        <v>2570</v>
      </c>
      <c r="I250" s="40" t="s">
        <v>3187</v>
      </c>
      <c r="J250" s="26" t="s">
        <v>2948</v>
      </c>
      <c r="K250" s="16">
        <v>1</v>
      </c>
      <c r="L250" s="3" t="s">
        <v>2556</v>
      </c>
      <c r="M250" s="17">
        <f>INDEX(Validade!H:H,MATCH('Controle de Validade'!A250,Validade!C:C,0))</f>
        <v>46063</v>
      </c>
      <c r="N250" s="18"/>
    </row>
    <row r="251" spans="1:14" ht="15" hidden="1" x14ac:dyDescent="0.2">
      <c r="A251" s="8" t="s">
        <v>464</v>
      </c>
      <c r="B251" s="8" t="s">
        <v>2579</v>
      </c>
      <c r="C251" s="8" t="s">
        <v>465</v>
      </c>
      <c r="D251" s="9" t="s">
        <v>28</v>
      </c>
      <c r="E251" s="9" t="s">
        <v>2388</v>
      </c>
      <c r="F251" s="10" t="s">
        <v>2387</v>
      </c>
      <c r="G251" s="9" t="s">
        <v>2471</v>
      </c>
      <c r="H251" s="16" t="s">
        <v>2570</v>
      </c>
      <c r="I251" s="40" t="s">
        <v>3187</v>
      </c>
      <c r="J251" s="26" t="s">
        <v>2948</v>
      </c>
      <c r="K251" s="16">
        <v>1</v>
      </c>
      <c r="L251" s="3" t="s">
        <v>2556</v>
      </c>
      <c r="M251" s="17">
        <f>INDEX(Validade!H:H,MATCH('Controle de Validade'!A251,Validade!C:C,0))</f>
        <v>46018</v>
      </c>
      <c r="N251" s="18"/>
    </row>
    <row r="252" spans="1:14" ht="15" hidden="1" x14ac:dyDescent="0.2">
      <c r="A252" s="8" t="s">
        <v>469</v>
      </c>
      <c r="B252" s="8" t="s">
        <v>2579</v>
      </c>
      <c r="C252" s="8" t="s">
        <v>470</v>
      </c>
      <c r="D252" s="9" t="s">
        <v>28</v>
      </c>
      <c r="E252" s="9" t="s">
        <v>2388</v>
      </c>
      <c r="F252" s="10" t="s">
        <v>2387</v>
      </c>
      <c r="G252" s="9" t="s">
        <v>2471</v>
      </c>
      <c r="H252" s="16" t="s">
        <v>2570</v>
      </c>
      <c r="I252" s="40" t="s">
        <v>3187</v>
      </c>
      <c r="J252" s="26" t="s">
        <v>2948</v>
      </c>
      <c r="K252" s="16">
        <v>1</v>
      </c>
      <c r="L252" s="3" t="s">
        <v>2556</v>
      </c>
      <c r="M252" s="17">
        <f>INDEX(Validade!H:H,MATCH('Controle de Validade'!A252,Validade!C:C,0))</f>
        <v>46925</v>
      </c>
      <c r="N252" s="18"/>
    </row>
    <row r="253" spans="1:14" ht="15" hidden="1" x14ac:dyDescent="0.2">
      <c r="A253" s="8" t="s">
        <v>475</v>
      </c>
      <c r="B253" s="8" t="s">
        <v>2579</v>
      </c>
      <c r="C253" s="8" t="s">
        <v>476</v>
      </c>
      <c r="D253" s="9" t="s">
        <v>28</v>
      </c>
      <c r="E253" s="9" t="s">
        <v>2388</v>
      </c>
      <c r="F253" s="10" t="s">
        <v>2387</v>
      </c>
      <c r="G253" s="9" t="s">
        <v>2410</v>
      </c>
      <c r="H253" s="16" t="s">
        <v>2570</v>
      </c>
      <c r="I253" s="40" t="s">
        <v>3187</v>
      </c>
      <c r="J253" s="26" t="s">
        <v>2948</v>
      </c>
      <c r="K253" s="16">
        <v>1</v>
      </c>
      <c r="L253" s="3" t="s">
        <v>2556</v>
      </c>
      <c r="M253" s="17">
        <f>INDEX(Validade!H:H,MATCH('Controle de Validade'!A253,Validade!C:C,0))</f>
        <v>62458</v>
      </c>
      <c r="N253" s="18"/>
    </row>
    <row r="254" spans="1:14" ht="15" hidden="1" x14ac:dyDescent="0.2">
      <c r="A254" s="8" t="s">
        <v>1590</v>
      </c>
      <c r="B254" s="8" t="s">
        <v>2579</v>
      </c>
      <c r="C254" s="8" t="s">
        <v>1591</v>
      </c>
      <c r="D254" s="9" t="s">
        <v>28</v>
      </c>
      <c r="E254" s="9" t="s">
        <v>2388</v>
      </c>
      <c r="F254" s="10" t="s">
        <v>2387</v>
      </c>
      <c r="G254" s="9" t="s">
        <v>2471</v>
      </c>
      <c r="H254" s="16" t="s">
        <v>2570</v>
      </c>
      <c r="I254" s="40" t="s">
        <v>3187</v>
      </c>
      <c r="J254" s="26" t="s">
        <v>2948</v>
      </c>
      <c r="K254" s="16">
        <v>1</v>
      </c>
      <c r="L254" s="3" t="s">
        <v>2556</v>
      </c>
      <c r="M254" s="17">
        <f>INDEX(Validade!H:H,MATCH('Controle de Validade'!A254,Validade!C:C,0))</f>
        <v>45823</v>
      </c>
      <c r="N254" s="18"/>
    </row>
    <row r="255" spans="1:14" ht="15" hidden="1" x14ac:dyDescent="0.2">
      <c r="A255" s="8" t="s">
        <v>487</v>
      </c>
      <c r="B255" s="8" t="s">
        <v>2579</v>
      </c>
      <c r="C255" s="8" t="s">
        <v>488</v>
      </c>
      <c r="D255" s="9" t="s">
        <v>28</v>
      </c>
      <c r="E255" s="9" t="s">
        <v>2388</v>
      </c>
      <c r="F255" s="10" t="s">
        <v>2387</v>
      </c>
      <c r="G255" s="9" t="s">
        <v>2471</v>
      </c>
      <c r="H255" s="16" t="s">
        <v>2570</v>
      </c>
      <c r="I255" s="40" t="s">
        <v>3187</v>
      </c>
      <c r="J255" s="26" t="s">
        <v>2948</v>
      </c>
      <c r="K255" s="16">
        <v>1</v>
      </c>
      <c r="L255" s="3" t="s">
        <v>2556</v>
      </c>
      <c r="M255" s="17">
        <f>INDEX(Validade!H:H,MATCH('Controle de Validade'!A255,Validade!C:C,0))</f>
        <v>62458</v>
      </c>
      <c r="N255" s="18"/>
    </row>
    <row r="256" spans="1:14" ht="15" hidden="1" x14ac:dyDescent="0.2">
      <c r="A256" s="8" t="s">
        <v>453</v>
      </c>
      <c r="B256" s="8" t="s">
        <v>2579</v>
      </c>
      <c r="C256" s="8" t="s">
        <v>454</v>
      </c>
      <c r="D256" s="9" t="s">
        <v>28</v>
      </c>
      <c r="E256" s="9" t="s">
        <v>2388</v>
      </c>
      <c r="F256" s="10" t="s">
        <v>2387</v>
      </c>
      <c r="G256" s="9" t="s">
        <v>2410</v>
      </c>
      <c r="H256" s="16" t="s">
        <v>2570</v>
      </c>
      <c r="I256" s="40" t="s">
        <v>3187</v>
      </c>
      <c r="J256" s="26" t="s">
        <v>2948</v>
      </c>
      <c r="K256" s="16">
        <v>1</v>
      </c>
      <c r="L256" s="3" t="s">
        <v>2556</v>
      </c>
      <c r="M256" s="17">
        <f>INDEX(Validade!H:H,MATCH('Controle de Validade'!A256,Validade!C:C,0))</f>
        <v>46272</v>
      </c>
      <c r="N256" s="18"/>
    </row>
    <row r="257" spans="1:14" ht="15" hidden="1" x14ac:dyDescent="0.2">
      <c r="A257" s="8" t="s">
        <v>2251</v>
      </c>
      <c r="B257" s="8" t="s">
        <v>2579</v>
      </c>
      <c r="C257" s="8" t="s">
        <v>2674</v>
      </c>
      <c r="D257" s="9" t="e">
        <v>#N/A</v>
      </c>
      <c r="E257" s="9" t="s">
        <v>2388</v>
      </c>
      <c r="F257" s="10" t="s">
        <v>2387</v>
      </c>
      <c r="G257" s="9" t="s">
        <v>2410</v>
      </c>
      <c r="H257" s="16" t="s">
        <v>2571</v>
      </c>
      <c r="I257" s="25" t="s">
        <v>2412</v>
      </c>
      <c r="J257" s="25" t="s">
        <v>2412</v>
      </c>
      <c r="K257" s="16">
        <v>0</v>
      </c>
      <c r="L257" s="3" t="s">
        <v>2556</v>
      </c>
      <c r="M257" s="17" t="e">
        <f>INDEX(Validade!H:H,MATCH('Controle de Validade'!A257,Validade!C:C,0))</f>
        <v>#N/A</v>
      </c>
      <c r="N257" s="18"/>
    </row>
    <row r="258" spans="1:14" ht="15" hidden="1" x14ac:dyDescent="0.2">
      <c r="A258" s="8" t="s">
        <v>1187</v>
      </c>
      <c r="B258" s="8" t="s">
        <v>2580</v>
      </c>
      <c r="C258" s="8" t="s">
        <v>1188</v>
      </c>
      <c r="D258" s="9" t="s">
        <v>963</v>
      </c>
      <c r="E258" s="9" t="s">
        <v>2393</v>
      </c>
      <c r="F258" s="10" t="s">
        <v>2392</v>
      </c>
      <c r="G258" s="9" t="s">
        <v>2397</v>
      </c>
      <c r="H258" s="16" t="s">
        <v>2571</v>
      </c>
      <c r="I258" s="25" t="s">
        <v>2412</v>
      </c>
      <c r="J258" s="25" t="s">
        <v>2412</v>
      </c>
      <c r="K258" s="16">
        <v>0</v>
      </c>
      <c r="L258" s="3" t="s">
        <v>2556</v>
      </c>
      <c r="M258" s="17">
        <f>INDEX(Validade!H:H,MATCH('Controle de Validade'!A258,Validade!C:C,0))</f>
        <v>0</v>
      </c>
      <c r="N258" s="18"/>
    </row>
    <row r="259" spans="1:14" ht="15" hidden="1" x14ac:dyDescent="0.2">
      <c r="A259" s="8" t="s">
        <v>1675</v>
      </c>
      <c r="B259" s="8" t="s">
        <v>2579</v>
      </c>
      <c r="C259" s="8" t="s">
        <v>1676</v>
      </c>
      <c r="D259" s="9" t="s">
        <v>41</v>
      </c>
      <c r="E259" s="9" t="s">
        <v>2388</v>
      </c>
      <c r="F259" s="10" t="s">
        <v>2961</v>
      </c>
      <c r="G259" s="9" t="s">
        <v>2429</v>
      </c>
      <c r="H259" s="16" t="s">
        <v>2570</v>
      </c>
      <c r="I259" s="32" t="s">
        <v>2993</v>
      </c>
      <c r="J259" s="26" t="s">
        <v>2994</v>
      </c>
      <c r="K259" s="16">
        <v>1</v>
      </c>
      <c r="L259" s="3" t="s">
        <v>2556</v>
      </c>
      <c r="M259" s="17">
        <f>INDEX(Validade!H:H,MATCH('Controle de Validade'!A259,Validade!C:C,0))</f>
        <v>45938</v>
      </c>
      <c r="N259" s="18"/>
    </row>
    <row r="260" spans="1:14" ht="15" hidden="1" x14ac:dyDescent="0.2">
      <c r="A260" s="28" t="s">
        <v>1662</v>
      </c>
      <c r="B260" s="8" t="s">
        <v>2579</v>
      </c>
      <c r="C260" s="8" t="s">
        <v>1663</v>
      </c>
      <c r="D260" s="9" t="s">
        <v>1664</v>
      </c>
      <c r="E260" s="9" t="s">
        <v>2388</v>
      </c>
      <c r="F260" s="10" t="s">
        <v>2387</v>
      </c>
      <c r="G260" s="9" t="s">
        <v>2431</v>
      </c>
      <c r="H260" s="16" t="s">
        <v>2570</v>
      </c>
      <c r="I260" s="39"/>
      <c r="J260" s="43"/>
      <c r="K260" s="16">
        <v>1</v>
      </c>
      <c r="L260" s="3" t="s">
        <v>2556</v>
      </c>
      <c r="M260" s="17">
        <f>INDEX(Validade!H:H,MATCH('Controle de Validade'!A260,Validade!C:C,0))</f>
        <v>45842</v>
      </c>
      <c r="N260" s="55" t="s">
        <v>3202</v>
      </c>
    </row>
    <row r="261" spans="1:14" ht="15" hidden="1" x14ac:dyDescent="0.2">
      <c r="A261" s="8" t="s">
        <v>648</v>
      </c>
      <c r="B261" s="8" t="s">
        <v>2579</v>
      </c>
      <c r="C261" s="8" t="s">
        <v>649</v>
      </c>
      <c r="D261" s="9" t="s">
        <v>15</v>
      </c>
      <c r="E261" s="9" t="s">
        <v>2388</v>
      </c>
      <c r="F261" s="10" t="s">
        <v>2387</v>
      </c>
      <c r="G261" s="9" t="s">
        <v>2479</v>
      </c>
      <c r="H261" s="16" t="s">
        <v>2571</v>
      </c>
      <c r="I261" s="25" t="s">
        <v>2412</v>
      </c>
      <c r="J261" s="25" t="s">
        <v>2412</v>
      </c>
      <c r="K261" s="16">
        <v>0</v>
      </c>
      <c r="L261" s="3" t="s">
        <v>2556</v>
      </c>
      <c r="M261" s="17">
        <f>INDEX(Validade!H:H,MATCH('Controle de Validade'!A261,Validade!C:C,0))</f>
        <v>62458</v>
      </c>
      <c r="N261" s="18"/>
    </row>
    <row r="262" spans="1:14" ht="15" hidden="1" x14ac:dyDescent="0.2">
      <c r="A262" s="8" t="s">
        <v>643</v>
      </c>
      <c r="B262" s="8" t="s">
        <v>2579</v>
      </c>
      <c r="C262" s="8" t="s">
        <v>644</v>
      </c>
      <c r="D262" s="9" t="s">
        <v>1847</v>
      </c>
      <c r="E262" s="9" t="s">
        <v>2388</v>
      </c>
      <c r="F262" s="10" t="s">
        <v>2387</v>
      </c>
      <c r="G262" s="9" t="s">
        <v>2479</v>
      </c>
      <c r="H262" s="16" t="s">
        <v>2571</v>
      </c>
      <c r="I262" s="25" t="s">
        <v>2412</v>
      </c>
      <c r="J262" s="25" t="s">
        <v>2412</v>
      </c>
      <c r="K262" s="16">
        <v>0</v>
      </c>
      <c r="L262" s="3" t="s">
        <v>2556</v>
      </c>
      <c r="M262" s="17">
        <f>INDEX(Validade!H:H,MATCH('Controle de Validade'!A262,Validade!C:C,0))</f>
        <v>62458</v>
      </c>
      <c r="N262" s="18"/>
    </row>
    <row r="263" spans="1:14" ht="15" hidden="1" x14ac:dyDescent="0.2">
      <c r="A263" s="8" t="s">
        <v>640</v>
      </c>
      <c r="B263" s="8" t="s">
        <v>2579</v>
      </c>
      <c r="C263" s="8" t="s">
        <v>641</v>
      </c>
      <c r="D263" s="9" t="s">
        <v>15</v>
      </c>
      <c r="E263" s="9" t="s">
        <v>2388</v>
      </c>
      <c r="F263" s="10" t="s">
        <v>2387</v>
      </c>
      <c r="G263" s="9" t="s">
        <v>2479</v>
      </c>
      <c r="H263" s="16" t="s">
        <v>2571</v>
      </c>
      <c r="I263" s="25" t="s">
        <v>2412</v>
      </c>
      <c r="J263" s="25" t="s">
        <v>2412</v>
      </c>
      <c r="K263" s="16">
        <v>0</v>
      </c>
      <c r="L263" s="3" t="s">
        <v>2556</v>
      </c>
      <c r="M263" s="17">
        <f>INDEX(Validade!H:H,MATCH('Controle de Validade'!A263,Validade!C:C,0))</f>
        <v>62458</v>
      </c>
      <c r="N263" s="18"/>
    </row>
    <row r="264" spans="1:14" ht="15" hidden="1" x14ac:dyDescent="0.2">
      <c r="A264" s="8" t="s">
        <v>638</v>
      </c>
      <c r="B264" s="8" t="s">
        <v>2579</v>
      </c>
      <c r="C264" s="8" t="s">
        <v>639</v>
      </c>
      <c r="D264" s="9" t="s">
        <v>15</v>
      </c>
      <c r="E264" s="9" t="s">
        <v>2388</v>
      </c>
      <c r="F264" s="10" t="s">
        <v>2387</v>
      </c>
      <c r="G264" s="9" t="s">
        <v>2479</v>
      </c>
      <c r="H264" s="16" t="s">
        <v>2571</v>
      </c>
      <c r="I264" s="25" t="s">
        <v>2412</v>
      </c>
      <c r="J264" s="25" t="s">
        <v>2412</v>
      </c>
      <c r="K264" s="16">
        <v>0</v>
      </c>
      <c r="L264" s="3" t="s">
        <v>2556</v>
      </c>
      <c r="M264" s="17">
        <f>INDEX(Validade!H:H,MATCH('Controle de Validade'!A264,Validade!C:C,0))</f>
        <v>62458</v>
      </c>
      <c r="N264" s="18"/>
    </row>
    <row r="265" spans="1:14" ht="15" hidden="1" x14ac:dyDescent="0.2">
      <c r="A265" s="8" t="s">
        <v>635</v>
      </c>
      <c r="B265" s="8" t="s">
        <v>2579</v>
      </c>
      <c r="C265" s="8" t="s">
        <v>636</v>
      </c>
      <c r="D265" s="9" t="s">
        <v>1847</v>
      </c>
      <c r="E265" s="9" t="s">
        <v>2388</v>
      </c>
      <c r="F265" s="10" t="s">
        <v>2387</v>
      </c>
      <c r="G265" s="9" t="s">
        <v>2479</v>
      </c>
      <c r="H265" s="16" t="s">
        <v>2571</v>
      </c>
      <c r="I265" s="25" t="s">
        <v>2412</v>
      </c>
      <c r="J265" s="25" t="s">
        <v>2412</v>
      </c>
      <c r="K265" s="16">
        <v>0</v>
      </c>
      <c r="L265" s="3" t="s">
        <v>2556</v>
      </c>
      <c r="M265" s="17">
        <f>INDEX(Validade!H:H,MATCH('Controle de Validade'!A265,Validade!C:C,0))</f>
        <v>62458</v>
      </c>
      <c r="N265" s="18"/>
    </row>
    <row r="266" spans="1:14" ht="15" hidden="1" x14ac:dyDescent="0.2">
      <c r="A266" s="8" t="s">
        <v>632</v>
      </c>
      <c r="B266" s="8" t="s">
        <v>2579</v>
      </c>
      <c r="C266" s="8" t="s">
        <v>633</v>
      </c>
      <c r="D266" s="9" t="s">
        <v>15</v>
      </c>
      <c r="E266" s="9" t="s">
        <v>2388</v>
      </c>
      <c r="F266" s="10" t="s">
        <v>2387</v>
      </c>
      <c r="G266" s="9" t="s">
        <v>2479</v>
      </c>
      <c r="H266" s="16" t="s">
        <v>2571</v>
      </c>
      <c r="I266" s="25" t="s">
        <v>2412</v>
      </c>
      <c r="J266" s="25" t="s">
        <v>2412</v>
      </c>
      <c r="K266" s="16">
        <v>0</v>
      </c>
      <c r="L266" s="3" t="s">
        <v>2556</v>
      </c>
      <c r="M266" s="17">
        <f>INDEX(Validade!H:H,MATCH('Controle de Validade'!A266,Validade!C:C,0))</f>
        <v>62458</v>
      </c>
      <c r="N266" s="18"/>
    </row>
    <row r="267" spans="1:14" ht="15" hidden="1" x14ac:dyDescent="0.2">
      <c r="A267" s="8" t="s">
        <v>629</v>
      </c>
      <c r="B267" s="8" t="s">
        <v>2579</v>
      </c>
      <c r="C267" s="8" t="s">
        <v>630</v>
      </c>
      <c r="D267" s="9" t="s">
        <v>15</v>
      </c>
      <c r="E267" s="9" t="s">
        <v>2388</v>
      </c>
      <c r="F267" s="10" t="s">
        <v>2387</v>
      </c>
      <c r="G267" s="9" t="s">
        <v>2479</v>
      </c>
      <c r="H267" s="16" t="s">
        <v>2571</v>
      </c>
      <c r="I267" s="25" t="s">
        <v>2412</v>
      </c>
      <c r="J267" s="25" t="s">
        <v>2412</v>
      </c>
      <c r="K267" s="16">
        <v>0</v>
      </c>
      <c r="L267" s="3" t="s">
        <v>2556</v>
      </c>
      <c r="M267" s="17">
        <f>INDEX(Validade!H:H,MATCH('Controle de Validade'!A267,Validade!C:C,0))</f>
        <v>62458</v>
      </c>
      <c r="N267" s="18"/>
    </row>
    <row r="268" spans="1:14" ht="15" hidden="1" x14ac:dyDescent="0.2">
      <c r="A268" s="8" t="s">
        <v>626</v>
      </c>
      <c r="B268" s="8" t="s">
        <v>2579</v>
      </c>
      <c r="C268" s="8" t="s">
        <v>627</v>
      </c>
      <c r="D268" s="9" t="s">
        <v>15</v>
      </c>
      <c r="E268" s="9" t="s">
        <v>2388</v>
      </c>
      <c r="F268" s="10" t="s">
        <v>2387</v>
      </c>
      <c r="G268" s="9" t="s">
        <v>2479</v>
      </c>
      <c r="H268" s="16" t="s">
        <v>2571</v>
      </c>
      <c r="I268" s="25" t="s">
        <v>2412</v>
      </c>
      <c r="J268" s="25" t="s">
        <v>2412</v>
      </c>
      <c r="K268" s="16">
        <v>0</v>
      </c>
      <c r="L268" s="3" t="s">
        <v>2556</v>
      </c>
      <c r="M268" s="17">
        <f>INDEX(Validade!H:H,MATCH('Controle de Validade'!A268,Validade!C:C,0))</f>
        <v>62458</v>
      </c>
      <c r="N268" s="18"/>
    </row>
    <row r="269" spans="1:14" ht="15" hidden="1" x14ac:dyDescent="0.2">
      <c r="A269" s="8" t="s">
        <v>623</v>
      </c>
      <c r="B269" s="8" t="s">
        <v>2579</v>
      </c>
      <c r="C269" s="8" t="s">
        <v>624</v>
      </c>
      <c r="D269" s="9" t="s">
        <v>15</v>
      </c>
      <c r="E269" s="9" t="s">
        <v>2388</v>
      </c>
      <c r="F269" s="10" t="s">
        <v>2387</v>
      </c>
      <c r="G269" s="9" t="s">
        <v>2479</v>
      </c>
      <c r="H269" s="16" t="s">
        <v>2571</v>
      </c>
      <c r="I269" s="25" t="s">
        <v>2412</v>
      </c>
      <c r="J269" s="25" t="s">
        <v>2412</v>
      </c>
      <c r="K269" s="16">
        <v>0</v>
      </c>
      <c r="L269" s="3" t="s">
        <v>2556</v>
      </c>
      <c r="M269" s="17">
        <f>INDEX(Validade!H:H,MATCH('Controle de Validade'!A269,Validade!C:C,0))</f>
        <v>62458</v>
      </c>
      <c r="N269" s="18"/>
    </row>
    <row r="270" spans="1:14" ht="15" hidden="1" x14ac:dyDescent="0.2">
      <c r="A270" s="8" t="s">
        <v>620</v>
      </c>
      <c r="B270" s="8" t="s">
        <v>2579</v>
      </c>
      <c r="C270" s="8" t="s">
        <v>621</v>
      </c>
      <c r="D270" s="9" t="s">
        <v>15</v>
      </c>
      <c r="E270" s="9" t="s">
        <v>2388</v>
      </c>
      <c r="F270" s="10" t="s">
        <v>2387</v>
      </c>
      <c r="G270" s="9" t="s">
        <v>2479</v>
      </c>
      <c r="H270" s="16" t="s">
        <v>2571</v>
      </c>
      <c r="I270" s="25" t="s">
        <v>2412</v>
      </c>
      <c r="J270" s="25" t="s">
        <v>2412</v>
      </c>
      <c r="K270" s="16">
        <v>0</v>
      </c>
      <c r="L270" s="3" t="s">
        <v>2556</v>
      </c>
      <c r="M270" s="17">
        <f>INDEX(Validade!H:H,MATCH('Controle de Validade'!A270,Validade!C:C,0))</f>
        <v>62458</v>
      </c>
      <c r="N270" s="18"/>
    </row>
    <row r="271" spans="1:14" ht="15" hidden="1" x14ac:dyDescent="0.2">
      <c r="A271" s="8" t="s">
        <v>618</v>
      </c>
      <c r="B271" s="8" t="s">
        <v>2579</v>
      </c>
      <c r="C271" s="8" t="s">
        <v>619</v>
      </c>
      <c r="D271" s="9" t="s">
        <v>15</v>
      </c>
      <c r="E271" s="9" t="s">
        <v>2388</v>
      </c>
      <c r="F271" s="10" t="s">
        <v>2387</v>
      </c>
      <c r="G271" s="9" t="s">
        <v>2479</v>
      </c>
      <c r="H271" s="16" t="s">
        <v>2571</v>
      </c>
      <c r="I271" s="25" t="s">
        <v>2412</v>
      </c>
      <c r="J271" s="25" t="s">
        <v>2412</v>
      </c>
      <c r="K271" s="16">
        <v>0</v>
      </c>
      <c r="L271" s="3" t="s">
        <v>2556</v>
      </c>
      <c r="M271" s="17">
        <f>INDEX(Validade!H:H,MATCH('Controle de Validade'!A271,Validade!C:C,0))</f>
        <v>62458</v>
      </c>
      <c r="N271" s="18"/>
    </row>
    <row r="272" spans="1:14" ht="15" hidden="1" x14ac:dyDescent="0.2">
      <c r="A272" s="8" t="s">
        <v>606</v>
      </c>
      <c r="B272" s="8" t="s">
        <v>2579</v>
      </c>
      <c r="C272" s="8" t="s">
        <v>607</v>
      </c>
      <c r="D272" s="9" t="s">
        <v>15</v>
      </c>
      <c r="E272" s="9" t="s">
        <v>2388</v>
      </c>
      <c r="F272" s="10" t="s">
        <v>2387</v>
      </c>
      <c r="G272" s="9" t="s">
        <v>2479</v>
      </c>
      <c r="H272" s="16" t="s">
        <v>2571</v>
      </c>
      <c r="I272" s="25" t="s">
        <v>2412</v>
      </c>
      <c r="J272" s="25" t="s">
        <v>2412</v>
      </c>
      <c r="K272" s="16">
        <v>0</v>
      </c>
      <c r="L272" s="3" t="s">
        <v>2556</v>
      </c>
      <c r="M272" s="17">
        <f>INDEX(Validade!H:H,MATCH('Controle de Validade'!A272,Validade!C:C,0))</f>
        <v>62458</v>
      </c>
      <c r="N272" s="18"/>
    </row>
    <row r="273" spans="1:14" ht="15" hidden="1" x14ac:dyDescent="0.2">
      <c r="A273" s="8" t="s">
        <v>588</v>
      </c>
      <c r="B273" s="8" t="s">
        <v>2579</v>
      </c>
      <c r="C273" s="8" t="s">
        <v>589</v>
      </c>
      <c r="D273" s="9" t="s">
        <v>15</v>
      </c>
      <c r="E273" s="9" t="s">
        <v>2388</v>
      </c>
      <c r="F273" s="10" t="s">
        <v>2387</v>
      </c>
      <c r="G273" s="9" t="s">
        <v>2410</v>
      </c>
      <c r="H273" s="16" t="s">
        <v>2571</v>
      </c>
      <c r="I273" s="25" t="s">
        <v>2412</v>
      </c>
      <c r="J273" s="25" t="s">
        <v>2412</v>
      </c>
      <c r="K273" s="16">
        <v>0</v>
      </c>
      <c r="L273" s="3" t="s">
        <v>2556</v>
      </c>
      <c r="M273" s="17">
        <f>INDEX(Validade!H:H,MATCH('Controle de Validade'!A273,Validade!C:C,0))</f>
        <v>62458</v>
      </c>
      <c r="N273" s="18"/>
    </row>
    <row r="274" spans="1:14" ht="15" hidden="1" x14ac:dyDescent="0.2">
      <c r="A274" s="8" t="s">
        <v>576</v>
      </c>
      <c r="B274" s="8" t="s">
        <v>2579</v>
      </c>
      <c r="C274" s="8" t="s">
        <v>577</v>
      </c>
      <c r="D274" s="9" t="s">
        <v>15</v>
      </c>
      <c r="E274" s="9" t="s">
        <v>2388</v>
      </c>
      <c r="F274" s="10" t="s">
        <v>2387</v>
      </c>
      <c r="G274" s="9" t="s">
        <v>2479</v>
      </c>
      <c r="H274" s="16" t="s">
        <v>2571</v>
      </c>
      <c r="I274" s="25" t="s">
        <v>2412</v>
      </c>
      <c r="J274" s="25" t="s">
        <v>2412</v>
      </c>
      <c r="K274" s="16">
        <v>0</v>
      </c>
      <c r="L274" s="3" t="s">
        <v>2556</v>
      </c>
      <c r="M274" s="17">
        <f>INDEX(Validade!H:H,MATCH('Controle de Validade'!A274,Validade!C:C,0))</f>
        <v>62458</v>
      </c>
      <c r="N274" s="18"/>
    </row>
    <row r="275" spans="1:14" ht="15" hidden="1" x14ac:dyDescent="0.2">
      <c r="A275" s="8" t="s">
        <v>570</v>
      </c>
      <c r="B275" s="8" t="s">
        <v>2579</v>
      </c>
      <c r="C275" s="8" t="s">
        <v>571</v>
      </c>
      <c r="D275" s="9" t="s">
        <v>15</v>
      </c>
      <c r="E275" s="9" t="s">
        <v>2388</v>
      </c>
      <c r="F275" s="10" t="s">
        <v>2387</v>
      </c>
      <c r="G275" s="9" t="s">
        <v>2410</v>
      </c>
      <c r="H275" s="16" t="s">
        <v>2571</v>
      </c>
      <c r="I275" s="25" t="s">
        <v>2412</v>
      </c>
      <c r="J275" s="25" t="s">
        <v>2412</v>
      </c>
      <c r="K275" s="16">
        <v>0</v>
      </c>
      <c r="L275" s="3" t="s">
        <v>2556</v>
      </c>
      <c r="M275" s="17">
        <f>INDEX(Validade!H:H,MATCH('Controle de Validade'!A275,Validade!C:C,0))</f>
        <v>62458</v>
      </c>
      <c r="N275" s="18"/>
    </row>
    <row r="276" spans="1:14" ht="15" hidden="1" x14ac:dyDescent="0.2">
      <c r="A276" s="8" t="s">
        <v>561</v>
      </c>
      <c r="B276" s="8" t="s">
        <v>2579</v>
      </c>
      <c r="C276" s="8" t="s">
        <v>562</v>
      </c>
      <c r="D276" s="9" t="s">
        <v>15</v>
      </c>
      <c r="E276" s="9" t="s">
        <v>2388</v>
      </c>
      <c r="F276" s="10" t="s">
        <v>2387</v>
      </c>
      <c r="G276" s="9" t="s">
        <v>2410</v>
      </c>
      <c r="H276" s="16" t="s">
        <v>2571</v>
      </c>
      <c r="I276" s="25" t="s">
        <v>2412</v>
      </c>
      <c r="J276" s="25" t="s">
        <v>2412</v>
      </c>
      <c r="K276" s="16">
        <v>0</v>
      </c>
      <c r="L276" s="3" t="s">
        <v>2556</v>
      </c>
      <c r="M276" s="17">
        <f>INDEX(Validade!H:H,MATCH('Controle de Validade'!A276,Validade!C:C,0))</f>
        <v>62458</v>
      </c>
      <c r="N276" s="18"/>
    </row>
    <row r="277" spans="1:14" ht="15" hidden="1" x14ac:dyDescent="0.2">
      <c r="A277" s="8" t="s">
        <v>558</v>
      </c>
      <c r="B277" s="8" t="s">
        <v>2579</v>
      </c>
      <c r="C277" s="8" t="s">
        <v>559</v>
      </c>
      <c r="D277" s="9" t="s">
        <v>15</v>
      </c>
      <c r="E277" s="9" t="s">
        <v>2388</v>
      </c>
      <c r="F277" s="10" t="s">
        <v>2387</v>
      </c>
      <c r="G277" s="9" t="s">
        <v>2479</v>
      </c>
      <c r="H277" s="16" t="s">
        <v>2571</v>
      </c>
      <c r="I277" s="25" t="s">
        <v>2412</v>
      </c>
      <c r="J277" s="25" t="s">
        <v>2412</v>
      </c>
      <c r="K277" s="16">
        <v>0</v>
      </c>
      <c r="L277" s="3" t="s">
        <v>2556</v>
      </c>
      <c r="M277" s="17">
        <f>INDEX(Validade!H:H,MATCH('Controle de Validade'!A277,Validade!C:C,0))</f>
        <v>62458</v>
      </c>
      <c r="N277" s="18"/>
    </row>
    <row r="278" spans="1:14" ht="15" hidden="1" x14ac:dyDescent="0.2">
      <c r="A278" s="8" t="s">
        <v>552</v>
      </c>
      <c r="B278" s="8" t="s">
        <v>2579</v>
      </c>
      <c r="C278" s="8" t="s">
        <v>553</v>
      </c>
      <c r="D278" s="9" t="s">
        <v>15</v>
      </c>
      <c r="E278" s="9" t="s">
        <v>2388</v>
      </c>
      <c r="F278" s="10" t="s">
        <v>2387</v>
      </c>
      <c r="G278" s="9" t="s">
        <v>2479</v>
      </c>
      <c r="H278" s="16" t="s">
        <v>2571</v>
      </c>
      <c r="I278" s="25" t="s">
        <v>2412</v>
      </c>
      <c r="J278" s="25" t="s">
        <v>2412</v>
      </c>
      <c r="K278" s="16">
        <v>0</v>
      </c>
      <c r="L278" s="3" t="s">
        <v>2556</v>
      </c>
      <c r="M278" s="17">
        <f>INDEX(Validade!H:H,MATCH('Controle de Validade'!A278,Validade!C:C,0))</f>
        <v>62458</v>
      </c>
      <c r="N278" s="18"/>
    </row>
    <row r="279" spans="1:14" ht="15" hidden="1" x14ac:dyDescent="0.2">
      <c r="A279" s="8" t="s">
        <v>547</v>
      </c>
      <c r="B279" s="8" t="s">
        <v>2579</v>
      </c>
      <c r="C279" s="8" t="s">
        <v>548</v>
      </c>
      <c r="D279" s="9" t="s">
        <v>15</v>
      </c>
      <c r="E279" s="9" t="s">
        <v>2388</v>
      </c>
      <c r="F279" s="10" t="s">
        <v>2387</v>
      </c>
      <c r="G279" s="9" t="s">
        <v>2479</v>
      </c>
      <c r="H279" s="16" t="s">
        <v>2571</v>
      </c>
      <c r="I279" s="25" t="s">
        <v>2412</v>
      </c>
      <c r="J279" s="25" t="s">
        <v>2412</v>
      </c>
      <c r="K279" s="16">
        <v>0</v>
      </c>
      <c r="L279" s="3" t="s">
        <v>2556</v>
      </c>
      <c r="M279" s="17">
        <f>INDEX(Validade!H:H,MATCH('Controle de Validade'!A279,Validade!C:C,0))</f>
        <v>62458</v>
      </c>
      <c r="N279" s="18"/>
    </row>
    <row r="280" spans="1:14" ht="15" hidden="1" x14ac:dyDescent="0.2">
      <c r="A280" s="8" t="s">
        <v>544</v>
      </c>
      <c r="B280" s="8" t="s">
        <v>2579</v>
      </c>
      <c r="C280" s="8" t="s">
        <v>545</v>
      </c>
      <c r="D280" s="9" t="s">
        <v>15</v>
      </c>
      <c r="E280" s="9" t="s">
        <v>2388</v>
      </c>
      <c r="F280" s="10" t="s">
        <v>2387</v>
      </c>
      <c r="G280" s="9" t="s">
        <v>2479</v>
      </c>
      <c r="H280" s="16" t="s">
        <v>2571</v>
      </c>
      <c r="I280" s="25" t="s">
        <v>2412</v>
      </c>
      <c r="J280" s="25" t="s">
        <v>2412</v>
      </c>
      <c r="K280" s="16">
        <v>0</v>
      </c>
      <c r="L280" s="3" t="s">
        <v>2556</v>
      </c>
      <c r="M280" s="17">
        <f>INDEX(Validade!H:H,MATCH('Controle de Validade'!A280,Validade!C:C,0))</f>
        <v>62458</v>
      </c>
      <c r="N280" s="18"/>
    </row>
    <row r="281" spans="1:14" ht="15" hidden="1" x14ac:dyDescent="0.2">
      <c r="A281" s="8" t="s">
        <v>2204</v>
      </c>
      <c r="B281" s="8" t="s">
        <v>2579</v>
      </c>
      <c r="C281" s="8" t="s">
        <v>2675</v>
      </c>
      <c r="D281" s="9" t="e">
        <v>#N/A</v>
      </c>
      <c r="E281" s="9" t="s">
        <v>2388</v>
      </c>
      <c r="F281" s="10" t="s">
        <v>2387</v>
      </c>
      <c r="G281" s="9" t="s">
        <v>2410</v>
      </c>
      <c r="H281" s="16" t="s">
        <v>2571</v>
      </c>
      <c r="I281" s="25" t="s">
        <v>2412</v>
      </c>
      <c r="J281" s="25" t="s">
        <v>2412</v>
      </c>
      <c r="K281" s="16">
        <v>0</v>
      </c>
      <c r="L281" s="3" t="s">
        <v>2556</v>
      </c>
      <c r="M281" s="17" t="e">
        <f>INDEX(Validade!H:H,MATCH('Controle de Validade'!A281,Validade!C:C,0))</f>
        <v>#N/A</v>
      </c>
      <c r="N281" s="18"/>
    </row>
    <row r="282" spans="1:14" ht="15" hidden="1" x14ac:dyDescent="0.2">
      <c r="A282" s="8" t="s">
        <v>2320</v>
      </c>
      <c r="B282" s="8" t="s">
        <v>2579</v>
      </c>
      <c r="C282" s="8" t="s">
        <v>259</v>
      </c>
      <c r="D282" s="9" t="e">
        <v>#N/A</v>
      </c>
      <c r="E282" s="9" t="s">
        <v>2388</v>
      </c>
      <c r="F282" s="10" t="s">
        <v>2387</v>
      </c>
      <c r="G282" s="9" t="s">
        <v>2410</v>
      </c>
      <c r="H282" s="16" t="s">
        <v>2571</v>
      </c>
      <c r="I282" s="25" t="s">
        <v>2412</v>
      </c>
      <c r="J282" s="25" t="s">
        <v>2412</v>
      </c>
      <c r="K282" s="16">
        <v>0</v>
      </c>
      <c r="L282" s="3" t="s">
        <v>2556</v>
      </c>
      <c r="M282" s="17" t="e">
        <f>INDEX(Validade!H:H,MATCH('Controle de Validade'!A282,Validade!C:C,0))</f>
        <v>#N/A</v>
      </c>
      <c r="N282" s="18"/>
    </row>
    <row r="283" spans="1:14" ht="15" hidden="1" x14ac:dyDescent="0.2">
      <c r="A283" s="8" t="s">
        <v>535</v>
      </c>
      <c r="B283" s="8" t="s">
        <v>2579</v>
      </c>
      <c r="C283" s="8" t="s">
        <v>536</v>
      </c>
      <c r="D283" s="9" t="s">
        <v>15</v>
      </c>
      <c r="E283" s="9" t="s">
        <v>2388</v>
      </c>
      <c r="F283" s="10" t="s">
        <v>2387</v>
      </c>
      <c r="G283" s="9" t="s">
        <v>2479</v>
      </c>
      <c r="H283" s="16" t="s">
        <v>2571</v>
      </c>
      <c r="I283" s="25" t="s">
        <v>2412</v>
      </c>
      <c r="J283" s="25" t="s">
        <v>2412</v>
      </c>
      <c r="K283" s="16">
        <v>0</v>
      </c>
      <c r="L283" s="3" t="s">
        <v>2556</v>
      </c>
      <c r="M283" s="17">
        <f>INDEX(Validade!H:H,MATCH('Controle de Validade'!A283,Validade!C:C,0))</f>
        <v>62458</v>
      </c>
      <c r="N283" s="18"/>
    </row>
    <row r="284" spans="1:14" ht="15" hidden="1" x14ac:dyDescent="0.2">
      <c r="A284" s="8" t="s">
        <v>532</v>
      </c>
      <c r="B284" s="8" t="s">
        <v>2579</v>
      </c>
      <c r="C284" s="8" t="s">
        <v>533</v>
      </c>
      <c r="D284" s="9" t="s">
        <v>15</v>
      </c>
      <c r="E284" s="9" t="s">
        <v>2388</v>
      </c>
      <c r="F284" s="10" t="s">
        <v>2387</v>
      </c>
      <c r="G284" s="9" t="s">
        <v>2479</v>
      </c>
      <c r="H284" s="16" t="s">
        <v>2571</v>
      </c>
      <c r="I284" s="25" t="s">
        <v>2412</v>
      </c>
      <c r="J284" s="25" t="s">
        <v>2412</v>
      </c>
      <c r="K284" s="16">
        <v>0</v>
      </c>
      <c r="L284" s="3" t="s">
        <v>2556</v>
      </c>
      <c r="M284" s="17">
        <f>INDEX(Validade!H:H,MATCH('Controle de Validade'!A284,Validade!C:C,0))</f>
        <v>62458</v>
      </c>
      <c r="N284" s="18"/>
    </row>
    <row r="285" spans="1:14" ht="15" hidden="1" x14ac:dyDescent="0.2">
      <c r="A285" s="8" t="s">
        <v>2324</v>
      </c>
      <c r="B285" s="8" t="s">
        <v>2579</v>
      </c>
      <c r="C285" s="8" t="s">
        <v>2676</v>
      </c>
      <c r="D285" s="9" t="e">
        <v>#N/A</v>
      </c>
      <c r="E285" s="9" t="s">
        <v>2388</v>
      </c>
      <c r="F285" s="10" t="s">
        <v>2387</v>
      </c>
      <c r="G285" s="9" t="s">
        <v>2410</v>
      </c>
      <c r="H285" s="16" t="s">
        <v>2571</v>
      </c>
      <c r="I285" s="25" t="s">
        <v>2412</v>
      </c>
      <c r="J285" s="25" t="s">
        <v>2412</v>
      </c>
      <c r="K285" s="16">
        <v>0</v>
      </c>
      <c r="L285" s="3" t="s">
        <v>2556</v>
      </c>
      <c r="M285" s="17" t="e">
        <f>INDEX(Validade!H:H,MATCH('Controle de Validade'!A285,Validade!C:C,0))</f>
        <v>#N/A</v>
      </c>
      <c r="N285" s="18"/>
    </row>
    <row r="286" spans="1:14" ht="15" hidden="1" x14ac:dyDescent="0.2">
      <c r="A286" s="8" t="s">
        <v>526</v>
      </c>
      <c r="B286" s="8" t="s">
        <v>2580</v>
      </c>
      <c r="C286" s="8" t="s">
        <v>527</v>
      </c>
      <c r="D286" s="9" t="s">
        <v>2422</v>
      </c>
      <c r="E286" s="9" t="s">
        <v>2388</v>
      </c>
      <c r="F286" s="10" t="s">
        <v>2961</v>
      </c>
      <c r="G286" s="9" t="s">
        <v>2423</v>
      </c>
      <c r="H286" s="21" t="s">
        <v>2571</v>
      </c>
      <c r="I286" s="25" t="s">
        <v>2412</v>
      </c>
      <c r="J286" s="25" t="s">
        <v>2412</v>
      </c>
      <c r="K286" s="16">
        <v>0</v>
      </c>
      <c r="L286" s="3" t="s">
        <v>2556</v>
      </c>
      <c r="M286" s="17">
        <f>INDEX(Validade!H:H,MATCH('Controle de Validade'!A286,Validade!C:C,0))</f>
        <v>62458</v>
      </c>
      <c r="N286" s="18"/>
    </row>
    <row r="287" spans="1:14" ht="15" hidden="1" x14ac:dyDescent="0.2">
      <c r="A287" s="8" t="s">
        <v>1655</v>
      </c>
      <c r="B287" s="8" t="s">
        <v>2579</v>
      </c>
      <c r="C287" s="8" t="s">
        <v>1656</v>
      </c>
      <c r="D287" s="9" t="s">
        <v>1653</v>
      </c>
      <c r="E287" s="9" t="s">
        <v>2388</v>
      </c>
      <c r="F287" s="10" t="s">
        <v>2961</v>
      </c>
      <c r="G287" s="9" t="s">
        <v>2420</v>
      </c>
      <c r="H287" s="16" t="s">
        <v>2570</v>
      </c>
      <c r="I287" s="32" t="s">
        <v>2993</v>
      </c>
      <c r="J287" s="29" t="s">
        <v>2412</v>
      </c>
      <c r="K287" s="16">
        <v>1</v>
      </c>
      <c r="L287" s="3" t="s">
        <v>2556</v>
      </c>
      <c r="M287" s="17">
        <f>INDEX(Validade!H:H,MATCH('Controle de Validade'!A287,Validade!C:C,0))</f>
        <v>0</v>
      </c>
      <c r="N287" s="34" t="s">
        <v>2995</v>
      </c>
    </row>
    <row r="288" spans="1:14" ht="15" hidden="1" x14ac:dyDescent="0.2">
      <c r="A288" s="8" t="s">
        <v>524</v>
      </c>
      <c r="B288" s="8" t="s">
        <v>2579</v>
      </c>
      <c r="C288" s="8" t="s">
        <v>525</v>
      </c>
      <c r="D288" s="9" t="s">
        <v>2520</v>
      </c>
      <c r="E288" s="9" t="s">
        <v>2388</v>
      </c>
      <c r="F288" s="10" t="s">
        <v>2961</v>
      </c>
      <c r="G288" s="9" t="s">
        <v>2420</v>
      </c>
      <c r="H288" s="16" t="s">
        <v>2570</v>
      </c>
      <c r="I288" s="32" t="s">
        <v>2993</v>
      </c>
      <c r="J288" s="29" t="s">
        <v>2412</v>
      </c>
      <c r="K288" s="16">
        <v>1</v>
      </c>
      <c r="L288" s="3" t="s">
        <v>2556</v>
      </c>
      <c r="M288" s="17">
        <f>INDEX(Validade!H:H,MATCH('Controle de Validade'!A288,Validade!C:C,0))</f>
        <v>0</v>
      </c>
      <c r="N288" s="34" t="s">
        <v>2995</v>
      </c>
    </row>
    <row r="289" spans="1:14" ht="15" hidden="1" x14ac:dyDescent="0.2">
      <c r="A289" s="8" t="s">
        <v>1648</v>
      </c>
      <c r="B289" s="8" t="s">
        <v>2579</v>
      </c>
      <c r="C289" s="8" t="s">
        <v>1649</v>
      </c>
      <c r="D289" s="9" t="s">
        <v>2457</v>
      </c>
      <c r="E289" s="9" t="s">
        <v>2388</v>
      </c>
      <c r="F289" s="10" t="s">
        <v>2961</v>
      </c>
      <c r="G289" s="9" t="s">
        <v>2420</v>
      </c>
      <c r="H289" s="16" t="s">
        <v>2571</v>
      </c>
      <c r="I289" s="25" t="s">
        <v>2412</v>
      </c>
      <c r="J289" s="25" t="s">
        <v>2412</v>
      </c>
      <c r="K289" s="16">
        <v>0</v>
      </c>
      <c r="L289" s="3" t="s">
        <v>2556</v>
      </c>
      <c r="M289" s="17">
        <f>INDEX(Validade!H:H,MATCH('Controle de Validade'!A289,Validade!C:C,0))</f>
        <v>0</v>
      </c>
      <c r="N289" s="18"/>
    </row>
    <row r="290" spans="1:14" ht="15" hidden="1" x14ac:dyDescent="0.2">
      <c r="A290" s="8" t="s">
        <v>512</v>
      </c>
      <c r="B290" s="8" t="s">
        <v>2579</v>
      </c>
      <c r="C290" s="8" t="s">
        <v>27</v>
      </c>
      <c r="D290" s="9" t="s">
        <v>28</v>
      </c>
      <c r="E290" s="9" t="s">
        <v>2388</v>
      </c>
      <c r="F290" s="10" t="s">
        <v>2387</v>
      </c>
      <c r="G290" s="9" t="s">
        <v>2471</v>
      </c>
      <c r="H290" s="16" t="s">
        <v>2570</v>
      </c>
      <c r="I290" s="40" t="s">
        <v>3187</v>
      </c>
      <c r="J290" s="26" t="s">
        <v>2948</v>
      </c>
      <c r="K290" s="16">
        <v>1</v>
      </c>
      <c r="L290" s="3" t="s">
        <v>2556</v>
      </c>
      <c r="M290" s="17">
        <f>INDEX(Validade!H:H,MATCH('Controle de Validade'!A290,Validade!C:C,0))</f>
        <v>47266</v>
      </c>
      <c r="N290" s="18"/>
    </row>
    <row r="291" spans="1:14" ht="15" hidden="1" x14ac:dyDescent="0.2">
      <c r="A291" s="8" t="s">
        <v>2209</v>
      </c>
      <c r="B291" s="8" t="s">
        <v>2579</v>
      </c>
      <c r="C291" s="8" t="s">
        <v>2677</v>
      </c>
      <c r="D291" s="9" t="s">
        <v>1030</v>
      </c>
      <c r="E291" s="9" t="s">
        <v>2388</v>
      </c>
      <c r="F291" s="10" t="s">
        <v>2961</v>
      </c>
      <c r="G291" s="9" t="s">
        <v>2414</v>
      </c>
      <c r="H291" s="16" t="s">
        <v>2570</v>
      </c>
      <c r="I291" s="32" t="s">
        <v>2993</v>
      </c>
      <c r="J291" s="26" t="s">
        <v>2962</v>
      </c>
      <c r="K291" s="16">
        <v>1</v>
      </c>
      <c r="L291" s="3" t="s">
        <v>2556</v>
      </c>
      <c r="M291" s="17" t="e">
        <f>INDEX(Validade!H:H,MATCH('Controle de Validade'!A291,Validade!C:C,0))</f>
        <v>#N/A</v>
      </c>
      <c r="N291" s="18"/>
    </row>
    <row r="292" spans="1:14" ht="15" hidden="1" x14ac:dyDescent="0.2">
      <c r="A292" s="8" t="s">
        <v>505</v>
      </c>
      <c r="B292" s="8" t="s">
        <v>2579</v>
      </c>
      <c r="C292" s="8" t="s">
        <v>31</v>
      </c>
      <c r="D292" s="9" t="s">
        <v>28</v>
      </c>
      <c r="E292" s="9" t="s">
        <v>2388</v>
      </c>
      <c r="F292" s="10" t="s">
        <v>2387</v>
      </c>
      <c r="G292" s="9" t="s">
        <v>2471</v>
      </c>
      <c r="H292" s="16" t="s">
        <v>2570</v>
      </c>
      <c r="I292" s="40" t="s">
        <v>3187</v>
      </c>
      <c r="J292" s="26" t="s">
        <v>2948</v>
      </c>
      <c r="K292" s="16">
        <v>1</v>
      </c>
      <c r="L292" s="3" t="s">
        <v>2556</v>
      </c>
      <c r="M292" s="17">
        <f>INDEX(Validade!H:H,MATCH('Controle de Validade'!A292,Validade!C:C,0))</f>
        <v>46951</v>
      </c>
      <c r="N292" s="18"/>
    </row>
    <row r="293" spans="1:14" ht="15" hidden="1" x14ac:dyDescent="0.2">
      <c r="A293" s="8" t="s">
        <v>1599</v>
      </c>
      <c r="B293" s="8" t="s">
        <v>2579</v>
      </c>
      <c r="C293" s="8" t="s">
        <v>1600</v>
      </c>
      <c r="D293" s="9" t="s">
        <v>28</v>
      </c>
      <c r="E293" s="9" t="s">
        <v>2388</v>
      </c>
      <c r="F293" s="10" t="s">
        <v>2387</v>
      </c>
      <c r="G293" s="9" t="s">
        <v>2471</v>
      </c>
      <c r="H293" s="16" t="s">
        <v>2570</v>
      </c>
      <c r="I293" s="40" t="s">
        <v>3187</v>
      </c>
      <c r="J293" s="26" t="s">
        <v>2948</v>
      </c>
      <c r="K293" s="16">
        <v>1</v>
      </c>
      <c r="L293" s="3" t="s">
        <v>2556</v>
      </c>
      <c r="M293" s="17">
        <f>INDEX(Validade!H:H,MATCH('Controle de Validade'!A293,Validade!C:C,0))</f>
        <v>46601</v>
      </c>
      <c r="N293" s="18"/>
    </row>
    <row r="294" spans="1:14" ht="15" hidden="1" x14ac:dyDescent="0.2">
      <c r="A294" s="8" t="s">
        <v>485</v>
      </c>
      <c r="B294" s="8" t="s">
        <v>2579</v>
      </c>
      <c r="C294" s="8" t="s">
        <v>486</v>
      </c>
      <c r="D294" s="9" t="s">
        <v>28</v>
      </c>
      <c r="E294" s="9" t="s">
        <v>2388</v>
      </c>
      <c r="F294" s="10" t="s">
        <v>2387</v>
      </c>
      <c r="G294" s="9" t="s">
        <v>2471</v>
      </c>
      <c r="H294" s="16" t="s">
        <v>2570</v>
      </c>
      <c r="I294" s="40" t="s">
        <v>3187</v>
      </c>
      <c r="J294" s="26" t="s">
        <v>2948</v>
      </c>
      <c r="K294" s="16">
        <v>1</v>
      </c>
      <c r="L294" s="3" t="s">
        <v>2556</v>
      </c>
      <c r="M294" s="17">
        <f>INDEX(Validade!H:H,MATCH('Controle de Validade'!A294,Validade!C:C,0))</f>
        <v>47071</v>
      </c>
      <c r="N294" s="18"/>
    </row>
    <row r="295" spans="1:14" ht="15" hidden="1" x14ac:dyDescent="0.2">
      <c r="A295" s="8" t="s">
        <v>1596</v>
      </c>
      <c r="B295" s="8" t="s">
        <v>2579</v>
      </c>
      <c r="C295" s="8" t="s">
        <v>1597</v>
      </c>
      <c r="D295" s="9" t="s">
        <v>1030</v>
      </c>
      <c r="E295" s="9" t="s">
        <v>2388</v>
      </c>
      <c r="F295" s="10" t="s">
        <v>2961</v>
      </c>
      <c r="G295" s="9" t="s">
        <v>2414</v>
      </c>
      <c r="H295" s="16" t="s">
        <v>2570</v>
      </c>
      <c r="I295" s="32" t="s">
        <v>2993</v>
      </c>
      <c r="J295" s="26" t="s">
        <v>2962</v>
      </c>
      <c r="K295" s="16">
        <v>1</v>
      </c>
      <c r="L295" s="3" t="s">
        <v>2556</v>
      </c>
      <c r="M295" s="17">
        <f>INDEX(Validade!H:H,MATCH('Controle de Validade'!A295,Validade!C:C,0))</f>
        <v>45785</v>
      </c>
      <c r="N295" s="18"/>
    </row>
    <row r="296" spans="1:14" ht="15" hidden="1" x14ac:dyDescent="0.2">
      <c r="A296" s="8" t="s">
        <v>1594</v>
      </c>
      <c r="B296" s="8" t="s">
        <v>2579</v>
      </c>
      <c r="C296" s="8" t="s">
        <v>1595</v>
      </c>
      <c r="D296" s="9" t="s">
        <v>1030</v>
      </c>
      <c r="E296" s="9" t="s">
        <v>2388</v>
      </c>
      <c r="F296" s="10" t="s">
        <v>2961</v>
      </c>
      <c r="G296" s="9" t="s">
        <v>2414</v>
      </c>
      <c r="H296" s="16" t="s">
        <v>2570</v>
      </c>
      <c r="I296" s="32" t="s">
        <v>2993</v>
      </c>
      <c r="J296" s="26" t="s">
        <v>2962</v>
      </c>
      <c r="K296" s="16">
        <v>1</v>
      </c>
      <c r="L296" s="3" t="s">
        <v>2556</v>
      </c>
      <c r="M296" s="17">
        <f>INDEX(Validade!H:H,MATCH('Controle de Validade'!A296,Validade!C:C,0))</f>
        <v>45703</v>
      </c>
      <c r="N296" s="18"/>
    </row>
    <row r="297" spans="1:14" ht="15" hidden="1" x14ac:dyDescent="0.2">
      <c r="A297" s="8" t="s">
        <v>474</v>
      </c>
      <c r="B297" s="8" t="s">
        <v>2579</v>
      </c>
      <c r="C297" s="8" t="s">
        <v>447</v>
      </c>
      <c r="D297" s="9" t="s">
        <v>28</v>
      </c>
      <c r="E297" s="9" t="s">
        <v>2388</v>
      </c>
      <c r="F297" s="10" t="s">
        <v>2387</v>
      </c>
      <c r="G297" s="9" t="s">
        <v>2471</v>
      </c>
      <c r="H297" s="16" t="s">
        <v>2570</v>
      </c>
      <c r="I297" s="40" t="s">
        <v>3187</v>
      </c>
      <c r="J297" s="26" t="s">
        <v>2948</v>
      </c>
      <c r="K297" s="16">
        <v>1</v>
      </c>
      <c r="L297" s="3" t="s">
        <v>2556</v>
      </c>
      <c r="M297" s="17">
        <f>INDEX(Validade!H:H,MATCH('Controle de Validade'!A297,Validade!C:C,0))</f>
        <v>46792</v>
      </c>
      <c r="N297" s="18"/>
    </row>
    <row r="298" spans="1:14" ht="15" hidden="1" x14ac:dyDescent="0.2">
      <c r="A298" s="8" t="s">
        <v>471</v>
      </c>
      <c r="B298" s="8" t="s">
        <v>2579</v>
      </c>
      <c r="C298" s="8" t="s">
        <v>472</v>
      </c>
      <c r="D298" s="9" t="s">
        <v>28</v>
      </c>
      <c r="E298" s="9" t="s">
        <v>2388</v>
      </c>
      <c r="F298" s="10" t="s">
        <v>2387</v>
      </c>
      <c r="G298" s="9" t="s">
        <v>2471</v>
      </c>
      <c r="H298" s="16" t="s">
        <v>2570</v>
      </c>
      <c r="I298" s="40" t="s">
        <v>3187</v>
      </c>
      <c r="J298" s="26" t="s">
        <v>2948</v>
      </c>
      <c r="K298" s="16">
        <v>1</v>
      </c>
      <c r="L298" s="3" t="s">
        <v>2556</v>
      </c>
      <c r="M298" s="17">
        <f>INDEX(Validade!H:H,MATCH('Controle de Validade'!A298,Validade!C:C,0))</f>
        <v>62458</v>
      </c>
      <c r="N298" s="18"/>
    </row>
    <row r="299" spans="1:14" ht="15" hidden="1" x14ac:dyDescent="0.2">
      <c r="A299" s="8" t="s">
        <v>466</v>
      </c>
      <c r="B299" s="8" t="s">
        <v>2579</v>
      </c>
      <c r="C299" s="8" t="s">
        <v>467</v>
      </c>
      <c r="D299" s="9" t="s">
        <v>28</v>
      </c>
      <c r="E299" s="9" t="s">
        <v>2388</v>
      </c>
      <c r="F299" s="10" t="s">
        <v>2387</v>
      </c>
      <c r="G299" s="9" t="s">
        <v>2471</v>
      </c>
      <c r="H299" s="16" t="s">
        <v>2570</v>
      </c>
      <c r="I299" s="40" t="s">
        <v>3187</v>
      </c>
      <c r="J299" s="26" t="s">
        <v>2948</v>
      </c>
      <c r="K299" s="16">
        <v>1</v>
      </c>
      <c r="L299" s="3" t="s">
        <v>2556</v>
      </c>
      <c r="M299" s="17">
        <f>INDEX(Validade!H:H,MATCH('Controle de Validade'!A299,Validade!C:C,0))</f>
        <v>47107</v>
      </c>
      <c r="N299" s="18"/>
    </row>
    <row r="300" spans="1:14" ht="15" hidden="1" x14ac:dyDescent="0.2">
      <c r="A300" s="8" t="s">
        <v>1582</v>
      </c>
      <c r="B300" s="8" t="s">
        <v>2579</v>
      </c>
      <c r="C300" s="8" t="s">
        <v>1583</v>
      </c>
      <c r="D300" s="9" t="s">
        <v>1030</v>
      </c>
      <c r="E300" s="9" t="s">
        <v>2388</v>
      </c>
      <c r="F300" s="10" t="s">
        <v>2961</v>
      </c>
      <c r="G300" s="9" t="s">
        <v>2414</v>
      </c>
      <c r="H300" s="16" t="s">
        <v>2570</v>
      </c>
      <c r="I300" s="32" t="s">
        <v>2993</v>
      </c>
      <c r="J300" s="26" t="s">
        <v>2962</v>
      </c>
      <c r="K300" s="16">
        <v>1</v>
      </c>
      <c r="L300" s="3" t="s">
        <v>2556</v>
      </c>
      <c r="M300" s="17">
        <f>INDEX(Validade!H:H,MATCH('Controle de Validade'!A300,Validade!C:C,0))</f>
        <v>45743</v>
      </c>
      <c r="N300" s="18"/>
    </row>
    <row r="301" spans="1:14" ht="15" hidden="1" x14ac:dyDescent="0.2">
      <c r="A301" s="8" t="s">
        <v>1579</v>
      </c>
      <c r="B301" s="8" t="s">
        <v>2579</v>
      </c>
      <c r="C301" s="8" t="s">
        <v>241</v>
      </c>
      <c r="D301" s="9" t="s">
        <v>28</v>
      </c>
      <c r="E301" s="9" t="s">
        <v>2388</v>
      </c>
      <c r="F301" s="10" t="s">
        <v>2387</v>
      </c>
      <c r="G301" s="9" t="s">
        <v>2471</v>
      </c>
      <c r="H301" s="16" t="s">
        <v>2570</v>
      </c>
      <c r="I301" s="40" t="s">
        <v>3187</v>
      </c>
      <c r="J301" s="26" t="s">
        <v>2948</v>
      </c>
      <c r="K301" s="16">
        <v>1</v>
      </c>
      <c r="L301" s="3" t="s">
        <v>2556</v>
      </c>
      <c r="M301" s="17">
        <f>INDEX(Validade!H:H,MATCH('Controle de Validade'!A301,Validade!C:C,0))</f>
        <v>46741</v>
      </c>
      <c r="N301" s="18"/>
    </row>
    <row r="302" spans="1:14" ht="15" hidden="1" x14ac:dyDescent="0.2">
      <c r="A302" s="8" t="s">
        <v>460</v>
      </c>
      <c r="B302" s="8" t="s">
        <v>2579</v>
      </c>
      <c r="C302" s="8" t="s">
        <v>461</v>
      </c>
      <c r="D302" s="9" t="s">
        <v>28</v>
      </c>
      <c r="E302" s="9" t="s">
        <v>2388</v>
      </c>
      <c r="F302" s="10" t="s">
        <v>2387</v>
      </c>
      <c r="G302" s="9" t="s">
        <v>2471</v>
      </c>
      <c r="H302" s="16" t="s">
        <v>2570</v>
      </c>
      <c r="I302" s="40" t="s">
        <v>3187</v>
      </c>
      <c r="J302" s="26" t="s">
        <v>2948</v>
      </c>
      <c r="K302" s="16">
        <v>1</v>
      </c>
      <c r="L302" s="3" t="s">
        <v>2556</v>
      </c>
      <c r="M302" s="17">
        <f>INDEX(Validade!H:H,MATCH('Controle de Validade'!A302,Validade!C:C,0))</f>
        <v>47310</v>
      </c>
      <c r="N302" s="18"/>
    </row>
    <row r="303" spans="1:14" ht="15" hidden="1" x14ac:dyDescent="0.2">
      <c r="A303" s="8" t="s">
        <v>455</v>
      </c>
      <c r="B303" s="8" t="s">
        <v>2579</v>
      </c>
      <c r="C303" s="8" t="s">
        <v>456</v>
      </c>
      <c r="D303" s="9" t="s">
        <v>28</v>
      </c>
      <c r="E303" s="9" t="s">
        <v>2388</v>
      </c>
      <c r="F303" s="10" t="s">
        <v>2387</v>
      </c>
      <c r="G303" s="9" t="s">
        <v>2471</v>
      </c>
      <c r="H303" s="16" t="s">
        <v>2570</v>
      </c>
      <c r="I303" s="40" t="s">
        <v>3187</v>
      </c>
      <c r="J303" s="26" t="s">
        <v>2948</v>
      </c>
      <c r="K303" s="16">
        <v>1</v>
      </c>
      <c r="L303" s="3" t="s">
        <v>2556</v>
      </c>
      <c r="M303" s="17">
        <f>INDEX(Validade!H:H,MATCH('Controle de Validade'!A303,Validade!C:C,0))</f>
        <v>46810</v>
      </c>
      <c r="N303" s="18"/>
    </row>
    <row r="304" spans="1:14" ht="15" hidden="1" x14ac:dyDescent="0.2">
      <c r="A304" s="8" t="s">
        <v>1573</v>
      </c>
      <c r="B304" s="8" t="s">
        <v>2579</v>
      </c>
      <c r="C304" s="8" t="s">
        <v>1574</v>
      </c>
      <c r="D304" s="9" t="s">
        <v>1030</v>
      </c>
      <c r="E304" s="9" t="s">
        <v>2388</v>
      </c>
      <c r="F304" s="10" t="s">
        <v>2961</v>
      </c>
      <c r="G304" s="9" t="s">
        <v>2414</v>
      </c>
      <c r="H304" s="16" t="s">
        <v>2570</v>
      </c>
      <c r="I304" s="32" t="s">
        <v>2993</v>
      </c>
      <c r="J304" s="26" t="s">
        <v>2962</v>
      </c>
      <c r="K304" s="16">
        <v>1</v>
      </c>
      <c r="L304" s="3" t="s">
        <v>2556</v>
      </c>
      <c r="M304" s="17">
        <f>INDEX(Validade!H:H,MATCH('Controle de Validade'!A304,Validade!C:C,0))</f>
        <v>45923</v>
      </c>
      <c r="N304" s="18"/>
    </row>
    <row r="305" spans="1:14" ht="15" hidden="1" x14ac:dyDescent="0.2">
      <c r="A305" s="8" t="s">
        <v>1558</v>
      </c>
      <c r="B305" s="8" t="s">
        <v>2579</v>
      </c>
      <c r="C305" s="8" t="s">
        <v>1559</v>
      </c>
      <c r="D305" s="9" t="s">
        <v>1471</v>
      </c>
      <c r="E305" s="9" t="s">
        <v>2393</v>
      </c>
      <c r="F305" s="10" t="s">
        <v>2387</v>
      </c>
      <c r="G305" s="9" t="s">
        <v>2414</v>
      </c>
      <c r="H305" s="16" t="s">
        <v>2571</v>
      </c>
      <c r="I305" s="25" t="s">
        <v>2412</v>
      </c>
      <c r="J305" s="25" t="s">
        <v>2412</v>
      </c>
      <c r="K305" s="16">
        <v>0</v>
      </c>
      <c r="L305" s="3" t="s">
        <v>2556</v>
      </c>
      <c r="M305" s="17">
        <f>INDEX(Validade!H:H,MATCH('Controle de Validade'!A305,Validade!C:C,0))</f>
        <v>0</v>
      </c>
      <c r="N305" s="18"/>
    </row>
    <row r="306" spans="1:14" ht="15" hidden="1" x14ac:dyDescent="0.2">
      <c r="A306" s="8" t="s">
        <v>1551</v>
      </c>
      <c r="B306" s="8" t="s">
        <v>2579</v>
      </c>
      <c r="C306" s="8" t="s">
        <v>1552</v>
      </c>
      <c r="D306" s="9" t="s">
        <v>1553</v>
      </c>
      <c r="E306" s="9" t="s">
        <v>2388</v>
      </c>
      <c r="F306" s="10" t="s">
        <v>2392</v>
      </c>
      <c r="G306" s="9" t="s">
        <v>2453</v>
      </c>
      <c r="H306" s="16" t="s">
        <v>2571</v>
      </c>
      <c r="I306" s="25" t="s">
        <v>2412</v>
      </c>
      <c r="J306" s="25" t="s">
        <v>2412</v>
      </c>
      <c r="K306" s="16">
        <v>0</v>
      </c>
      <c r="L306" s="3" t="s">
        <v>2556</v>
      </c>
      <c r="M306" s="17">
        <f>INDEX(Validade!H:H,MATCH('Controle de Validade'!A306,Validade!C:C,0))</f>
        <v>0</v>
      </c>
      <c r="N306" s="18"/>
    </row>
    <row r="307" spans="1:14" ht="15" hidden="1" x14ac:dyDescent="0.2">
      <c r="A307" s="8" t="s">
        <v>1546</v>
      </c>
      <c r="B307" s="8" t="s">
        <v>2579</v>
      </c>
      <c r="C307" s="8" t="s">
        <v>1547</v>
      </c>
      <c r="D307" s="9" t="s">
        <v>1030</v>
      </c>
      <c r="E307" s="9" t="s">
        <v>2388</v>
      </c>
      <c r="F307" s="10" t="s">
        <v>2961</v>
      </c>
      <c r="G307" s="9" t="s">
        <v>2414</v>
      </c>
      <c r="H307" s="16" t="s">
        <v>2570</v>
      </c>
      <c r="I307" s="32" t="s">
        <v>2993</v>
      </c>
      <c r="J307" s="26" t="s">
        <v>2962</v>
      </c>
      <c r="K307" s="16">
        <v>1</v>
      </c>
      <c r="L307" s="3" t="s">
        <v>2556</v>
      </c>
      <c r="M307" s="17">
        <f>INDEX(Validade!H:H,MATCH('Controle de Validade'!A307,Validade!C:C,0))</f>
        <v>45703</v>
      </c>
      <c r="N307" s="18"/>
    </row>
    <row r="308" spans="1:14" ht="15" hidden="1" x14ac:dyDescent="0.2">
      <c r="A308" s="8" t="s">
        <v>1530</v>
      </c>
      <c r="B308" s="8" t="s">
        <v>2579</v>
      </c>
      <c r="C308" s="8" t="s">
        <v>1531</v>
      </c>
      <c r="D308" s="9" t="s">
        <v>2522</v>
      </c>
      <c r="E308" s="9" t="s">
        <v>2388</v>
      </c>
      <c r="F308" s="10" t="s">
        <v>2387</v>
      </c>
      <c r="G308" s="9" t="s">
        <v>2414</v>
      </c>
      <c r="H308" s="16" t="s">
        <v>2571</v>
      </c>
      <c r="I308" s="25" t="s">
        <v>2412</v>
      </c>
      <c r="J308" s="25" t="s">
        <v>2412</v>
      </c>
      <c r="K308" s="16">
        <v>0</v>
      </c>
      <c r="L308" s="3" t="s">
        <v>2556</v>
      </c>
      <c r="M308" s="17">
        <f>INDEX(Validade!H:H,MATCH('Controle de Validade'!A308,Validade!C:C,0))</f>
        <v>62458</v>
      </c>
      <c r="N308" s="18"/>
    </row>
    <row r="309" spans="1:14" ht="15" hidden="1" x14ac:dyDescent="0.2">
      <c r="A309" s="8" t="s">
        <v>1520</v>
      </c>
      <c r="B309" s="8" t="s">
        <v>2579</v>
      </c>
      <c r="C309" s="8" t="s">
        <v>1521</v>
      </c>
      <c r="D309" s="9" t="s">
        <v>1522</v>
      </c>
      <c r="E309" s="9" t="s">
        <v>2388</v>
      </c>
      <c r="F309" s="10" t="s">
        <v>2392</v>
      </c>
      <c r="G309" s="9" t="s">
        <v>2453</v>
      </c>
      <c r="H309" s="16" t="s">
        <v>2571</v>
      </c>
      <c r="I309" s="25" t="s">
        <v>2412</v>
      </c>
      <c r="J309" s="25" t="s">
        <v>2412</v>
      </c>
      <c r="K309" s="16">
        <v>0</v>
      </c>
      <c r="L309" s="3" t="s">
        <v>2556</v>
      </c>
      <c r="M309" s="17">
        <f>INDEX(Validade!H:H,MATCH('Controle de Validade'!A309,Validade!C:C,0))</f>
        <v>62458</v>
      </c>
      <c r="N309" s="18"/>
    </row>
    <row r="310" spans="1:14" ht="15" hidden="1" x14ac:dyDescent="0.2">
      <c r="A310" s="8" t="s">
        <v>1508</v>
      </c>
      <c r="B310" s="8" t="s">
        <v>2579</v>
      </c>
      <c r="C310" s="8" t="s">
        <v>1509</v>
      </c>
      <c r="D310" s="9" t="s">
        <v>933</v>
      </c>
      <c r="E310" s="9" t="s">
        <v>2388</v>
      </c>
      <c r="F310" s="10" t="s">
        <v>2387</v>
      </c>
      <c r="G310" s="9" t="s">
        <v>2453</v>
      </c>
      <c r="H310" s="16" t="s">
        <v>2571</v>
      </c>
      <c r="I310" s="25" t="s">
        <v>2412</v>
      </c>
      <c r="J310" s="25" t="s">
        <v>2412</v>
      </c>
      <c r="K310" s="16">
        <v>0</v>
      </c>
      <c r="L310" s="3" t="s">
        <v>2556</v>
      </c>
      <c r="M310" s="17">
        <f>INDEX(Validade!H:H,MATCH('Controle de Validade'!A310,Validade!C:C,0))</f>
        <v>0</v>
      </c>
      <c r="N310" s="18"/>
    </row>
    <row r="311" spans="1:14" ht="15" hidden="1" x14ac:dyDescent="0.2">
      <c r="A311" s="8" t="s">
        <v>1504</v>
      </c>
      <c r="B311" s="8" t="s">
        <v>2579</v>
      </c>
      <c r="C311" s="8" t="s">
        <v>1505</v>
      </c>
      <c r="D311" s="9" t="s">
        <v>933</v>
      </c>
      <c r="E311" s="9" t="s">
        <v>2388</v>
      </c>
      <c r="F311" s="10" t="s">
        <v>2387</v>
      </c>
      <c r="G311" s="9" t="s">
        <v>2453</v>
      </c>
      <c r="H311" s="16" t="s">
        <v>2571</v>
      </c>
      <c r="I311" s="25" t="s">
        <v>2412</v>
      </c>
      <c r="J311" s="25" t="s">
        <v>2412</v>
      </c>
      <c r="K311" s="16">
        <v>0</v>
      </c>
      <c r="L311" s="3" t="s">
        <v>2556</v>
      </c>
      <c r="M311" s="17">
        <f>INDEX(Validade!H:H,MATCH('Controle de Validade'!A311,Validade!C:C,0))</f>
        <v>0</v>
      </c>
      <c r="N311" s="18"/>
    </row>
    <row r="312" spans="1:14" ht="15" hidden="1" x14ac:dyDescent="0.2">
      <c r="A312" s="8" t="s">
        <v>2268</v>
      </c>
      <c r="B312" s="8" t="s">
        <v>2579</v>
      </c>
      <c r="C312" s="8" t="s">
        <v>2678</v>
      </c>
      <c r="D312" s="9" t="s">
        <v>1030</v>
      </c>
      <c r="E312" s="9" t="s">
        <v>2388</v>
      </c>
      <c r="F312" s="10" t="s">
        <v>2961</v>
      </c>
      <c r="G312" s="9" t="s">
        <v>2414</v>
      </c>
      <c r="H312" s="16" t="s">
        <v>2570</v>
      </c>
      <c r="I312" s="32" t="s">
        <v>2993</v>
      </c>
      <c r="J312" s="26" t="s">
        <v>2962</v>
      </c>
      <c r="K312" s="16">
        <v>1</v>
      </c>
      <c r="L312" s="3" t="s">
        <v>2556</v>
      </c>
      <c r="M312" s="17" t="e">
        <f>INDEX(Validade!H:H,MATCH('Controle de Validade'!A312,Validade!C:C,0))</f>
        <v>#N/A</v>
      </c>
      <c r="N312" s="18"/>
    </row>
    <row r="313" spans="1:14" ht="15" hidden="1" x14ac:dyDescent="0.2">
      <c r="A313" s="8" t="s">
        <v>2267</v>
      </c>
      <c r="B313" s="8" t="s">
        <v>2579</v>
      </c>
      <c r="C313" s="8" t="s">
        <v>2679</v>
      </c>
      <c r="D313" s="9" t="s">
        <v>1030</v>
      </c>
      <c r="E313" s="9" t="s">
        <v>2388</v>
      </c>
      <c r="F313" s="10" t="s">
        <v>2961</v>
      </c>
      <c r="G313" s="9" t="s">
        <v>2414</v>
      </c>
      <c r="H313" s="16" t="s">
        <v>2570</v>
      </c>
      <c r="I313" s="32" t="s">
        <v>2993</v>
      </c>
      <c r="J313" s="26" t="s">
        <v>2962</v>
      </c>
      <c r="K313" s="16">
        <v>1</v>
      </c>
      <c r="L313" s="3" t="s">
        <v>2556</v>
      </c>
      <c r="M313" s="17" t="e">
        <f>INDEX(Validade!H:H,MATCH('Controle de Validade'!A313,Validade!C:C,0))</f>
        <v>#N/A</v>
      </c>
      <c r="N313" s="18"/>
    </row>
    <row r="314" spans="1:14" ht="15" hidden="1" x14ac:dyDescent="0.2">
      <c r="A314" s="8" t="s">
        <v>2266</v>
      </c>
      <c r="B314" s="8" t="s">
        <v>2579</v>
      </c>
      <c r="C314" s="8" t="s">
        <v>2680</v>
      </c>
      <c r="D314" s="9" t="s">
        <v>1030</v>
      </c>
      <c r="E314" s="9" t="s">
        <v>2388</v>
      </c>
      <c r="F314" s="10" t="s">
        <v>2961</v>
      </c>
      <c r="G314" s="9" t="s">
        <v>2414</v>
      </c>
      <c r="H314" s="16" t="s">
        <v>2570</v>
      </c>
      <c r="I314" s="32" t="s">
        <v>2993</v>
      </c>
      <c r="J314" s="26" t="s">
        <v>2962</v>
      </c>
      <c r="K314" s="16">
        <v>1</v>
      </c>
      <c r="L314" s="3" t="s">
        <v>2556</v>
      </c>
      <c r="M314" s="17" t="e">
        <f>INDEX(Validade!H:H,MATCH('Controle de Validade'!A314,Validade!C:C,0))</f>
        <v>#N/A</v>
      </c>
      <c r="N314" s="18"/>
    </row>
    <row r="315" spans="1:14" ht="15" hidden="1" x14ac:dyDescent="0.2">
      <c r="A315" s="8" t="s">
        <v>1485</v>
      </c>
      <c r="B315" s="8" t="s">
        <v>2579</v>
      </c>
      <c r="C315" s="8" t="s">
        <v>1486</v>
      </c>
      <c r="D315" s="9" t="s">
        <v>1471</v>
      </c>
      <c r="E315" s="9" t="s">
        <v>2393</v>
      </c>
      <c r="F315" s="10" t="s">
        <v>2387</v>
      </c>
      <c r="G315" s="9" t="s">
        <v>2414</v>
      </c>
      <c r="H315" s="16" t="s">
        <v>2571</v>
      </c>
      <c r="I315" s="25" t="s">
        <v>2412</v>
      </c>
      <c r="J315" s="25" t="s">
        <v>2412</v>
      </c>
      <c r="K315" s="16">
        <v>0</v>
      </c>
      <c r="L315" s="3" t="s">
        <v>2556</v>
      </c>
      <c r="M315" s="17">
        <f>INDEX(Validade!H:H,MATCH('Controle de Validade'!A315,Validade!C:C,0))</f>
        <v>62458</v>
      </c>
      <c r="N315" s="18"/>
    </row>
    <row r="316" spans="1:14" ht="15" hidden="1" x14ac:dyDescent="0.2">
      <c r="A316" s="8" t="s">
        <v>1482</v>
      </c>
      <c r="B316" s="8" t="s">
        <v>2579</v>
      </c>
      <c r="C316" s="8" t="s">
        <v>1483</v>
      </c>
      <c r="D316" s="9" t="s">
        <v>1471</v>
      </c>
      <c r="E316" s="9" t="s">
        <v>2393</v>
      </c>
      <c r="F316" s="10" t="s">
        <v>2387</v>
      </c>
      <c r="G316" s="9" t="s">
        <v>2414</v>
      </c>
      <c r="H316" s="16" t="s">
        <v>2571</v>
      </c>
      <c r="I316" s="25" t="s">
        <v>2412</v>
      </c>
      <c r="J316" s="25" t="s">
        <v>2412</v>
      </c>
      <c r="K316" s="16">
        <v>0</v>
      </c>
      <c r="L316" s="3" t="s">
        <v>2556</v>
      </c>
      <c r="M316" s="17">
        <f>INDEX(Validade!H:H,MATCH('Controle de Validade'!A316,Validade!C:C,0))</f>
        <v>0</v>
      </c>
      <c r="N316" s="18"/>
    </row>
    <row r="317" spans="1:14" ht="15" hidden="1" x14ac:dyDescent="0.2">
      <c r="A317" s="8" t="s">
        <v>1479</v>
      </c>
      <c r="B317" s="8" t="s">
        <v>2579</v>
      </c>
      <c r="C317" s="8" t="s">
        <v>1480</v>
      </c>
      <c r="D317" s="9" t="s">
        <v>1471</v>
      </c>
      <c r="E317" s="9" t="s">
        <v>2393</v>
      </c>
      <c r="F317" s="10" t="s">
        <v>2387</v>
      </c>
      <c r="G317" s="9" t="s">
        <v>2414</v>
      </c>
      <c r="H317" s="16" t="s">
        <v>2571</v>
      </c>
      <c r="I317" s="25" t="s">
        <v>2412</v>
      </c>
      <c r="J317" s="25" t="s">
        <v>2412</v>
      </c>
      <c r="K317" s="16">
        <v>0</v>
      </c>
      <c r="L317" s="3" t="s">
        <v>2556</v>
      </c>
      <c r="M317" s="17">
        <f>INDEX(Validade!H:H,MATCH('Controle de Validade'!A317,Validade!C:C,0))</f>
        <v>62458</v>
      </c>
      <c r="N317" s="18"/>
    </row>
    <row r="318" spans="1:14" ht="15" hidden="1" x14ac:dyDescent="0.2">
      <c r="A318" s="8" t="s">
        <v>438</v>
      </c>
      <c r="B318" s="8" t="s">
        <v>2579</v>
      </c>
      <c r="C318" s="8" t="s">
        <v>439</v>
      </c>
      <c r="D318" s="9" t="s">
        <v>28</v>
      </c>
      <c r="E318" s="9" t="s">
        <v>2388</v>
      </c>
      <c r="F318" s="10" t="s">
        <v>2387</v>
      </c>
      <c r="G318" s="9" t="s">
        <v>2471</v>
      </c>
      <c r="H318" s="16" t="s">
        <v>2570</v>
      </c>
      <c r="I318" s="40" t="s">
        <v>3187</v>
      </c>
      <c r="J318" s="26" t="s">
        <v>2948</v>
      </c>
      <c r="K318" s="16">
        <v>1</v>
      </c>
      <c r="L318" s="3" t="s">
        <v>2556</v>
      </c>
      <c r="M318" s="17">
        <f>INDEX(Validade!H:H,MATCH('Controle de Validade'!A318,Validade!C:C,0))</f>
        <v>46545</v>
      </c>
      <c r="N318" s="18"/>
    </row>
    <row r="319" spans="1:14" ht="15" hidden="1" x14ac:dyDescent="0.2">
      <c r="A319" s="8" t="s">
        <v>2253</v>
      </c>
      <c r="B319" s="8" t="s">
        <v>2580</v>
      </c>
      <c r="C319" s="8" t="s">
        <v>2681</v>
      </c>
      <c r="D319" s="9" t="s">
        <v>1141</v>
      </c>
      <c r="E319" s="9" t="s">
        <v>2388</v>
      </c>
      <c r="F319" s="10" t="s">
        <v>2961</v>
      </c>
      <c r="G319" s="9" t="s">
        <v>2410</v>
      </c>
      <c r="H319" s="16" t="s">
        <v>2571</v>
      </c>
      <c r="I319" s="25" t="s">
        <v>2412</v>
      </c>
      <c r="J319" s="25" t="s">
        <v>2412</v>
      </c>
      <c r="K319" s="16">
        <v>0</v>
      </c>
      <c r="L319" s="3" t="s">
        <v>2556</v>
      </c>
      <c r="M319" s="17" t="e">
        <f>INDEX(Validade!H:H,MATCH('Controle de Validade'!A319,Validade!C:C,0))</f>
        <v>#N/A</v>
      </c>
      <c r="N319" s="18"/>
    </row>
    <row r="320" spans="1:14" ht="15" hidden="1" x14ac:dyDescent="0.2">
      <c r="A320" s="8" t="s">
        <v>2242</v>
      </c>
      <c r="B320" s="8" t="s">
        <v>2580</v>
      </c>
      <c r="C320" s="8" t="s">
        <v>2682</v>
      </c>
      <c r="D320" s="9" t="s">
        <v>1141</v>
      </c>
      <c r="E320" s="9" t="s">
        <v>2388</v>
      </c>
      <c r="F320" s="10" t="s">
        <v>2961</v>
      </c>
      <c r="G320" s="9" t="s">
        <v>2410</v>
      </c>
      <c r="H320" s="16" t="s">
        <v>2571</v>
      </c>
      <c r="I320" s="25" t="s">
        <v>2412</v>
      </c>
      <c r="J320" s="25" t="s">
        <v>2412</v>
      </c>
      <c r="K320" s="16">
        <v>0</v>
      </c>
      <c r="L320" s="3" t="s">
        <v>2556</v>
      </c>
      <c r="M320" s="17" t="e">
        <f>INDEX(Validade!H:H,MATCH('Controle de Validade'!A320,Validade!C:C,0))</f>
        <v>#N/A</v>
      </c>
      <c r="N320" s="18"/>
    </row>
    <row r="321" spans="1:14" ht="15" hidden="1" x14ac:dyDescent="0.2">
      <c r="A321" s="8" t="s">
        <v>2269</v>
      </c>
      <c r="B321" s="8" t="s">
        <v>2580</v>
      </c>
      <c r="C321" s="8" t="s">
        <v>2683</v>
      </c>
      <c r="D321" s="9" t="s">
        <v>1141</v>
      </c>
      <c r="E321" s="9" t="s">
        <v>2388</v>
      </c>
      <c r="F321" s="10" t="s">
        <v>2961</v>
      </c>
      <c r="G321" s="9" t="s">
        <v>2389</v>
      </c>
      <c r="H321" s="48" t="s">
        <v>2571</v>
      </c>
      <c r="I321" s="49" t="s">
        <v>2412</v>
      </c>
      <c r="J321" s="49" t="s">
        <v>2412</v>
      </c>
      <c r="K321" s="16">
        <v>1</v>
      </c>
      <c r="L321" s="3" t="s">
        <v>2556</v>
      </c>
      <c r="M321" s="17" t="e">
        <f>INDEX(Validade!H:H,MATCH('Controle de Validade'!A321,Validade!C:C,0))</f>
        <v>#N/A</v>
      </c>
      <c r="N321" s="18"/>
    </row>
    <row r="322" spans="1:14" ht="15" hidden="1" x14ac:dyDescent="0.2">
      <c r="A322" s="8" t="s">
        <v>1329</v>
      </c>
      <c r="B322" s="8" t="s">
        <v>2580</v>
      </c>
      <c r="C322" s="8" t="s">
        <v>1330</v>
      </c>
      <c r="D322" s="9" t="s">
        <v>1312</v>
      </c>
      <c r="E322" s="9" t="s">
        <v>2388</v>
      </c>
      <c r="F322" s="10" t="s">
        <v>2392</v>
      </c>
      <c r="G322" s="9" t="s">
        <v>2400</v>
      </c>
      <c r="H322" s="16" t="s">
        <v>2571</v>
      </c>
      <c r="I322" s="25" t="s">
        <v>2412</v>
      </c>
      <c r="J322" s="25" t="s">
        <v>2412</v>
      </c>
      <c r="K322" s="16">
        <v>0</v>
      </c>
      <c r="L322" s="3" t="s">
        <v>2556</v>
      </c>
      <c r="M322" s="17">
        <f>INDEX(Validade!H:H,MATCH('Controle de Validade'!A322,Validade!C:C,0))</f>
        <v>62458</v>
      </c>
      <c r="N322" s="18"/>
    </row>
    <row r="323" spans="1:14" ht="15" hidden="1" x14ac:dyDescent="0.2">
      <c r="A323" s="8" t="s">
        <v>1320</v>
      </c>
      <c r="B323" s="8" t="s">
        <v>2580</v>
      </c>
      <c r="C323" s="8" t="s">
        <v>1321</v>
      </c>
      <c r="D323" s="9" t="s">
        <v>1312</v>
      </c>
      <c r="E323" s="9" t="s">
        <v>2388</v>
      </c>
      <c r="F323" s="10" t="s">
        <v>2387</v>
      </c>
      <c r="G323" s="9" t="s">
        <v>2400</v>
      </c>
      <c r="H323" s="16" t="s">
        <v>2571</v>
      </c>
      <c r="I323" s="25" t="s">
        <v>2412</v>
      </c>
      <c r="J323" s="25" t="s">
        <v>2412</v>
      </c>
      <c r="K323" s="16">
        <v>0</v>
      </c>
      <c r="L323" s="3" t="s">
        <v>2556</v>
      </c>
      <c r="M323" s="17">
        <f>INDEX(Validade!H:H,MATCH('Controle de Validade'!A323,Validade!C:C,0))</f>
        <v>62458</v>
      </c>
      <c r="N323" s="18"/>
    </row>
    <row r="324" spans="1:14" ht="15" hidden="1" x14ac:dyDescent="0.2">
      <c r="A324" s="8" t="s">
        <v>1294</v>
      </c>
      <c r="B324" s="8" t="s">
        <v>2580</v>
      </c>
      <c r="C324" s="8" t="s">
        <v>1295</v>
      </c>
      <c r="D324" s="9" t="s">
        <v>2455</v>
      </c>
      <c r="E324" s="9" t="s">
        <v>2388</v>
      </c>
      <c r="F324" s="10" t="s">
        <v>2392</v>
      </c>
      <c r="G324" s="9" t="s">
        <v>2403</v>
      </c>
      <c r="H324" s="16" t="s">
        <v>2571</v>
      </c>
      <c r="I324" s="25" t="s">
        <v>2412</v>
      </c>
      <c r="J324" s="25" t="s">
        <v>2412</v>
      </c>
      <c r="K324" s="16">
        <v>1</v>
      </c>
      <c r="L324" s="3" t="s">
        <v>2556</v>
      </c>
      <c r="M324" s="17">
        <f>INDEX(Validade!H:H,MATCH('Controle de Validade'!A324,Validade!C:C,0))</f>
        <v>46418</v>
      </c>
      <c r="N324" s="18"/>
    </row>
    <row r="325" spans="1:14" ht="15" hidden="1" x14ac:dyDescent="0.2">
      <c r="A325" s="8" t="s">
        <v>1284</v>
      </c>
      <c r="B325" s="8" t="s">
        <v>2580</v>
      </c>
      <c r="C325" s="8" t="s">
        <v>1285</v>
      </c>
      <c r="D325" s="9" t="s">
        <v>1287</v>
      </c>
      <c r="E325" s="9" t="s">
        <v>2393</v>
      </c>
      <c r="F325" s="10" t="s">
        <v>2392</v>
      </c>
      <c r="G325" s="9" t="s">
        <v>2403</v>
      </c>
      <c r="H325" s="16" t="s">
        <v>2571</v>
      </c>
      <c r="I325" s="25" t="s">
        <v>2412</v>
      </c>
      <c r="J325" s="25" t="s">
        <v>2412</v>
      </c>
      <c r="K325" s="16">
        <v>0</v>
      </c>
      <c r="L325" s="3" t="s">
        <v>2556</v>
      </c>
      <c r="M325" s="17">
        <f>INDEX(Validade!H:H,MATCH('Controle de Validade'!A325,Validade!C:C,0))</f>
        <v>0</v>
      </c>
      <c r="N325" s="18"/>
    </row>
    <row r="326" spans="1:14" ht="15" hidden="1" x14ac:dyDescent="0.2">
      <c r="A326" s="8" t="s">
        <v>1274</v>
      </c>
      <c r="B326" s="8" t="s">
        <v>2579</v>
      </c>
      <c r="C326" s="8" t="s">
        <v>1275</v>
      </c>
      <c r="D326" s="9" t="s">
        <v>1215</v>
      </c>
      <c r="E326" s="9" t="s">
        <v>2388</v>
      </c>
      <c r="F326" s="10" t="s">
        <v>2392</v>
      </c>
      <c r="G326" s="9" t="s">
        <v>2451</v>
      </c>
      <c r="H326" s="16" t="s">
        <v>2571</v>
      </c>
      <c r="I326" s="25" t="s">
        <v>2412</v>
      </c>
      <c r="J326" s="25" t="s">
        <v>2412</v>
      </c>
      <c r="K326" s="16">
        <v>0</v>
      </c>
      <c r="L326" s="3" t="s">
        <v>2556</v>
      </c>
      <c r="M326" s="17">
        <f>INDEX(Validade!H:H,MATCH('Controle de Validade'!A326,Validade!C:C,0))</f>
        <v>62458</v>
      </c>
      <c r="N326" s="18"/>
    </row>
    <row r="327" spans="1:14" ht="15" hidden="1" x14ac:dyDescent="0.2">
      <c r="A327" s="8" t="s">
        <v>1268</v>
      </c>
      <c r="B327" s="8" t="s">
        <v>2580</v>
      </c>
      <c r="C327" s="8" t="s">
        <v>1269</v>
      </c>
      <c r="D327" s="9" t="s">
        <v>1176</v>
      </c>
      <c r="E327" s="9" t="s">
        <v>2393</v>
      </c>
      <c r="F327" s="10" t="s">
        <v>2392</v>
      </c>
      <c r="G327" s="9" t="s">
        <v>2403</v>
      </c>
      <c r="H327" s="16" t="s">
        <v>2571</v>
      </c>
      <c r="I327" s="25" t="s">
        <v>2412</v>
      </c>
      <c r="J327" s="25" t="s">
        <v>2412</v>
      </c>
      <c r="K327" s="16">
        <v>0</v>
      </c>
      <c r="L327" s="3" t="s">
        <v>2556</v>
      </c>
      <c r="M327" s="17">
        <f>INDEX(Validade!H:H,MATCH('Controle de Validade'!A327,Validade!C:C,0))</f>
        <v>0</v>
      </c>
      <c r="N327" s="18"/>
    </row>
    <row r="328" spans="1:14" ht="15" hidden="1" x14ac:dyDescent="0.2">
      <c r="A328" s="8" t="s">
        <v>1262</v>
      </c>
      <c r="B328" s="8" t="s">
        <v>2579</v>
      </c>
      <c r="C328" s="8" t="s">
        <v>1263</v>
      </c>
      <c r="D328" s="9" t="s">
        <v>1215</v>
      </c>
      <c r="E328" s="9" t="s">
        <v>2388</v>
      </c>
      <c r="F328" s="10" t="s">
        <v>2392</v>
      </c>
      <c r="G328" s="9" t="s">
        <v>2451</v>
      </c>
      <c r="H328" s="16" t="s">
        <v>2571</v>
      </c>
      <c r="I328" s="25" t="s">
        <v>2412</v>
      </c>
      <c r="J328" s="25" t="s">
        <v>2412</v>
      </c>
      <c r="K328" s="16">
        <v>0</v>
      </c>
      <c r="L328" s="3" t="s">
        <v>2556</v>
      </c>
      <c r="M328" s="17">
        <f>INDEX(Validade!H:H,MATCH('Controle de Validade'!A328,Validade!C:C,0))</f>
        <v>0</v>
      </c>
      <c r="N328" s="18"/>
    </row>
    <row r="329" spans="1:14" ht="15" hidden="1" x14ac:dyDescent="0.2">
      <c r="A329" s="8" t="s">
        <v>1256</v>
      </c>
      <c r="B329" s="8" t="s">
        <v>2580</v>
      </c>
      <c r="C329" s="8" t="s">
        <v>1257</v>
      </c>
      <c r="D329" s="9" t="s">
        <v>1176</v>
      </c>
      <c r="E329" s="9" t="s">
        <v>2393</v>
      </c>
      <c r="F329" s="10" t="s">
        <v>2392</v>
      </c>
      <c r="G329" s="9" t="s">
        <v>2403</v>
      </c>
      <c r="H329" s="16" t="s">
        <v>2571</v>
      </c>
      <c r="I329" s="25" t="s">
        <v>2412</v>
      </c>
      <c r="J329" s="25" t="s">
        <v>2412</v>
      </c>
      <c r="K329" s="16">
        <v>0</v>
      </c>
      <c r="L329" s="3" t="s">
        <v>2556</v>
      </c>
      <c r="M329" s="17">
        <f>INDEX(Validade!H:H,MATCH('Controle de Validade'!A329,Validade!C:C,0))</f>
        <v>0</v>
      </c>
      <c r="N329" s="18"/>
    </row>
    <row r="330" spans="1:14" ht="15" hidden="1" x14ac:dyDescent="0.2">
      <c r="A330" s="8" t="s">
        <v>1253</v>
      </c>
      <c r="B330" s="8" t="s">
        <v>2580</v>
      </c>
      <c r="C330" s="8" t="s">
        <v>1254</v>
      </c>
      <c r="D330" s="9" t="s">
        <v>1176</v>
      </c>
      <c r="E330" s="9" t="s">
        <v>2393</v>
      </c>
      <c r="F330" s="10" t="s">
        <v>2392</v>
      </c>
      <c r="G330" s="9" t="s">
        <v>2403</v>
      </c>
      <c r="H330" s="16" t="s">
        <v>2571</v>
      </c>
      <c r="I330" s="25" t="s">
        <v>2412</v>
      </c>
      <c r="J330" s="25" t="s">
        <v>2412</v>
      </c>
      <c r="K330" s="16">
        <v>0</v>
      </c>
      <c r="L330" s="3" t="s">
        <v>2556</v>
      </c>
      <c r="M330" s="17">
        <f>INDEX(Validade!H:H,MATCH('Controle de Validade'!A330,Validade!C:C,0))</f>
        <v>0</v>
      </c>
      <c r="N330" s="18"/>
    </row>
    <row r="331" spans="1:14" ht="15" hidden="1" x14ac:dyDescent="0.2">
      <c r="A331" s="8" t="s">
        <v>1250</v>
      </c>
      <c r="B331" s="8" t="s">
        <v>2580</v>
      </c>
      <c r="C331" s="8" t="s">
        <v>1251</v>
      </c>
      <c r="D331" s="9" t="s">
        <v>1215</v>
      </c>
      <c r="E331" s="9" t="s">
        <v>2388</v>
      </c>
      <c r="F331" s="10" t="s">
        <v>2392</v>
      </c>
      <c r="G331" s="9" t="s">
        <v>2451</v>
      </c>
      <c r="H331" s="16" t="s">
        <v>2571</v>
      </c>
      <c r="I331" s="25" t="s">
        <v>2412</v>
      </c>
      <c r="J331" s="25" t="s">
        <v>2412</v>
      </c>
      <c r="K331" s="16">
        <v>0</v>
      </c>
      <c r="L331" s="3" t="s">
        <v>2556</v>
      </c>
      <c r="M331" s="17">
        <f>INDEX(Validade!H:H,MATCH('Controle de Validade'!A331,Validade!C:C,0))</f>
        <v>62458</v>
      </c>
      <c r="N331" s="18"/>
    </row>
    <row r="332" spans="1:14" ht="15" hidden="1" x14ac:dyDescent="0.2">
      <c r="A332" s="8" t="s">
        <v>1235</v>
      </c>
      <c r="B332" s="8" t="s">
        <v>2580</v>
      </c>
      <c r="C332" s="8" t="s">
        <v>1236</v>
      </c>
      <c r="D332" s="9" t="s">
        <v>1215</v>
      </c>
      <c r="E332" s="9" t="s">
        <v>2388</v>
      </c>
      <c r="F332" s="10" t="s">
        <v>2392</v>
      </c>
      <c r="G332" s="9" t="s">
        <v>2451</v>
      </c>
      <c r="H332" s="16" t="s">
        <v>2571</v>
      </c>
      <c r="I332" s="25" t="s">
        <v>2412</v>
      </c>
      <c r="J332" s="25" t="s">
        <v>2412</v>
      </c>
      <c r="K332" s="16">
        <v>0</v>
      </c>
      <c r="L332" s="3" t="s">
        <v>2556</v>
      </c>
      <c r="M332" s="17">
        <f>INDEX(Validade!H:H,MATCH('Controle de Validade'!A332,Validade!C:C,0))</f>
        <v>62458</v>
      </c>
      <c r="N332" s="18"/>
    </row>
    <row r="333" spans="1:14" ht="15" hidden="1" x14ac:dyDescent="0.2">
      <c r="A333" s="8" t="s">
        <v>1232</v>
      </c>
      <c r="B333" s="8" t="s">
        <v>2580</v>
      </c>
      <c r="C333" s="8" t="s">
        <v>1233</v>
      </c>
      <c r="D333" s="9" t="s">
        <v>1215</v>
      </c>
      <c r="E333" s="9" t="s">
        <v>2388</v>
      </c>
      <c r="F333" s="10" t="s">
        <v>2392</v>
      </c>
      <c r="G333" s="9" t="s">
        <v>2451</v>
      </c>
      <c r="H333" s="16" t="s">
        <v>2571</v>
      </c>
      <c r="I333" s="25" t="s">
        <v>2412</v>
      </c>
      <c r="J333" s="25" t="s">
        <v>2412</v>
      </c>
      <c r="K333" s="16">
        <v>0</v>
      </c>
      <c r="L333" s="3" t="s">
        <v>2556</v>
      </c>
      <c r="M333" s="17">
        <f>INDEX(Validade!H:H,MATCH('Controle de Validade'!A333,Validade!C:C,0))</f>
        <v>62458</v>
      </c>
      <c r="N333" s="18"/>
    </row>
    <row r="334" spans="1:14" ht="15" hidden="1" x14ac:dyDescent="0.2">
      <c r="A334" s="8" t="s">
        <v>1229</v>
      </c>
      <c r="B334" s="8" t="s">
        <v>2580</v>
      </c>
      <c r="C334" s="8" t="s">
        <v>1230</v>
      </c>
      <c r="D334" s="9" t="s">
        <v>1215</v>
      </c>
      <c r="E334" s="9" t="s">
        <v>2388</v>
      </c>
      <c r="F334" s="10" t="s">
        <v>2392</v>
      </c>
      <c r="G334" s="9" t="s">
        <v>2451</v>
      </c>
      <c r="H334" s="16" t="s">
        <v>2571</v>
      </c>
      <c r="I334" s="25" t="s">
        <v>2412</v>
      </c>
      <c r="J334" s="25" t="s">
        <v>2412</v>
      </c>
      <c r="K334" s="16">
        <v>0</v>
      </c>
      <c r="L334" s="3" t="s">
        <v>2556</v>
      </c>
      <c r="M334" s="17">
        <f>INDEX(Validade!H:H,MATCH('Controle de Validade'!A334,Validade!C:C,0))</f>
        <v>62458</v>
      </c>
      <c r="N334" s="18"/>
    </row>
    <row r="335" spans="1:14" ht="15" hidden="1" x14ac:dyDescent="0.2">
      <c r="A335" s="8" t="s">
        <v>1223</v>
      </c>
      <c r="B335" s="8" t="s">
        <v>2580</v>
      </c>
      <c r="C335" s="8" t="s">
        <v>1224</v>
      </c>
      <c r="D335" s="9" t="s">
        <v>1215</v>
      </c>
      <c r="E335" s="9" t="s">
        <v>2388</v>
      </c>
      <c r="F335" s="10" t="s">
        <v>2392</v>
      </c>
      <c r="G335" s="9" t="s">
        <v>2451</v>
      </c>
      <c r="H335" s="16" t="s">
        <v>2571</v>
      </c>
      <c r="I335" s="25" t="s">
        <v>2412</v>
      </c>
      <c r="J335" s="25" t="s">
        <v>2412</v>
      </c>
      <c r="K335" s="16">
        <v>0</v>
      </c>
      <c r="L335" s="3" t="s">
        <v>2556</v>
      </c>
      <c r="M335" s="17">
        <f>INDEX(Validade!H:H,MATCH('Controle de Validade'!A335,Validade!C:C,0))</f>
        <v>62458</v>
      </c>
      <c r="N335" s="18"/>
    </row>
    <row r="336" spans="1:14" ht="15" hidden="1" x14ac:dyDescent="0.2">
      <c r="A336" s="8" t="s">
        <v>1220</v>
      </c>
      <c r="B336" s="8" t="s">
        <v>2580</v>
      </c>
      <c r="C336" s="8" t="s">
        <v>1221</v>
      </c>
      <c r="D336" s="9" t="s">
        <v>1215</v>
      </c>
      <c r="E336" s="9" t="s">
        <v>2388</v>
      </c>
      <c r="F336" s="10" t="s">
        <v>2392</v>
      </c>
      <c r="G336" s="9" t="s">
        <v>2451</v>
      </c>
      <c r="H336" s="16" t="s">
        <v>2571</v>
      </c>
      <c r="I336" s="25" t="s">
        <v>2412</v>
      </c>
      <c r="J336" s="25" t="s">
        <v>2412</v>
      </c>
      <c r="K336" s="16">
        <v>0</v>
      </c>
      <c r="L336" s="3" t="s">
        <v>2556</v>
      </c>
      <c r="M336" s="17">
        <f>INDEX(Validade!H:H,MATCH('Controle de Validade'!A336,Validade!C:C,0))</f>
        <v>62458</v>
      </c>
      <c r="N336" s="18"/>
    </row>
    <row r="337" spans="1:14" ht="15" hidden="1" x14ac:dyDescent="0.2">
      <c r="A337" s="8" t="s">
        <v>1217</v>
      </c>
      <c r="B337" s="8" t="s">
        <v>2580</v>
      </c>
      <c r="C337" s="8" t="s">
        <v>1218</v>
      </c>
      <c r="D337" s="9" t="s">
        <v>1215</v>
      </c>
      <c r="E337" s="9" t="s">
        <v>2388</v>
      </c>
      <c r="F337" s="10" t="s">
        <v>2392</v>
      </c>
      <c r="G337" s="9" t="s">
        <v>2451</v>
      </c>
      <c r="H337" s="16" t="s">
        <v>2571</v>
      </c>
      <c r="I337" s="25" t="s">
        <v>2412</v>
      </c>
      <c r="J337" s="25" t="s">
        <v>2412</v>
      </c>
      <c r="K337" s="16">
        <v>0</v>
      </c>
      <c r="L337" s="3" t="s">
        <v>2556</v>
      </c>
      <c r="M337" s="17">
        <f>INDEX(Validade!H:H,MATCH('Controle de Validade'!A337,Validade!C:C,0))</f>
        <v>62458</v>
      </c>
      <c r="N337" s="18"/>
    </row>
    <row r="338" spans="1:14" ht="15" hidden="1" x14ac:dyDescent="0.2">
      <c r="A338" s="8" t="s">
        <v>1213</v>
      </c>
      <c r="B338" s="8" t="s">
        <v>2580</v>
      </c>
      <c r="C338" s="8" t="s">
        <v>1214</v>
      </c>
      <c r="D338" s="9" t="s">
        <v>1215</v>
      </c>
      <c r="E338" s="9" t="s">
        <v>2388</v>
      </c>
      <c r="F338" s="10" t="s">
        <v>2392</v>
      </c>
      <c r="G338" s="9" t="s">
        <v>2451</v>
      </c>
      <c r="H338" s="16" t="s">
        <v>2571</v>
      </c>
      <c r="I338" s="25" t="s">
        <v>2412</v>
      </c>
      <c r="J338" s="25" t="s">
        <v>2412</v>
      </c>
      <c r="K338" s="16">
        <v>0</v>
      </c>
      <c r="L338" s="3" t="s">
        <v>2556</v>
      </c>
      <c r="M338" s="17">
        <f>INDEX(Validade!H:H,MATCH('Controle de Validade'!A338,Validade!C:C,0))</f>
        <v>62458</v>
      </c>
      <c r="N338" s="18"/>
    </row>
    <row r="339" spans="1:14" ht="15" hidden="1" x14ac:dyDescent="0.2">
      <c r="A339" s="8" t="s">
        <v>1701</v>
      </c>
      <c r="B339" s="8" t="s">
        <v>2579</v>
      </c>
      <c r="C339" s="8" t="s">
        <v>1702</v>
      </c>
      <c r="D339" s="9" t="s">
        <v>2440</v>
      </c>
      <c r="E339" s="9" t="s">
        <v>2388</v>
      </c>
      <c r="F339" s="10" t="s">
        <v>2961</v>
      </c>
      <c r="G339" s="9" t="s">
        <v>2442</v>
      </c>
      <c r="H339" s="16" t="s">
        <v>2570</v>
      </c>
      <c r="I339" s="52" t="s">
        <v>3200</v>
      </c>
      <c r="J339" s="53" t="s">
        <v>2412</v>
      </c>
      <c r="K339" s="16">
        <v>1</v>
      </c>
      <c r="L339" s="3" t="s">
        <v>2556</v>
      </c>
      <c r="M339" s="17">
        <f>INDEX(Validade!H:H,MATCH('Controle de Validade'!A339,Validade!C:C,0))</f>
        <v>46995</v>
      </c>
      <c r="N339" s="18"/>
    </row>
    <row r="340" spans="1:14" ht="15" hidden="1" x14ac:dyDescent="0.2">
      <c r="A340" s="8" t="s">
        <v>1244</v>
      </c>
      <c r="B340" s="8" t="s">
        <v>2580</v>
      </c>
      <c r="C340" s="8" t="s">
        <v>1245</v>
      </c>
      <c r="D340" s="9" t="s">
        <v>1215</v>
      </c>
      <c r="E340" s="9" t="s">
        <v>2388</v>
      </c>
      <c r="F340" s="10" t="s">
        <v>2392</v>
      </c>
      <c r="G340" s="9" t="s">
        <v>2451</v>
      </c>
      <c r="H340" s="16" t="s">
        <v>2571</v>
      </c>
      <c r="I340" s="25" t="s">
        <v>2412</v>
      </c>
      <c r="J340" s="25" t="s">
        <v>2412</v>
      </c>
      <c r="K340" s="16">
        <v>0</v>
      </c>
      <c r="L340" s="3" t="s">
        <v>2556</v>
      </c>
      <c r="M340" s="17">
        <f>INDEX(Validade!H:H,MATCH('Controle de Validade'!A340,Validade!C:C,0))</f>
        <v>62458</v>
      </c>
      <c r="N340" s="18"/>
    </row>
    <row r="341" spans="1:14" ht="15" hidden="1" x14ac:dyDescent="0.2">
      <c r="A341" s="8" t="s">
        <v>1241</v>
      </c>
      <c r="B341" s="8" t="s">
        <v>2580</v>
      </c>
      <c r="C341" s="8" t="s">
        <v>1242</v>
      </c>
      <c r="D341" s="9" t="s">
        <v>1215</v>
      </c>
      <c r="E341" s="9" t="s">
        <v>2388</v>
      </c>
      <c r="F341" s="10" t="s">
        <v>2392</v>
      </c>
      <c r="G341" s="9" t="s">
        <v>2451</v>
      </c>
      <c r="H341" s="16" t="s">
        <v>2571</v>
      </c>
      <c r="I341" s="25" t="s">
        <v>2412</v>
      </c>
      <c r="J341" s="25" t="s">
        <v>2412</v>
      </c>
      <c r="K341" s="16">
        <v>0</v>
      </c>
      <c r="L341" s="3" t="s">
        <v>2556</v>
      </c>
      <c r="M341" s="17">
        <f>INDEX(Validade!H:H,MATCH('Controle de Validade'!A341,Validade!C:C,0))</f>
        <v>62458</v>
      </c>
      <c r="N341" s="18"/>
    </row>
    <row r="342" spans="1:14" ht="15" hidden="1" x14ac:dyDescent="0.2">
      <c r="A342" s="8" t="s">
        <v>530</v>
      </c>
      <c r="B342" s="8" t="s">
        <v>2580</v>
      </c>
      <c r="C342" s="8" t="s">
        <v>531</v>
      </c>
      <c r="D342" s="9" t="s">
        <v>2422</v>
      </c>
      <c r="E342" s="9" t="s">
        <v>2388</v>
      </c>
      <c r="F342" s="10" t="s">
        <v>2961</v>
      </c>
      <c r="G342" s="9" t="s">
        <v>2423</v>
      </c>
      <c r="H342" s="21" t="s">
        <v>2571</v>
      </c>
      <c r="I342" s="25" t="s">
        <v>2412</v>
      </c>
      <c r="J342" s="25" t="s">
        <v>2412</v>
      </c>
      <c r="K342" s="16">
        <v>0</v>
      </c>
      <c r="L342" s="3" t="s">
        <v>2556</v>
      </c>
      <c r="M342" s="17">
        <f>INDEX(Validade!H:H,MATCH('Controle de Validade'!A342,Validade!C:C,0))</f>
        <v>62458</v>
      </c>
      <c r="N342" s="18"/>
    </row>
    <row r="343" spans="1:14" ht="15" hidden="1" x14ac:dyDescent="0.2">
      <c r="A343" s="8" t="s">
        <v>2316</v>
      </c>
      <c r="B343" s="8" t="s">
        <v>2579</v>
      </c>
      <c r="C343" s="8" t="s">
        <v>2684</v>
      </c>
      <c r="D343" s="9" t="s">
        <v>2445</v>
      </c>
      <c r="E343" s="9" t="s">
        <v>2388</v>
      </c>
      <c r="F343" s="10" t="s">
        <v>2392</v>
      </c>
      <c r="G343" s="9" t="s">
        <v>2410</v>
      </c>
      <c r="H343" s="16" t="s">
        <v>2571</v>
      </c>
      <c r="I343" s="25" t="s">
        <v>2412</v>
      </c>
      <c r="J343" s="25" t="s">
        <v>2412</v>
      </c>
      <c r="K343" s="16">
        <v>0</v>
      </c>
      <c r="L343" s="3" t="s">
        <v>2556</v>
      </c>
      <c r="M343" s="17" t="e">
        <f>INDEX(Validade!H:H,MATCH('Controle de Validade'!A343,Validade!C:C,0))</f>
        <v>#N/A</v>
      </c>
      <c r="N343" s="18"/>
    </row>
    <row r="344" spans="1:14" ht="15" hidden="1" x14ac:dyDescent="0.2">
      <c r="A344" s="8" t="s">
        <v>1409</v>
      </c>
      <c r="B344" s="8" t="s">
        <v>2580</v>
      </c>
      <c r="C344" s="8" t="s">
        <v>1410</v>
      </c>
      <c r="D344" s="9" t="s">
        <v>1215</v>
      </c>
      <c r="E344" s="9" t="s">
        <v>2388</v>
      </c>
      <c r="F344" s="10" t="s">
        <v>2392</v>
      </c>
      <c r="G344" s="9" t="s">
        <v>2451</v>
      </c>
      <c r="H344" s="16" t="s">
        <v>2571</v>
      </c>
      <c r="I344" s="25" t="s">
        <v>2412</v>
      </c>
      <c r="J344" s="25" t="s">
        <v>2412</v>
      </c>
      <c r="K344" s="16">
        <v>0</v>
      </c>
      <c r="L344" s="3" t="s">
        <v>2556</v>
      </c>
      <c r="M344" s="17">
        <f>INDEX(Validade!H:H,MATCH('Controle de Validade'!A344,Validade!C:C,0))</f>
        <v>62458</v>
      </c>
      <c r="N344" s="18"/>
    </row>
    <row r="345" spans="1:14" ht="15" hidden="1" x14ac:dyDescent="0.2">
      <c r="A345" s="8" t="s">
        <v>1406</v>
      </c>
      <c r="B345" s="8" t="s">
        <v>2580</v>
      </c>
      <c r="C345" s="8" t="s">
        <v>1407</v>
      </c>
      <c r="D345" s="9" t="s">
        <v>1215</v>
      </c>
      <c r="E345" s="9" t="s">
        <v>2388</v>
      </c>
      <c r="F345" s="10" t="s">
        <v>2392</v>
      </c>
      <c r="G345" s="9" t="s">
        <v>2451</v>
      </c>
      <c r="H345" s="16" t="s">
        <v>2571</v>
      </c>
      <c r="I345" s="25" t="s">
        <v>2412</v>
      </c>
      <c r="J345" s="25" t="s">
        <v>2412</v>
      </c>
      <c r="K345" s="16">
        <v>0</v>
      </c>
      <c r="L345" s="3" t="s">
        <v>2556</v>
      </c>
      <c r="M345" s="17">
        <f>INDEX(Validade!H:H,MATCH('Controle de Validade'!A345,Validade!C:C,0))</f>
        <v>62458</v>
      </c>
      <c r="N345" s="18"/>
    </row>
    <row r="346" spans="1:14" ht="15" hidden="1" x14ac:dyDescent="0.2">
      <c r="A346" s="8" t="s">
        <v>1371</v>
      </c>
      <c r="B346" s="8" t="s">
        <v>2580</v>
      </c>
      <c r="C346" s="8" t="s">
        <v>1372</v>
      </c>
      <c r="D346" s="9" t="s">
        <v>1312</v>
      </c>
      <c r="E346" s="9" t="s">
        <v>2388</v>
      </c>
      <c r="F346" s="10" t="s">
        <v>2392</v>
      </c>
      <c r="G346" s="9" t="s">
        <v>2400</v>
      </c>
      <c r="H346" s="16" t="s">
        <v>2571</v>
      </c>
      <c r="I346" s="25" t="s">
        <v>2412</v>
      </c>
      <c r="J346" s="25" t="s">
        <v>2412</v>
      </c>
      <c r="K346" s="16">
        <v>0</v>
      </c>
      <c r="L346" s="3" t="s">
        <v>2556</v>
      </c>
      <c r="M346" s="17">
        <f>INDEX(Validade!H:H,MATCH('Controle de Validade'!A346,Validade!C:C,0))</f>
        <v>62458</v>
      </c>
      <c r="N346" s="18"/>
    </row>
    <row r="347" spans="1:14" ht="15" hidden="1" x14ac:dyDescent="0.2">
      <c r="A347" s="8" t="s">
        <v>1355</v>
      </c>
      <c r="B347" s="8" t="s">
        <v>2580</v>
      </c>
      <c r="C347" s="8" t="s">
        <v>1356</v>
      </c>
      <c r="D347" s="9" t="s">
        <v>1312</v>
      </c>
      <c r="E347" s="9" t="s">
        <v>2388</v>
      </c>
      <c r="F347" s="10" t="s">
        <v>2392</v>
      </c>
      <c r="G347" s="9" t="s">
        <v>2410</v>
      </c>
      <c r="H347" s="16" t="s">
        <v>2571</v>
      </c>
      <c r="I347" s="25" t="s">
        <v>2412</v>
      </c>
      <c r="J347" s="25" t="s">
        <v>2412</v>
      </c>
      <c r="K347" s="16">
        <v>0</v>
      </c>
      <c r="L347" s="3" t="s">
        <v>2556</v>
      </c>
      <c r="M347" s="17">
        <f>INDEX(Validade!H:H,MATCH('Controle de Validade'!A347,Validade!C:C,0))</f>
        <v>62458</v>
      </c>
      <c r="N347" s="18"/>
    </row>
    <row r="348" spans="1:14" ht="15" hidden="1" x14ac:dyDescent="0.2">
      <c r="A348" s="8" t="s">
        <v>1353</v>
      </c>
      <c r="B348" s="8" t="s">
        <v>2580</v>
      </c>
      <c r="C348" s="8" t="s">
        <v>1354</v>
      </c>
      <c r="D348" s="9" t="s">
        <v>1312</v>
      </c>
      <c r="E348" s="9" t="s">
        <v>2388</v>
      </c>
      <c r="F348" s="10" t="s">
        <v>2392</v>
      </c>
      <c r="G348" s="9" t="s">
        <v>2400</v>
      </c>
      <c r="H348" s="16" t="s">
        <v>2571</v>
      </c>
      <c r="I348" s="25" t="s">
        <v>2412</v>
      </c>
      <c r="J348" s="25" t="s">
        <v>2412</v>
      </c>
      <c r="K348" s="16">
        <v>0</v>
      </c>
      <c r="L348" s="3" t="s">
        <v>2556</v>
      </c>
      <c r="M348" s="17">
        <f>INDEX(Validade!H:H,MATCH('Controle de Validade'!A348,Validade!C:C,0))</f>
        <v>62458</v>
      </c>
      <c r="N348" s="18"/>
    </row>
    <row r="349" spans="1:14" ht="15" hidden="1" x14ac:dyDescent="0.2">
      <c r="A349" s="8" t="s">
        <v>1323</v>
      </c>
      <c r="B349" s="8" t="s">
        <v>2580</v>
      </c>
      <c r="C349" s="8" t="s">
        <v>1324</v>
      </c>
      <c r="D349" s="9" t="s">
        <v>1312</v>
      </c>
      <c r="E349" s="9" t="s">
        <v>2388</v>
      </c>
      <c r="F349" s="10" t="s">
        <v>2392</v>
      </c>
      <c r="G349" s="9" t="s">
        <v>2400</v>
      </c>
      <c r="H349" s="16" t="s">
        <v>2571</v>
      </c>
      <c r="I349" s="25" t="s">
        <v>2412</v>
      </c>
      <c r="J349" s="25" t="s">
        <v>2412</v>
      </c>
      <c r="K349" s="16">
        <v>0</v>
      </c>
      <c r="L349" s="3" t="s">
        <v>2556</v>
      </c>
      <c r="M349" s="17">
        <f>INDEX(Validade!H:H,MATCH('Controle de Validade'!A349,Validade!C:C,0))</f>
        <v>0</v>
      </c>
      <c r="N349" s="18"/>
    </row>
    <row r="350" spans="1:14" ht="15" hidden="1" x14ac:dyDescent="0.2">
      <c r="A350" s="8" t="s">
        <v>1281</v>
      </c>
      <c r="B350" s="8" t="s">
        <v>2580</v>
      </c>
      <c r="C350" s="8" t="s">
        <v>1282</v>
      </c>
      <c r="D350" s="9" t="s">
        <v>1215</v>
      </c>
      <c r="E350" s="9" t="s">
        <v>2388</v>
      </c>
      <c r="F350" s="10" t="s">
        <v>2392</v>
      </c>
      <c r="G350" s="9" t="s">
        <v>2451</v>
      </c>
      <c r="H350" s="16" t="s">
        <v>2571</v>
      </c>
      <c r="I350" s="25" t="s">
        <v>2412</v>
      </c>
      <c r="J350" s="25" t="s">
        <v>2412</v>
      </c>
      <c r="K350" s="16">
        <v>0</v>
      </c>
      <c r="L350" s="3" t="s">
        <v>2556</v>
      </c>
      <c r="M350" s="17">
        <f>INDEX(Validade!H:H,MATCH('Controle de Validade'!A350,Validade!C:C,0))</f>
        <v>62458</v>
      </c>
      <c r="N350" s="18"/>
    </row>
    <row r="351" spans="1:14" ht="15" hidden="1" x14ac:dyDescent="0.2">
      <c r="A351" s="8" t="s">
        <v>1427</v>
      </c>
      <c r="B351" s="8" t="s">
        <v>2579</v>
      </c>
      <c r="C351" s="8" t="s">
        <v>1428</v>
      </c>
      <c r="D351" s="9" t="s">
        <v>922</v>
      </c>
      <c r="E351" s="9" t="s">
        <v>2388</v>
      </c>
      <c r="F351" s="10" t="s">
        <v>2392</v>
      </c>
      <c r="G351" s="9" t="s">
        <v>2451</v>
      </c>
      <c r="H351" s="16" t="s">
        <v>2571</v>
      </c>
      <c r="I351" s="25" t="s">
        <v>2412</v>
      </c>
      <c r="J351" s="25" t="s">
        <v>2412</v>
      </c>
      <c r="K351" s="16">
        <v>0</v>
      </c>
      <c r="L351" s="3" t="s">
        <v>2556</v>
      </c>
      <c r="M351" s="17">
        <f>INDEX(Validade!H:H,MATCH('Controle de Validade'!A351,Validade!C:C,0))</f>
        <v>62458</v>
      </c>
      <c r="N351" s="18"/>
    </row>
    <row r="352" spans="1:14" ht="15" hidden="1" x14ac:dyDescent="0.2">
      <c r="A352" s="8" t="s">
        <v>1424</v>
      </c>
      <c r="B352" s="8" t="s">
        <v>2580</v>
      </c>
      <c r="C352" s="8" t="s">
        <v>1425</v>
      </c>
      <c r="D352" s="9" t="s">
        <v>1215</v>
      </c>
      <c r="E352" s="9" t="s">
        <v>2388</v>
      </c>
      <c r="F352" s="10" t="s">
        <v>2392</v>
      </c>
      <c r="G352" s="9" t="s">
        <v>2451</v>
      </c>
      <c r="H352" s="16" t="s">
        <v>2571</v>
      </c>
      <c r="I352" s="25" t="s">
        <v>2412</v>
      </c>
      <c r="J352" s="25" t="s">
        <v>2412</v>
      </c>
      <c r="K352" s="16">
        <v>0</v>
      </c>
      <c r="L352" s="3" t="s">
        <v>2556</v>
      </c>
      <c r="M352" s="17">
        <f>INDEX(Validade!H:H,MATCH('Controle de Validade'!A352,Validade!C:C,0))</f>
        <v>62458</v>
      </c>
      <c r="N352" s="18"/>
    </row>
    <row r="353" spans="1:14" ht="15" hidden="1" x14ac:dyDescent="0.2">
      <c r="A353" s="8" t="s">
        <v>1421</v>
      </c>
      <c r="B353" s="8" t="s">
        <v>2580</v>
      </c>
      <c r="C353" s="8" t="s">
        <v>1422</v>
      </c>
      <c r="D353" s="9" t="s">
        <v>1215</v>
      </c>
      <c r="E353" s="9" t="s">
        <v>2388</v>
      </c>
      <c r="F353" s="10" t="s">
        <v>2392</v>
      </c>
      <c r="G353" s="9" t="s">
        <v>2451</v>
      </c>
      <c r="H353" s="16" t="s">
        <v>2571</v>
      </c>
      <c r="I353" s="25" t="s">
        <v>2412</v>
      </c>
      <c r="J353" s="25" t="s">
        <v>2412</v>
      </c>
      <c r="K353" s="16">
        <v>0</v>
      </c>
      <c r="L353" s="3" t="s">
        <v>2556</v>
      </c>
      <c r="M353" s="17">
        <f>INDEX(Validade!H:H,MATCH('Controle de Validade'!A353,Validade!C:C,0))</f>
        <v>62458</v>
      </c>
      <c r="N353" s="18"/>
    </row>
    <row r="354" spans="1:14" ht="15" hidden="1" x14ac:dyDescent="0.2">
      <c r="A354" s="8" t="s">
        <v>1418</v>
      </c>
      <c r="B354" s="8" t="s">
        <v>2580</v>
      </c>
      <c r="C354" s="8" t="s">
        <v>1419</v>
      </c>
      <c r="D354" s="9" t="s">
        <v>1215</v>
      </c>
      <c r="E354" s="9" t="s">
        <v>2388</v>
      </c>
      <c r="F354" s="10" t="s">
        <v>2392</v>
      </c>
      <c r="G354" s="9" t="s">
        <v>2451</v>
      </c>
      <c r="H354" s="16" t="s">
        <v>2571</v>
      </c>
      <c r="I354" s="25" t="s">
        <v>2412</v>
      </c>
      <c r="J354" s="25" t="s">
        <v>2412</v>
      </c>
      <c r="K354" s="16">
        <v>0</v>
      </c>
      <c r="L354" s="3" t="s">
        <v>2556</v>
      </c>
      <c r="M354" s="17">
        <f>INDEX(Validade!H:H,MATCH('Controle de Validade'!A354,Validade!C:C,0))</f>
        <v>62458</v>
      </c>
      <c r="N354" s="18"/>
    </row>
    <row r="355" spans="1:14" ht="15" hidden="1" x14ac:dyDescent="0.2">
      <c r="A355" s="8" t="s">
        <v>1412</v>
      </c>
      <c r="B355" s="8" t="s">
        <v>2580</v>
      </c>
      <c r="C355" s="8" t="s">
        <v>1413</v>
      </c>
      <c r="D355" s="9" t="s">
        <v>1215</v>
      </c>
      <c r="E355" s="9" t="s">
        <v>2388</v>
      </c>
      <c r="F355" s="10" t="s">
        <v>2392</v>
      </c>
      <c r="G355" s="9" t="s">
        <v>2451</v>
      </c>
      <c r="H355" s="16" t="s">
        <v>2571</v>
      </c>
      <c r="I355" s="25" t="s">
        <v>2412</v>
      </c>
      <c r="J355" s="25" t="s">
        <v>2412</v>
      </c>
      <c r="K355" s="16">
        <v>0</v>
      </c>
      <c r="L355" s="3" t="s">
        <v>2556</v>
      </c>
      <c r="M355" s="17">
        <f>INDEX(Validade!H:H,MATCH('Controle de Validade'!A355,Validade!C:C,0))</f>
        <v>62458</v>
      </c>
      <c r="N355" s="18"/>
    </row>
    <row r="356" spans="1:14" ht="15" hidden="1" x14ac:dyDescent="0.2">
      <c r="A356" s="8" t="s">
        <v>417</v>
      </c>
      <c r="B356" s="8" t="s">
        <v>2581</v>
      </c>
      <c r="C356" s="8" t="s">
        <v>418</v>
      </c>
      <c r="D356" s="9" t="s">
        <v>401</v>
      </c>
      <c r="E356" s="9" t="s">
        <v>2388</v>
      </c>
      <c r="F356" s="10" t="s">
        <v>2961</v>
      </c>
      <c r="G356" s="9" t="s">
        <v>2405</v>
      </c>
      <c r="H356" s="16" t="s">
        <v>2570</v>
      </c>
      <c r="I356" s="38" t="s">
        <v>3186</v>
      </c>
      <c r="J356" s="26" t="s">
        <v>2965</v>
      </c>
      <c r="K356" s="16">
        <v>1</v>
      </c>
      <c r="L356" s="3" t="s">
        <v>2556</v>
      </c>
      <c r="M356" s="17">
        <f>INDEX(Validade!H:H,MATCH('Controle de Validade'!A356,Validade!C:C,0))</f>
        <v>45886</v>
      </c>
      <c r="N356" s="18"/>
    </row>
    <row r="357" spans="1:14" ht="15" hidden="1" x14ac:dyDescent="0.2">
      <c r="A357" s="8" t="s">
        <v>1385</v>
      </c>
      <c r="B357" s="8" t="s">
        <v>2580</v>
      </c>
      <c r="C357" s="8" t="s">
        <v>1386</v>
      </c>
      <c r="D357" s="9" t="s">
        <v>1312</v>
      </c>
      <c r="E357" s="9" t="s">
        <v>2388</v>
      </c>
      <c r="F357" s="10" t="s">
        <v>2392</v>
      </c>
      <c r="G357" s="9" t="s">
        <v>2400</v>
      </c>
      <c r="H357" s="16" t="s">
        <v>2571</v>
      </c>
      <c r="I357" s="25" t="s">
        <v>2412</v>
      </c>
      <c r="J357" s="25" t="s">
        <v>2412</v>
      </c>
      <c r="K357" s="16">
        <v>0</v>
      </c>
      <c r="L357" s="3" t="s">
        <v>2556</v>
      </c>
      <c r="M357" s="17">
        <f>INDEX(Validade!H:H,MATCH('Controle de Validade'!A357,Validade!C:C,0))</f>
        <v>0</v>
      </c>
      <c r="N357" s="18"/>
    </row>
    <row r="358" spans="1:14" ht="15" hidden="1" x14ac:dyDescent="0.2">
      <c r="A358" s="8" t="s">
        <v>414</v>
      </c>
      <c r="B358" s="8" t="s">
        <v>2581</v>
      </c>
      <c r="C358" s="8" t="s">
        <v>415</v>
      </c>
      <c r="D358" s="9" t="s">
        <v>401</v>
      </c>
      <c r="E358" s="9" t="s">
        <v>2388</v>
      </c>
      <c r="F358" s="10" t="s">
        <v>2961</v>
      </c>
      <c r="G358" s="9" t="s">
        <v>2405</v>
      </c>
      <c r="H358" s="16" t="s">
        <v>2570</v>
      </c>
      <c r="I358" s="38" t="s">
        <v>3186</v>
      </c>
      <c r="J358" s="26" t="s">
        <v>2965</v>
      </c>
      <c r="K358" s="16">
        <v>1</v>
      </c>
      <c r="L358" s="3" t="s">
        <v>2556</v>
      </c>
      <c r="M358" s="17">
        <f>INDEX(Validade!H:H,MATCH('Controle de Validade'!A358,Validade!C:C,0))</f>
        <v>45946</v>
      </c>
      <c r="N358" s="18"/>
    </row>
    <row r="359" spans="1:14" ht="15" hidden="1" x14ac:dyDescent="0.2">
      <c r="A359" s="8" t="s">
        <v>1380</v>
      </c>
      <c r="B359" s="8" t="s">
        <v>2580</v>
      </c>
      <c r="C359" s="8" t="s">
        <v>1381</v>
      </c>
      <c r="D359" s="9" t="s">
        <v>1019</v>
      </c>
      <c r="E359" s="9" t="s">
        <v>2388</v>
      </c>
      <c r="F359" s="10" t="s">
        <v>2387</v>
      </c>
      <c r="G359" s="9" t="s">
        <v>2400</v>
      </c>
      <c r="H359" s="29" t="s">
        <v>2571</v>
      </c>
      <c r="I359" s="25" t="s">
        <v>2412</v>
      </c>
      <c r="J359" s="25" t="s">
        <v>2412</v>
      </c>
      <c r="K359" s="16">
        <v>0</v>
      </c>
      <c r="L359" s="3" t="s">
        <v>2556</v>
      </c>
      <c r="M359" s="17">
        <f>INDEX(Validade!H:H,MATCH('Controle de Validade'!A359,Validade!C:C,0))</f>
        <v>62458</v>
      </c>
      <c r="N359" s="18"/>
    </row>
    <row r="360" spans="1:14" ht="15" hidden="1" x14ac:dyDescent="0.2">
      <c r="A360" s="8" t="s">
        <v>1368</v>
      </c>
      <c r="B360" s="8" t="s">
        <v>2580</v>
      </c>
      <c r="C360" s="8" t="s">
        <v>1369</v>
      </c>
      <c r="D360" s="9" t="s">
        <v>1312</v>
      </c>
      <c r="E360" s="9" t="s">
        <v>2388</v>
      </c>
      <c r="F360" s="10" t="s">
        <v>2387</v>
      </c>
      <c r="G360" s="9" t="s">
        <v>2400</v>
      </c>
      <c r="H360" s="16" t="s">
        <v>2571</v>
      </c>
      <c r="I360" s="25" t="s">
        <v>2412</v>
      </c>
      <c r="J360" s="25" t="s">
        <v>2412</v>
      </c>
      <c r="K360" s="16">
        <v>0</v>
      </c>
      <c r="L360" s="3" t="s">
        <v>2556</v>
      </c>
      <c r="M360" s="17">
        <f>INDEX(Validade!H:H,MATCH('Controle de Validade'!A360,Validade!C:C,0))</f>
        <v>62458</v>
      </c>
      <c r="N360" s="18"/>
    </row>
    <row r="361" spans="1:14" ht="15" hidden="1" x14ac:dyDescent="0.2">
      <c r="A361" s="8" t="s">
        <v>1365</v>
      </c>
      <c r="B361" s="8" t="s">
        <v>2580</v>
      </c>
      <c r="C361" s="8" t="s">
        <v>1366</v>
      </c>
      <c r="D361" s="9" t="s">
        <v>1019</v>
      </c>
      <c r="E361" s="9" t="s">
        <v>2388</v>
      </c>
      <c r="F361" s="10" t="s">
        <v>2387</v>
      </c>
      <c r="G361" s="9" t="s">
        <v>2400</v>
      </c>
      <c r="H361" s="29" t="s">
        <v>2571</v>
      </c>
      <c r="I361" s="25" t="s">
        <v>2412</v>
      </c>
      <c r="J361" s="25" t="s">
        <v>2412</v>
      </c>
      <c r="K361" s="16">
        <v>0</v>
      </c>
      <c r="L361" s="3" t="s">
        <v>2556</v>
      </c>
      <c r="M361" s="17">
        <f>INDEX(Validade!H:H,MATCH('Controle de Validade'!A361,Validade!C:C,0))</f>
        <v>62458</v>
      </c>
      <c r="N361" s="18"/>
    </row>
    <row r="362" spans="1:14" ht="15" hidden="1" x14ac:dyDescent="0.2">
      <c r="A362" s="8" t="s">
        <v>1362</v>
      </c>
      <c r="B362" s="8" t="s">
        <v>2580</v>
      </c>
      <c r="C362" s="8" t="s">
        <v>1363</v>
      </c>
      <c r="D362" s="9" t="s">
        <v>2493</v>
      </c>
      <c r="E362" s="9" t="s">
        <v>2388</v>
      </c>
      <c r="F362" s="10" t="s">
        <v>2387</v>
      </c>
      <c r="G362" s="9" t="s">
        <v>2400</v>
      </c>
      <c r="H362" s="16" t="s">
        <v>2571</v>
      </c>
      <c r="I362" s="25" t="s">
        <v>2412</v>
      </c>
      <c r="J362" s="25" t="s">
        <v>2412</v>
      </c>
      <c r="K362" s="16">
        <v>0</v>
      </c>
      <c r="L362" s="3" t="s">
        <v>2556</v>
      </c>
      <c r="M362" s="17">
        <f>INDEX(Validade!H:H,MATCH('Controle de Validade'!A362,Validade!C:C,0))</f>
        <v>62458</v>
      </c>
      <c r="N362" s="18"/>
    </row>
    <row r="363" spans="1:14" ht="15" hidden="1" x14ac:dyDescent="0.2">
      <c r="A363" s="8" t="s">
        <v>2241</v>
      </c>
      <c r="B363" s="8" t="s">
        <v>2580</v>
      </c>
      <c r="C363" s="8" t="s">
        <v>2685</v>
      </c>
      <c r="D363" s="9" t="s">
        <v>1019</v>
      </c>
      <c r="E363" s="9" t="s">
        <v>2388</v>
      </c>
      <c r="F363" s="10" t="s">
        <v>2387</v>
      </c>
      <c r="G363" s="9" t="s">
        <v>2400</v>
      </c>
      <c r="H363" s="29" t="s">
        <v>2571</v>
      </c>
      <c r="I363" s="25" t="s">
        <v>2412</v>
      </c>
      <c r="J363" s="25" t="s">
        <v>2412</v>
      </c>
      <c r="K363" s="16">
        <v>0</v>
      </c>
      <c r="L363" s="3" t="s">
        <v>2556</v>
      </c>
      <c r="M363" s="17" t="e">
        <f>INDEX(Validade!H:H,MATCH('Controle de Validade'!A363,Validade!C:C,0))</f>
        <v>#N/A</v>
      </c>
      <c r="N363" s="18"/>
    </row>
    <row r="364" spans="1:14" ht="15" hidden="1" x14ac:dyDescent="0.2">
      <c r="A364" s="8" t="s">
        <v>2240</v>
      </c>
      <c r="B364" s="8" t="s">
        <v>2581</v>
      </c>
      <c r="C364" s="8" t="s">
        <v>2686</v>
      </c>
      <c r="D364" s="9" t="s">
        <v>401</v>
      </c>
      <c r="E364" s="9" t="s">
        <v>2388</v>
      </c>
      <c r="F364" s="10" t="s">
        <v>2961</v>
      </c>
      <c r="G364" s="9" t="s">
        <v>2405</v>
      </c>
      <c r="H364" s="16" t="s">
        <v>2570</v>
      </c>
      <c r="I364" s="38" t="s">
        <v>3186</v>
      </c>
      <c r="J364" s="26" t="s">
        <v>2965</v>
      </c>
      <c r="K364" s="16">
        <v>1</v>
      </c>
      <c r="L364" s="3" t="s">
        <v>2556</v>
      </c>
      <c r="M364" s="17" t="e">
        <f>INDEX(Validade!H:H,MATCH('Controle de Validade'!A364,Validade!C:C,0))</f>
        <v>#N/A</v>
      </c>
      <c r="N364" s="18"/>
    </row>
    <row r="365" spans="1:14" ht="15" hidden="1" x14ac:dyDescent="0.2">
      <c r="A365" s="8" t="s">
        <v>1341</v>
      </c>
      <c r="B365" s="8" t="s">
        <v>2579</v>
      </c>
      <c r="C365" s="8" t="s">
        <v>1342</v>
      </c>
      <c r="D365" s="9" t="s">
        <v>1019</v>
      </c>
      <c r="E365" s="9" t="s">
        <v>2388</v>
      </c>
      <c r="F365" s="10" t="s">
        <v>2387</v>
      </c>
      <c r="G365" s="9" t="s">
        <v>2400</v>
      </c>
      <c r="H365" s="29" t="s">
        <v>2571</v>
      </c>
      <c r="I365" s="25" t="s">
        <v>2412</v>
      </c>
      <c r="J365" s="25" t="s">
        <v>2412</v>
      </c>
      <c r="K365" s="16">
        <v>0</v>
      </c>
      <c r="L365" s="3" t="s">
        <v>2556</v>
      </c>
      <c r="M365" s="17">
        <f>INDEX(Validade!H:H,MATCH('Controle de Validade'!A365,Validade!C:C,0))</f>
        <v>62458</v>
      </c>
      <c r="N365" s="18"/>
    </row>
    <row r="366" spans="1:14" ht="15" hidden="1" x14ac:dyDescent="0.2">
      <c r="A366" s="8" t="s">
        <v>1326</v>
      </c>
      <c r="B366" s="8" t="s">
        <v>2580</v>
      </c>
      <c r="C366" s="8" t="s">
        <v>1327</v>
      </c>
      <c r="D366" s="9" t="s">
        <v>1312</v>
      </c>
      <c r="E366" s="9" t="s">
        <v>2388</v>
      </c>
      <c r="F366" s="10" t="s">
        <v>2387</v>
      </c>
      <c r="G366" s="9" t="s">
        <v>2400</v>
      </c>
      <c r="H366" s="16" t="s">
        <v>2571</v>
      </c>
      <c r="I366" s="25" t="s">
        <v>2412</v>
      </c>
      <c r="J366" s="25" t="s">
        <v>2412</v>
      </c>
      <c r="K366" s="16">
        <v>0</v>
      </c>
      <c r="L366" s="3" t="s">
        <v>2556</v>
      </c>
      <c r="M366" s="17">
        <f>INDEX(Validade!H:H,MATCH('Controle de Validade'!A366,Validade!C:C,0))</f>
        <v>0</v>
      </c>
      <c r="N366" s="18"/>
    </row>
    <row r="367" spans="1:14" ht="15" hidden="1" x14ac:dyDescent="0.2">
      <c r="A367" s="8" t="s">
        <v>1317</v>
      </c>
      <c r="B367" s="8" t="s">
        <v>2580</v>
      </c>
      <c r="C367" s="8" t="s">
        <v>1318</v>
      </c>
      <c r="D367" s="9" t="s">
        <v>1019</v>
      </c>
      <c r="E367" s="9" t="s">
        <v>2388</v>
      </c>
      <c r="F367" s="10" t="s">
        <v>2387</v>
      </c>
      <c r="G367" s="9" t="s">
        <v>2400</v>
      </c>
      <c r="H367" s="29" t="s">
        <v>2571</v>
      </c>
      <c r="I367" s="25" t="s">
        <v>2412</v>
      </c>
      <c r="J367" s="25" t="s">
        <v>2412</v>
      </c>
      <c r="K367" s="16">
        <v>0</v>
      </c>
      <c r="L367" s="3" t="s">
        <v>2556</v>
      </c>
      <c r="M367" s="17">
        <f>INDEX(Validade!H:H,MATCH('Controle de Validade'!A367,Validade!C:C,0))</f>
        <v>0</v>
      </c>
      <c r="N367" s="18"/>
    </row>
    <row r="368" spans="1:14" ht="15" hidden="1" x14ac:dyDescent="0.2">
      <c r="A368" s="30" t="s">
        <v>1721</v>
      </c>
      <c r="B368" s="8" t="s">
        <v>2687</v>
      </c>
      <c r="C368" s="8" t="s">
        <v>1722</v>
      </c>
      <c r="D368" s="9" t="s">
        <v>1723</v>
      </c>
      <c r="E368" s="9" t="s">
        <v>2388</v>
      </c>
      <c r="F368" s="10" t="s">
        <v>2392</v>
      </c>
      <c r="G368" s="9" t="s">
        <v>2431</v>
      </c>
      <c r="H368" s="16" t="s">
        <v>2570</v>
      </c>
      <c r="I368" s="38" t="s">
        <v>2996</v>
      </c>
      <c r="J368" s="29" t="s">
        <v>2412</v>
      </c>
      <c r="K368" s="16">
        <v>1</v>
      </c>
      <c r="L368" s="3" t="s">
        <v>2556</v>
      </c>
      <c r="M368" s="17">
        <f>INDEX(Validade!H:H,MATCH('Controle de Validade'!A368,Validade!C:C,0))</f>
        <v>46507</v>
      </c>
      <c r="N368" s="18" t="s">
        <v>2576</v>
      </c>
    </row>
    <row r="369" spans="1:14" ht="15" hidden="1" x14ac:dyDescent="0.2">
      <c r="A369" s="8" t="s">
        <v>1991</v>
      </c>
      <c r="B369" s="8" t="s">
        <v>2579</v>
      </c>
      <c r="C369" s="8" t="s">
        <v>2688</v>
      </c>
      <c r="D369" s="9" t="s">
        <v>2524</v>
      </c>
      <c r="E369" s="9" t="s">
        <v>2393</v>
      </c>
      <c r="F369" s="10" t="s">
        <v>2387</v>
      </c>
      <c r="G369" s="9" t="s">
        <v>2431</v>
      </c>
      <c r="H369" s="16" t="s">
        <v>2571</v>
      </c>
      <c r="I369" s="25" t="s">
        <v>2412</v>
      </c>
      <c r="J369" s="25" t="s">
        <v>2412</v>
      </c>
      <c r="K369" s="16">
        <v>1</v>
      </c>
      <c r="L369" s="3" t="s">
        <v>2558</v>
      </c>
      <c r="M369" s="17" t="e">
        <f>INDEX(Validade!H:H,MATCH('Controle de Validade'!A369,Validade!C:C,0))</f>
        <v>#N/A</v>
      </c>
      <c r="N369" s="18" t="s">
        <v>2576</v>
      </c>
    </row>
    <row r="370" spans="1:14" ht="15" hidden="1" x14ac:dyDescent="0.2">
      <c r="A370" s="8" t="s">
        <v>2062</v>
      </c>
      <c r="B370" s="8" t="s">
        <v>2579</v>
      </c>
      <c r="C370" s="8" t="s">
        <v>2689</v>
      </c>
      <c r="D370" s="9" t="e">
        <v>#N/A</v>
      </c>
      <c r="E370" s="9" t="s">
        <v>2388</v>
      </c>
      <c r="F370" s="10" t="s">
        <v>2387</v>
      </c>
      <c r="G370" s="9" t="s">
        <v>2410</v>
      </c>
      <c r="H370" s="16" t="s">
        <v>2571</v>
      </c>
      <c r="I370" s="25" t="s">
        <v>2412</v>
      </c>
      <c r="J370" s="25" t="s">
        <v>2412</v>
      </c>
      <c r="K370" s="16">
        <v>1</v>
      </c>
      <c r="L370" s="3" t="s">
        <v>2558</v>
      </c>
      <c r="M370" s="17" t="e">
        <f>INDEX(Validade!H:H,MATCH('Controle de Validade'!A370,Validade!C:C,0))</f>
        <v>#N/A</v>
      </c>
      <c r="N370" s="18" t="s">
        <v>2576</v>
      </c>
    </row>
    <row r="371" spans="1:14" ht="15" hidden="1" x14ac:dyDescent="0.2">
      <c r="A371" s="8" t="s">
        <v>2002</v>
      </c>
      <c r="B371" s="8" t="s">
        <v>2579</v>
      </c>
      <c r="C371" s="8" t="s">
        <v>2690</v>
      </c>
      <c r="D371" s="9" t="s">
        <v>2440</v>
      </c>
      <c r="E371" s="9" t="s">
        <v>2388</v>
      </c>
      <c r="F371" s="10" t="s">
        <v>2961</v>
      </c>
      <c r="G371" s="9" t="s">
        <v>2442</v>
      </c>
      <c r="H371" s="54" t="s">
        <v>2570</v>
      </c>
      <c r="I371" s="52" t="s">
        <v>3196</v>
      </c>
      <c r="J371" s="53" t="s">
        <v>2412</v>
      </c>
      <c r="K371" s="16">
        <v>1</v>
      </c>
      <c r="L371" s="3" t="s">
        <v>2558</v>
      </c>
      <c r="M371" s="17" t="e">
        <f>INDEX(Validade!H:H,MATCH('Controle de Validade'!A371,Validade!C:C,0))</f>
        <v>#N/A</v>
      </c>
      <c r="N371" s="18" t="s">
        <v>2576</v>
      </c>
    </row>
    <row r="372" spans="1:14" ht="15" hidden="1" x14ac:dyDescent="0.2">
      <c r="A372" s="8" t="s">
        <v>1704</v>
      </c>
      <c r="B372" s="8" t="s">
        <v>2579</v>
      </c>
      <c r="C372" s="8" t="s">
        <v>1705</v>
      </c>
      <c r="D372" s="9" t="s">
        <v>2440</v>
      </c>
      <c r="E372" s="9" t="s">
        <v>2388</v>
      </c>
      <c r="F372" s="10" t="s">
        <v>2961</v>
      </c>
      <c r="G372" s="9" t="s">
        <v>2442</v>
      </c>
      <c r="H372" s="16" t="s">
        <v>2570</v>
      </c>
      <c r="I372" s="52" t="s">
        <v>3200</v>
      </c>
      <c r="J372" s="53" t="s">
        <v>2412</v>
      </c>
      <c r="K372" s="16">
        <v>1</v>
      </c>
      <c r="L372" s="3" t="s">
        <v>2556</v>
      </c>
      <c r="M372" s="17">
        <f>INDEX(Validade!H:H,MATCH('Controle de Validade'!A372,Validade!C:C,0))</f>
        <v>47207</v>
      </c>
      <c r="N372" s="18" t="s">
        <v>2576</v>
      </c>
    </row>
    <row r="373" spans="1:14" ht="15" hidden="1" x14ac:dyDescent="0.2">
      <c r="A373" s="28" t="s">
        <v>1718</v>
      </c>
      <c r="B373" s="8" t="s">
        <v>2687</v>
      </c>
      <c r="C373" s="8" t="s">
        <v>1719</v>
      </c>
      <c r="D373" s="9" t="s">
        <v>998</v>
      </c>
      <c r="E373" s="9" t="s">
        <v>2388</v>
      </c>
      <c r="F373" s="10" t="s">
        <v>2961</v>
      </c>
      <c r="G373" s="9" t="s">
        <v>2431</v>
      </c>
      <c r="H373" s="16" t="s">
        <v>2570</v>
      </c>
      <c r="I373" s="39"/>
      <c r="J373" s="43"/>
      <c r="K373" s="16">
        <v>1</v>
      </c>
      <c r="L373" s="3" t="s">
        <v>2556</v>
      </c>
      <c r="M373" s="17">
        <f>INDEX(Validade!H:H,MATCH('Controle de Validade'!A373,Validade!C:C,0))</f>
        <v>46446</v>
      </c>
      <c r="N373" s="18"/>
    </row>
    <row r="374" spans="1:14" ht="15" hidden="1" x14ac:dyDescent="0.2">
      <c r="A374" s="8" t="s">
        <v>1438</v>
      </c>
      <c r="B374" s="8" t="s">
        <v>2579</v>
      </c>
      <c r="C374" s="8" t="s">
        <v>1439</v>
      </c>
      <c r="D374" s="9" t="s">
        <v>2518</v>
      </c>
      <c r="E374" s="9">
        <v>0</v>
      </c>
      <c r="F374" s="10" t="s">
        <v>2387</v>
      </c>
      <c r="G374" s="9" t="s">
        <v>2410</v>
      </c>
      <c r="H374" s="16" t="s">
        <v>2571</v>
      </c>
      <c r="I374" s="25" t="s">
        <v>2412</v>
      </c>
      <c r="J374" s="25" t="s">
        <v>2412</v>
      </c>
      <c r="K374" s="16">
        <v>0</v>
      </c>
      <c r="L374" s="3" t="s">
        <v>2556</v>
      </c>
      <c r="M374" s="17">
        <f>INDEX(Validade!H:H,MATCH('Controle de Validade'!A374,Validade!C:C,0))</f>
        <v>62458</v>
      </c>
      <c r="N374" s="18"/>
    </row>
    <row r="375" spans="1:14" ht="15" hidden="1" x14ac:dyDescent="0.2">
      <c r="A375" s="8" t="s">
        <v>1335</v>
      </c>
      <c r="B375" s="8" t="s">
        <v>2580</v>
      </c>
      <c r="C375" s="8" t="s">
        <v>1336</v>
      </c>
      <c r="D375" s="9" t="s">
        <v>1141</v>
      </c>
      <c r="E375" s="9" t="s">
        <v>2388</v>
      </c>
      <c r="F375" s="10" t="s">
        <v>2961</v>
      </c>
      <c r="G375" s="9" t="s">
        <v>2410</v>
      </c>
      <c r="H375" s="16" t="s">
        <v>2571</v>
      </c>
      <c r="I375" s="25" t="s">
        <v>2412</v>
      </c>
      <c r="J375" s="25" t="s">
        <v>2412</v>
      </c>
      <c r="K375" s="16">
        <v>0</v>
      </c>
      <c r="L375" s="3" t="s">
        <v>2556</v>
      </c>
      <c r="M375" s="17">
        <f>INDEX(Validade!H:H,MATCH('Controle de Validade'!A375,Validade!C:C,0))</f>
        <v>62458</v>
      </c>
      <c r="N375" s="18"/>
    </row>
    <row r="376" spans="1:14" ht="15" hidden="1" x14ac:dyDescent="0.2">
      <c r="A376" s="8" t="s">
        <v>2317</v>
      </c>
      <c r="B376" s="8" t="s">
        <v>2580</v>
      </c>
      <c r="C376" s="8" t="s">
        <v>2691</v>
      </c>
      <c r="D376" s="9" t="e">
        <v>#N/A</v>
      </c>
      <c r="E376" s="9" t="s">
        <v>2388</v>
      </c>
      <c r="F376" s="10" t="s">
        <v>2961</v>
      </c>
      <c r="G376" s="9" t="s">
        <v>2410</v>
      </c>
      <c r="H376" s="48" t="s">
        <v>2571</v>
      </c>
      <c r="I376" s="49" t="s">
        <v>2412</v>
      </c>
      <c r="J376" s="49" t="s">
        <v>2412</v>
      </c>
      <c r="K376" s="16">
        <v>1</v>
      </c>
      <c r="L376" s="3" t="s">
        <v>2556</v>
      </c>
      <c r="M376" s="17" t="e">
        <f>INDEX(Validade!H:H,MATCH('Controle de Validade'!A376,Validade!C:C,0))</f>
        <v>#N/A</v>
      </c>
      <c r="N376" s="18" t="s">
        <v>2573</v>
      </c>
    </row>
    <row r="377" spans="1:14" ht="15" hidden="1" x14ac:dyDescent="0.2">
      <c r="A377" s="8" t="s">
        <v>912</v>
      </c>
      <c r="B377" s="8" t="s">
        <v>2581</v>
      </c>
      <c r="C377" s="8" t="s">
        <v>913</v>
      </c>
      <c r="D377" s="9" t="s">
        <v>903</v>
      </c>
      <c r="E377" s="9" t="s">
        <v>2393</v>
      </c>
      <c r="F377" s="10" t="s">
        <v>2392</v>
      </c>
      <c r="G377" s="9" t="s">
        <v>2403</v>
      </c>
      <c r="H377" s="16" t="s">
        <v>2571</v>
      </c>
      <c r="I377" s="25" t="s">
        <v>2412</v>
      </c>
      <c r="J377" s="25" t="s">
        <v>2412</v>
      </c>
      <c r="K377" s="16">
        <v>0</v>
      </c>
      <c r="L377" s="15" t="s">
        <v>2556</v>
      </c>
      <c r="M377" s="17">
        <f>INDEX(Validade!H:H,MATCH('Controle de Validade'!A377,Validade!C:C,0))</f>
        <v>0</v>
      </c>
      <c r="N377" s="18"/>
    </row>
    <row r="378" spans="1:14" ht="15" hidden="1" x14ac:dyDescent="0.2">
      <c r="A378" s="8" t="s">
        <v>2286</v>
      </c>
      <c r="B378" s="8" t="s">
        <v>2579</v>
      </c>
      <c r="C378" s="8" t="s">
        <v>2692</v>
      </c>
      <c r="D378" s="9" t="s">
        <v>998</v>
      </c>
      <c r="E378" s="9" t="s">
        <v>2388</v>
      </c>
      <c r="F378" s="10" t="s">
        <v>2961</v>
      </c>
      <c r="G378" s="9" t="s">
        <v>2446</v>
      </c>
      <c r="H378" s="16" t="s">
        <v>2571</v>
      </c>
      <c r="I378" s="25" t="s">
        <v>2412</v>
      </c>
      <c r="J378" s="25" t="s">
        <v>2412</v>
      </c>
      <c r="K378" s="16">
        <v>1</v>
      </c>
      <c r="L378" s="3" t="s">
        <v>2558</v>
      </c>
      <c r="M378" s="17" t="e">
        <f>INDEX(Validade!H:H,MATCH('Controle de Validade'!A378,Validade!C:C,0))</f>
        <v>#N/A</v>
      </c>
      <c r="N378" s="18" t="s">
        <v>2576</v>
      </c>
    </row>
    <row r="379" spans="1:14" ht="15" hidden="1" x14ac:dyDescent="0.2">
      <c r="A379" s="8" t="s">
        <v>2284</v>
      </c>
      <c r="B379" s="8" t="s">
        <v>2579</v>
      </c>
      <c r="C379" s="8" t="s">
        <v>2693</v>
      </c>
      <c r="D379" s="9" t="s">
        <v>998</v>
      </c>
      <c r="E379" s="9" t="s">
        <v>2388</v>
      </c>
      <c r="F379" s="10" t="s">
        <v>2961</v>
      </c>
      <c r="G379" s="9" t="s">
        <v>2446</v>
      </c>
      <c r="H379" s="16" t="s">
        <v>2571</v>
      </c>
      <c r="I379" s="25" t="s">
        <v>2412</v>
      </c>
      <c r="J379" s="25" t="s">
        <v>2412</v>
      </c>
      <c r="K379" s="16">
        <v>1</v>
      </c>
      <c r="L379" s="3" t="s">
        <v>2558</v>
      </c>
      <c r="M379" s="17" t="e">
        <f>INDEX(Validade!H:H,MATCH('Controle de Validade'!A379,Validade!C:C,0))</f>
        <v>#N/A</v>
      </c>
      <c r="N379" s="18" t="s">
        <v>2576</v>
      </c>
    </row>
    <row r="380" spans="1:14" ht="15" hidden="1" x14ac:dyDescent="0.2">
      <c r="A380" s="8" t="s">
        <v>2047</v>
      </c>
      <c r="B380" s="8" t="s">
        <v>2694</v>
      </c>
      <c r="C380" s="8" t="s">
        <v>2695</v>
      </c>
      <c r="D380" s="9" t="s">
        <v>714</v>
      </c>
      <c r="E380" s="9" t="s">
        <v>2388</v>
      </c>
      <c r="F380" s="10" t="s">
        <v>2961</v>
      </c>
      <c r="G380" s="9" t="s">
        <v>2442</v>
      </c>
      <c r="H380" s="16" t="s">
        <v>2570</v>
      </c>
      <c r="I380" s="40" t="s">
        <v>3187</v>
      </c>
      <c r="J380" s="26" t="s">
        <v>2999</v>
      </c>
      <c r="K380" s="16">
        <v>0</v>
      </c>
      <c r="L380" s="3" t="s">
        <v>2558</v>
      </c>
      <c r="M380" s="17" t="e">
        <f>INDEX(Validade!H:H,MATCH('Controle de Validade'!A380,Validade!C:C,0))</f>
        <v>#N/A</v>
      </c>
      <c r="N380" s="24" t="s">
        <v>2945</v>
      </c>
    </row>
    <row r="381" spans="1:14" ht="15" hidden="1" x14ac:dyDescent="0.2">
      <c r="A381" s="11" t="s">
        <v>2044</v>
      </c>
      <c r="B381" s="8" t="s">
        <v>2579</v>
      </c>
      <c r="C381" s="8" t="s">
        <v>2696</v>
      </c>
      <c r="D381" s="9" t="s">
        <v>2546</v>
      </c>
      <c r="E381" s="9" t="s">
        <v>2388</v>
      </c>
      <c r="F381" s="10" t="s">
        <v>2961</v>
      </c>
      <c r="G381" s="9" t="s">
        <v>2446</v>
      </c>
      <c r="H381" s="16" t="s">
        <v>2571</v>
      </c>
      <c r="I381" s="25" t="s">
        <v>2412</v>
      </c>
      <c r="J381" s="25" t="s">
        <v>2412</v>
      </c>
      <c r="K381" s="16">
        <v>0</v>
      </c>
      <c r="L381" s="3" t="s">
        <v>2558</v>
      </c>
      <c r="M381" s="17" t="e">
        <f>INDEX(Validade!H:H,MATCH('Controle de Validade'!A381,Validade!C:C,0))</f>
        <v>#N/A</v>
      </c>
      <c r="N381" s="18"/>
    </row>
    <row r="382" spans="1:14" ht="15" hidden="1" x14ac:dyDescent="0.2">
      <c r="A382" s="8" t="s">
        <v>2015</v>
      </c>
      <c r="B382" s="8" t="s">
        <v>2579</v>
      </c>
      <c r="C382" s="8" t="s">
        <v>2697</v>
      </c>
      <c r="D382" s="9" t="s">
        <v>2478</v>
      </c>
      <c r="E382" s="9" t="s">
        <v>2388</v>
      </c>
      <c r="F382" s="10" t="s">
        <v>2387</v>
      </c>
      <c r="G382" s="9" t="s">
        <v>2431</v>
      </c>
      <c r="H382" s="16" t="s">
        <v>2571</v>
      </c>
      <c r="I382" s="25" t="s">
        <v>2412</v>
      </c>
      <c r="J382" s="25" t="s">
        <v>2412</v>
      </c>
      <c r="K382" s="16">
        <v>0</v>
      </c>
      <c r="L382" s="3" t="s">
        <v>2558</v>
      </c>
      <c r="M382" s="17" t="e">
        <f>INDEX(Validade!H:H,MATCH('Controle de Validade'!A382,Validade!C:C,0))</f>
        <v>#N/A</v>
      </c>
      <c r="N382" s="18"/>
    </row>
    <row r="383" spans="1:14" ht="15" hidden="1" x14ac:dyDescent="0.2">
      <c r="A383" s="8" t="s">
        <v>1996</v>
      </c>
      <c r="B383" s="8" t="s">
        <v>2579</v>
      </c>
      <c r="C383" s="8" t="s">
        <v>2698</v>
      </c>
      <c r="D383" s="9" t="s">
        <v>998</v>
      </c>
      <c r="E383" s="9" t="s">
        <v>2388</v>
      </c>
      <c r="F383" s="10" t="s">
        <v>2961</v>
      </c>
      <c r="G383" s="9" t="s">
        <v>2431</v>
      </c>
      <c r="H383" s="16" t="s">
        <v>2571</v>
      </c>
      <c r="I383" s="25" t="s">
        <v>2412</v>
      </c>
      <c r="J383" s="25" t="s">
        <v>2412</v>
      </c>
      <c r="K383" s="16">
        <v>0</v>
      </c>
      <c r="L383" s="3" t="s">
        <v>2558</v>
      </c>
      <c r="M383" s="17" t="e">
        <f>INDEX(Validade!H:H,MATCH('Controle de Validade'!A383,Validade!C:C,0))</f>
        <v>#N/A</v>
      </c>
      <c r="N383" s="18"/>
    </row>
    <row r="384" spans="1:14" ht="15" hidden="1" x14ac:dyDescent="0.2">
      <c r="A384" s="8" t="s">
        <v>2371</v>
      </c>
      <c r="B384" s="8" t="s">
        <v>2579</v>
      </c>
      <c r="C384" s="8" t="s">
        <v>2699</v>
      </c>
      <c r="D384" s="9" t="s">
        <v>2468</v>
      </c>
      <c r="E384" s="9" t="s">
        <v>2388</v>
      </c>
      <c r="F384" s="10" t="s">
        <v>2387</v>
      </c>
      <c r="G384" s="9" t="s">
        <v>2431</v>
      </c>
      <c r="H384" s="16" t="s">
        <v>2571</v>
      </c>
      <c r="I384" s="25" t="s">
        <v>2412</v>
      </c>
      <c r="J384" s="25" t="s">
        <v>2412</v>
      </c>
      <c r="K384" s="16">
        <v>1</v>
      </c>
      <c r="L384" s="3" t="s">
        <v>2558</v>
      </c>
      <c r="M384" s="17" t="e">
        <f>INDEX(Validade!H:H,MATCH('Controle de Validade'!A384,Validade!C:C,0))</f>
        <v>#N/A</v>
      </c>
      <c r="N384" s="18" t="s">
        <v>2576</v>
      </c>
    </row>
    <row r="385" spans="1:14" ht="15" hidden="1" x14ac:dyDescent="0.2">
      <c r="A385" s="8" t="s">
        <v>1685</v>
      </c>
      <c r="B385" s="8" t="s">
        <v>2579</v>
      </c>
      <c r="C385" s="8" t="s">
        <v>1686</v>
      </c>
      <c r="D385" s="9" t="s">
        <v>41</v>
      </c>
      <c r="E385" s="9" t="s">
        <v>2388</v>
      </c>
      <c r="F385" s="10" t="s">
        <v>2961</v>
      </c>
      <c r="G385" s="9" t="s">
        <v>2429</v>
      </c>
      <c r="H385" s="16" t="s">
        <v>2570</v>
      </c>
      <c r="I385" s="32" t="s">
        <v>2993</v>
      </c>
      <c r="J385" s="26" t="s">
        <v>2994</v>
      </c>
      <c r="K385" s="16">
        <v>1</v>
      </c>
      <c r="L385" s="3" t="s">
        <v>2556</v>
      </c>
      <c r="M385" s="17">
        <f>INDEX(Validade!H:H,MATCH('Controle de Validade'!A385,Validade!C:C,0))</f>
        <v>45702</v>
      </c>
      <c r="N385" s="18"/>
    </row>
    <row r="386" spans="1:14" ht="15" hidden="1" x14ac:dyDescent="0.2">
      <c r="A386" s="8" t="s">
        <v>33</v>
      </c>
      <c r="B386" s="8" t="s">
        <v>2579</v>
      </c>
      <c r="C386" s="8" t="s">
        <v>34</v>
      </c>
      <c r="D386" s="9" t="s">
        <v>15</v>
      </c>
      <c r="E386" s="9" t="s">
        <v>2388</v>
      </c>
      <c r="F386" s="10" t="s">
        <v>2387</v>
      </c>
      <c r="G386" s="9" t="s">
        <v>2479</v>
      </c>
      <c r="H386" s="16" t="s">
        <v>2571</v>
      </c>
      <c r="I386" s="25" t="s">
        <v>2412</v>
      </c>
      <c r="J386" s="25" t="s">
        <v>2412</v>
      </c>
      <c r="K386" s="16">
        <v>0</v>
      </c>
      <c r="L386" s="15" t="s">
        <v>2556</v>
      </c>
      <c r="M386" s="17">
        <f>INDEX(Validade!H:H,MATCH('Controle de Validade'!A386,Validade!C:C,0))</f>
        <v>62458</v>
      </c>
      <c r="N386" s="18"/>
    </row>
    <row r="387" spans="1:14" ht="15" hidden="1" x14ac:dyDescent="0.2">
      <c r="A387" s="8" t="s">
        <v>1210</v>
      </c>
      <c r="B387" s="8" t="s">
        <v>2580</v>
      </c>
      <c r="C387" s="8" t="s">
        <v>1211</v>
      </c>
      <c r="D387" s="9" t="s">
        <v>963</v>
      </c>
      <c r="E387" s="9" t="s">
        <v>2393</v>
      </c>
      <c r="F387" s="10" t="s">
        <v>2392</v>
      </c>
      <c r="G387" s="9" t="s">
        <v>2397</v>
      </c>
      <c r="H387" s="16" t="s">
        <v>2571</v>
      </c>
      <c r="I387" s="25" t="s">
        <v>2412</v>
      </c>
      <c r="J387" s="25" t="s">
        <v>2412</v>
      </c>
      <c r="K387" s="16">
        <v>0</v>
      </c>
      <c r="L387" s="3" t="s">
        <v>2556</v>
      </c>
      <c r="M387" s="17">
        <f>INDEX(Validade!H:H,MATCH('Controle de Validade'!A387,Validade!C:C,0))</f>
        <v>0</v>
      </c>
      <c r="N387" s="18"/>
    </row>
    <row r="388" spans="1:14" ht="15" hidden="1" x14ac:dyDescent="0.2">
      <c r="A388" s="8" t="s">
        <v>696</v>
      </c>
      <c r="B388" s="8" t="s">
        <v>2579</v>
      </c>
      <c r="C388" s="8" t="s">
        <v>697</v>
      </c>
      <c r="D388" s="9" t="s">
        <v>15</v>
      </c>
      <c r="E388" s="9" t="s">
        <v>2388</v>
      </c>
      <c r="F388" s="10" t="s">
        <v>2387</v>
      </c>
      <c r="G388" s="9" t="s">
        <v>2479</v>
      </c>
      <c r="H388" s="16" t="s">
        <v>2571</v>
      </c>
      <c r="I388" s="25" t="s">
        <v>2412</v>
      </c>
      <c r="J388" s="25" t="s">
        <v>2412</v>
      </c>
      <c r="K388" s="16">
        <v>0</v>
      </c>
      <c r="L388" s="3" t="s">
        <v>2556</v>
      </c>
      <c r="M388" s="17">
        <f>INDEX(Validade!H:H,MATCH('Controle de Validade'!A388,Validade!C:C,0))</f>
        <v>62458</v>
      </c>
      <c r="N388" s="18"/>
    </row>
    <row r="389" spans="1:14" ht="15" hidden="1" x14ac:dyDescent="0.2">
      <c r="A389" s="8" t="s">
        <v>693</v>
      </c>
      <c r="B389" s="8" t="s">
        <v>2579</v>
      </c>
      <c r="C389" s="8" t="s">
        <v>694</v>
      </c>
      <c r="D389" s="9" t="s">
        <v>15</v>
      </c>
      <c r="E389" s="9" t="s">
        <v>2388</v>
      </c>
      <c r="F389" s="10" t="s">
        <v>2387</v>
      </c>
      <c r="G389" s="9" t="s">
        <v>2479</v>
      </c>
      <c r="H389" s="16" t="s">
        <v>2571</v>
      </c>
      <c r="I389" s="25" t="s">
        <v>2412</v>
      </c>
      <c r="J389" s="25" t="s">
        <v>2412</v>
      </c>
      <c r="K389" s="16">
        <v>0</v>
      </c>
      <c r="L389" s="3" t="s">
        <v>2556</v>
      </c>
      <c r="M389" s="17">
        <f>INDEX(Validade!H:H,MATCH('Controle de Validade'!A389,Validade!C:C,0))</f>
        <v>62458</v>
      </c>
      <c r="N389" s="18"/>
    </row>
    <row r="390" spans="1:14" ht="15" hidden="1" x14ac:dyDescent="0.2">
      <c r="A390" s="8" t="s">
        <v>672</v>
      </c>
      <c r="B390" s="8" t="s">
        <v>2579</v>
      </c>
      <c r="C390" s="8" t="s">
        <v>673</v>
      </c>
      <c r="D390" s="9" t="s">
        <v>3238</v>
      </c>
      <c r="E390" s="9" t="s">
        <v>2388</v>
      </c>
      <c r="F390" s="10" t="s">
        <v>2387</v>
      </c>
      <c r="G390" s="9" t="s">
        <v>2479</v>
      </c>
      <c r="H390" s="16" t="s">
        <v>2571</v>
      </c>
      <c r="I390" s="25" t="s">
        <v>2412</v>
      </c>
      <c r="J390" s="25" t="s">
        <v>2412</v>
      </c>
      <c r="K390" s="16">
        <v>0</v>
      </c>
      <c r="L390" s="3" t="s">
        <v>2556</v>
      </c>
      <c r="M390" s="17">
        <f>INDEX(Validade!H:H,MATCH('Controle de Validade'!A390,Validade!C:C,0))</f>
        <v>62458</v>
      </c>
      <c r="N390" s="18"/>
    </row>
    <row r="391" spans="1:14" ht="15" hidden="1" x14ac:dyDescent="0.2">
      <c r="A391" s="8" t="s">
        <v>663</v>
      </c>
      <c r="B391" s="8" t="s">
        <v>2579</v>
      </c>
      <c r="C391" s="8" t="s">
        <v>664</v>
      </c>
      <c r="D391" s="9" t="s">
        <v>15</v>
      </c>
      <c r="E391" s="9" t="s">
        <v>2388</v>
      </c>
      <c r="F391" s="10" t="s">
        <v>2387</v>
      </c>
      <c r="G391" s="9" t="s">
        <v>2479</v>
      </c>
      <c r="H391" s="16" t="s">
        <v>2571</v>
      </c>
      <c r="I391" s="25" t="s">
        <v>2412</v>
      </c>
      <c r="J391" s="25" t="s">
        <v>2412</v>
      </c>
      <c r="K391" s="16">
        <v>0</v>
      </c>
      <c r="L391" s="3" t="s">
        <v>2556</v>
      </c>
      <c r="M391" s="17">
        <f>INDEX(Validade!H:H,MATCH('Controle de Validade'!A391,Validade!C:C,0))</f>
        <v>62458</v>
      </c>
      <c r="N391" s="18"/>
    </row>
    <row r="392" spans="1:14" ht="15" hidden="1" x14ac:dyDescent="0.2">
      <c r="A392" s="8" t="s">
        <v>660</v>
      </c>
      <c r="B392" s="8" t="s">
        <v>2579</v>
      </c>
      <c r="C392" s="8" t="s">
        <v>661</v>
      </c>
      <c r="D392" s="9" t="s">
        <v>15</v>
      </c>
      <c r="E392" s="9" t="s">
        <v>2388</v>
      </c>
      <c r="F392" s="10" t="s">
        <v>2387</v>
      </c>
      <c r="G392" s="9" t="s">
        <v>2479</v>
      </c>
      <c r="H392" s="16" t="s">
        <v>2571</v>
      </c>
      <c r="I392" s="25" t="s">
        <v>2412</v>
      </c>
      <c r="J392" s="25" t="s">
        <v>2412</v>
      </c>
      <c r="K392" s="16">
        <v>0</v>
      </c>
      <c r="L392" s="3" t="s">
        <v>2556</v>
      </c>
      <c r="M392" s="17">
        <f>INDEX(Validade!H:H,MATCH('Controle de Validade'!A392,Validade!C:C,0))</f>
        <v>62458</v>
      </c>
      <c r="N392" s="18"/>
    </row>
    <row r="393" spans="1:14" ht="15" hidden="1" x14ac:dyDescent="0.2">
      <c r="A393" s="8" t="s">
        <v>651</v>
      </c>
      <c r="B393" s="8" t="s">
        <v>2579</v>
      </c>
      <c r="C393" s="8" t="s">
        <v>652</v>
      </c>
      <c r="D393" s="9" t="s">
        <v>15</v>
      </c>
      <c r="E393" s="9" t="s">
        <v>2388</v>
      </c>
      <c r="F393" s="10" t="s">
        <v>2387</v>
      </c>
      <c r="G393" s="9" t="s">
        <v>2479</v>
      </c>
      <c r="H393" s="16" t="s">
        <v>2571</v>
      </c>
      <c r="I393" s="25" t="s">
        <v>2412</v>
      </c>
      <c r="J393" s="25" t="s">
        <v>2412</v>
      </c>
      <c r="K393" s="16">
        <v>0</v>
      </c>
      <c r="L393" s="3" t="s">
        <v>2556</v>
      </c>
      <c r="M393" s="17">
        <f>INDEX(Validade!H:H,MATCH('Controle de Validade'!A393,Validade!C:C,0))</f>
        <v>62458</v>
      </c>
      <c r="N393" s="18"/>
    </row>
    <row r="394" spans="1:14" ht="15" hidden="1" x14ac:dyDescent="0.2">
      <c r="A394" s="8" t="s">
        <v>1629</v>
      </c>
      <c r="B394" s="8" t="s">
        <v>2579</v>
      </c>
      <c r="C394" s="8" t="s">
        <v>1630</v>
      </c>
      <c r="D394" s="9" t="s">
        <v>1030</v>
      </c>
      <c r="E394" s="9" t="s">
        <v>2388</v>
      </c>
      <c r="F394" s="10" t="s">
        <v>2961</v>
      </c>
      <c r="G394" s="9" t="s">
        <v>2414</v>
      </c>
      <c r="H394" s="16" t="s">
        <v>2570</v>
      </c>
      <c r="I394" s="32" t="s">
        <v>2993</v>
      </c>
      <c r="J394" s="26" t="s">
        <v>2962</v>
      </c>
      <c r="K394" s="16">
        <v>1</v>
      </c>
      <c r="L394" s="3" t="s">
        <v>2556</v>
      </c>
      <c r="M394" s="17">
        <f>INDEX(Validade!H:H,MATCH('Controle de Validade'!A394,Validade!C:C,0))</f>
        <v>45923</v>
      </c>
      <c r="N394" s="18"/>
    </row>
    <row r="395" spans="1:14" ht="15" hidden="1" x14ac:dyDescent="0.2">
      <c r="A395" s="8" t="s">
        <v>1627</v>
      </c>
      <c r="B395" s="8" t="s">
        <v>2579</v>
      </c>
      <c r="C395" s="8" t="s">
        <v>1628</v>
      </c>
      <c r="D395" s="9" t="s">
        <v>1030</v>
      </c>
      <c r="E395" s="9" t="s">
        <v>2388</v>
      </c>
      <c r="F395" s="10" t="s">
        <v>2961</v>
      </c>
      <c r="G395" s="9" t="s">
        <v>2414</v>
      </c>
      <c r="H395" s="16" t="s">
        <v>2570</v>
      </c>
      <c r="I395" s="32" t="s">
        <v>2993</v>
      </c>
      <c r="J395" s="26" t="s">
        <v>2962</v>
      </c>
      <c r="K395" s="16">
        <v>1</v>
      </c>
      <c r="L395" s="3" t="s">
        <v>2556</v>
      </c>
      <c r="M395" s="17">
        <f>INDEX(Validade!H:H,MATCH('Controle de Validade'!A395,Validade!C:C,0))</f>
        <v>45957</v>
      </c>
      <c r="N395" s="18"/>
    </row>
    <row r="396" spans="1:14" ht="15" hidden="1" x14ac:dyDescent="0.2">
      <c r="A396" s="8" t="s">
        <v>2212</v>
      </c>
      <c r="B396" s="8" t="s">
        <v>2579</v>
      </c>
      <c r="C396" s="8" t="s">
        <v>2700</v>
      </c>
      <c r="D396" s="9" t="s">
        <v>1030</v>
      </c>
      <c r="E396" s="9" t="s">
        <v>2388</v>
      </c>
      <c r="F396" s="10" t="s">
        <v>2961</v>
      </c>
      <c r="G396" s="9" t="s">
        <v>2414</v>
      </c>
      <c r="H396" s="16" t="s">
        <v>2570</v>
      </c>
      <c r="I396" s="32" t="s">
        <v>2993</v>
      </c>
      <c r="J396" s="26" t="s">
        <v>2962</v>
      </c>
      <c r="K396" s="16">
        <v>1</v>
      </c>
      <c r="L396" s="3" t="s">
        <v>2556</v>
      </c>
      <c r="M396" s="17" t="e">
        <f>INDEX(Validade!H:H,MATCH('Controle de Validade'!A396,Validade!C:C,0))</f>
        <v>#N/A</v>
      </c>
      <c r="N396" s="18"/>
    </row>
    <row r="397" spans="1:14" ht="15" hidden="1" x14ac:dyDescent="0.2">
      <c r="A397" s="8" t="s">
        <v>1625</v>
      </c>
      <c r="B397" s="8" t="s">
        <v>2579</v>
      </c>
      <c r="C397" s="8" t="s">
        <v>1626</v>
      </c>
      <c r="D397" s="9" t="s">
        <v>1030</v>
      </c>
      <c r="E397" s="9" t="s">
        <v>2388</v>
      </c>
      <c r="F397" s="10" t="s">
        <v>2961</v>
      </c>
      <c r="G397" s="9" t="s">
        <v>2414</v>
      </c>
      <c r="H397" s="16" t="s">
        <v>2570</v>
      </c>
      <c r="I397" s="32" t="s">
        <v>2993</v>
      </c>
      <c r="J397" s="26" t="s">
        <v>2962</v>
      </c>
      <c r="K397" s="16">
        <v>1</v>
      </c>
      <c r="L397" s="3" t="s">
        <v>2556</v>
      </c>
      <c r="M397" s="17">
        <f>INDEX(Validade!H:H,MATCH('Controle de Validade'!A397,Validade!C:C,0))</f>
        <v>45923</v>
      </c>
      <c r="N397" s="18"/>
    </row>
    <row r="398" spans="1:14" ht="15" hidden="1" x14ac:dyDescent="0.2">
      <c r="A398" s="8" t="s">
        <v>1623</v>
      </c>
      <c r="B398" s="8" t="s">
        <v>2579</v>
      </c>
      <c r="C398" s="8" t="s">
        <v>1624</v>
      </c>
      <c r="D398" s="9" t="s">
        <v>1030</v>
      </c>
      <c r="E398" s="9" t="s">
        <v>2388</v>
      </c>
      <c r="F398" s="10" t="s">
        <v>2961</v>
      </c>
      <c r="G398" s="9" t="s">
        <v>2414</v>
      </c>
      <c r="H398" s="16" t="s">
        <v>2570</v>
      </c>
      <c r="I398" s="32" t="s">
        <v>2993</v>
      </c>
      <c r="J398" s="26" t="s">
        <v>2962</v>
      </c>
      <c r="K398" s="16">
        <v>1</v>
      </c>
      <c r="L398" s="3" t="s">
        <v>2556</v>
      </c>
      <c r="M398" s="17">
        <f>INDEX(Validade!H:H,MATCH('Controle de Validade'!A398,Validade!C:C,0))</f>
        <v>45743</v>
      </c>
      <c r="N398" s="18"/>
    </row>
    <row r="399" spans="1:14" ht="15" hidden="1" x14ac:dyDescent="0.2">
      <c r="A399" s="8" t="s">
        <v>1338</v>
      </c>
      <c r="B399" s="8" t="s">
        <v>2580</v>
      </c>
      <c r="C399" s="8" t="s">
        <v>1339</v>
      </c>
      <c r="D399" s="9" t="s">
        <v>1141</v>
      </c>
      <c r="E399" s="9" t="s">
        <v>2388</v>
      </c>
      <c r="F399" s="10" t="s">
        <v>2961</v>
      </c>
      <c r="G399" s="9" t="s">
        <v>2414</v>
      </c>
      <c r="H399" s="48" t="s">
        <v>2571</v>
      </c>
      <c r="I399" s="49" t="s">
        <v>2412</v>
      </c>
      <c r="J399" s="49" t="s">
        <v>2412</v>
      </c>
      <c r="K399" s="16">
        <v>1</v>
      </c>
      <c r="L399" s="3" t="s">
        <v>2556</v>
      </c>
      <c r="M399" s="17">
        <f>INDEX(Validade!H:H,MATCH('Controle de Validade'!A399,Validade!C:C,0))</f>
        <v>62458</v>
      </c>
      <c r="N399" s="18" t="s">
        <v>2573</v>
      </c>
    </row>
    <row r="400" spans="1:14" ht="15" hidden="1" x14ac:dyDescent="0.2">
      <c r="A400" s="8" t="s">
        <v>1297</v>
      </c>
      <c r="B400" s="8" t="s">
        <v>2580</v>
      </c>
      <c r="C400" s="8" t="s">
        <v>1298</v>
      </c>
      <c r="D400" s="9" t="s">
        <v>903</v>
      </c>
      <c r="E400" s="9" t="s">
        <v>2393</v>
      </c>
      <c r="F400" s="10" t="s">
        <v>2392</v>
      </c>
      <c r="G400" s="9" t="s">
        <v>2403</v>
      </c>
      <c r="H400" s="16" t="s">
        <v>2571</v>
      </c>
      <c r="I400" s="25" t="s">
        <v>2412</v>
      </c>
      <c r="J400" s="25" t="s">
        <v>2412</v>
      </c>
      <c r="K400" s="16">
        <v>0</v>
      </c>
      <c r="L400" s="3" t="s">
        <v>2556</v>
      </c>
      <c r="M400" s="17">
        <f>INDEX(Validade!H:H,MATCH('Controle de Validade'!A400,Validade!C:C,0))</f>
        <v>0</v>
      </c>
      <c r="N400" s="18"/>
    </row>
    <row r="401" spans="1:14" ht="15" hidden="1" x14ac:dyDescent="0.2">
      <c r="A401" s="8" t="s">
        <v>1738</v>
      </c>
      <c r="B401" s="8" t="s">
        <v>2579</v>
      </c>
      <c r="C401" s="8" t="s">
        <v>1739</v>
      </c>
      <c r="D401" s="9" t="s">
        <v>998</v>
      </c>
      <c r="E401" s="9" t="s">
        <v>2388</v>
      </c>
      <c r="F401" s="10" t="s">
        <v>2961</v>
      </c>
      <c r="G401" s="9" t="s">
        <v>2431</v>
      </c>
      <c r="H401" s="16" t="s">
        <v>2571</v>
      </c>
      <c r="I401" s="25" t="s">
        <v>2412</v>
      </c>
      <c r="J401" s="25" t="s">
        <v>2412</v>
      </c>
      <c r="K401" s="16">
        <v>0</v>
      </c>
      <c r="L401" s="3" t="s">
        <v>2556</v>
      </c>
      <c r="M401" s="17">
        <f>INDEX(Validade!H:H,MATCH('Controle de Validade'!A401,Validade!C:C,0))</f>
        <v>0</v>
      </c>
      <c r="N401" s="18"/>
    </row>
    <row r="402" spans="1:14" ht="15" hidden="1" x14ac:dyDescent="0.2">
      <c r="A402" s="8" t="s">
        <v>1732</v>
      </c>
      <c r="B402" s="8" t="s">
        <v>2687</v>
      </c>
      <c r="C402" s="8" t="s">
        <v>1733</v>
      </c>
      <c r="D402" s="9" t="s">
        <v>714</v>
      </c>
      <c r="E402" s="9" t="s">
        <v>2388</v>
      </c>
      <c r="F402" s="10" t="s">
        <v>2961</v>
      </c>
      <c r="G402" s="9" t="s">
        <v>2441</v>
      </c>
      <c r="H402" s="16" t="s">
        <v>2570</v>
      </c>
      <c r="I402" s="38" t="s">
        <v>3186</v>
      </c>
      <c r="J402" s="26" t="s">
        <v>2999</v>
      </c>
      <c r="K402" s="16">
        <v>1</v>
      </c>
      <c r="L402" s="3" t="s">
        <v>2556</v>
      </c>
      <c r="M402" s="17">
        <f>INDEX(Validade!H:H,MATCH('Controle de Validade'!A402,Validade!C:C,0))</f>
        <v>46325</v>
      </c>
      <c r="N402" s="18"/>
    </row>
    <row r="403" spans="1:14" ht="15" hidden="1" x14ac:dyDescent="0.2">
      <c r="A403" s="8" t="s">
        <v>2067</v>
      </c>
      <c r="B403" s="8" t="s">
        <v>2579</v>
      </c>
      <c r="C403" s="8" t="s">
        <v>2701</v>
      </c>
      <c r="D403" s="9" t="s">
        <v>1030</v>
      </c>
      <c r="E403" s="9" t="s">
        <v>2388</v>
      </c>
      <c r="F403" s="10" t="s">
        <v>2961</v>
      </c>
      <c r="G403" s="9" t="s">
        <v>2414</v>
      </c>
      <c r="H403" s="16" t="s">
        <v>2570</v>
      </c>
      <c r="I403" s="32" t="s">
        <v>2993</v>
      </c>
      <c r="J403" s="26" t="s">
        <v>2962</v>
      </c>
      <c r="K403" s="16">
        <v>1</v>
      </c>
      <c r="L403" s="3" t="s">
        <v>2556</v>
      </c>
      <c r="M403" s="17" t="e">
        <f>INDEX(Validade!H:H,MATCH('Controle de Validade'!A403,Validade!C:C,0))</f>
        <v>#N/A</v>
      </c>
      <c r="N403" s="24" t="s">
        <v>2945</v>
      </c>
    </row>
    <row r="404" spans="1:14" ht="15" hidden="1" x14ac:dyDescent="0.2">
      <c r="A404" s="8" t="s">
        <v>725</v>
      </c>
      <c r="B404" s="8" t="s">
        <v>2579</v>
      </c>
      <c r="C404" s="8" t="s">
        <v>726</v>
      </c>
      <c r="D404" s="9" t="s">
        <v>714</v>
      </c>
      <c r="E404" s="9" t="s">
        <v>2388</v>
      </c>
      <c r="F404" s="10" t="s">
        <v>2961</v>
      </c>
      <c r="G404" s="9" t="s">
        <v>2431</v>
      </c>
      <c r="H404" s="16" t="s">
        <v>2570</v>
      </c>
      <c r="I404" s="38" t="s">
        <v>2996</v>
      </c>
      <c r="J404" s="26" t="s">
        <v>2999</v>
      </c>
      <c r="K404" s="16">
        <v>1</v>
      </c>
      <c r="L404" s="3" t="s">
        <v>2556</v>
      </c>
      <c r="M404" s="17">
        <f>INDEX(Validade!H:H,MATCH('Controle de Validade'!A404,Validade!C:C,0))</f>
        <v>46537</v>
      </c>
      <c r="N404" s="18"/>
    </row>
    <row r="405" spans="1:14" ht="15" hidden="1" x14ac:dyDescent="0.2">
      <c r="A405" s="8" t="s">
        <v>2095</v>
      </c>
      <c r="B405" s="8" t="s">
        <v>2579</v>
      </c>
      <c r="C405" s="8" t="s">
        <v>2702</v>
      </c>
      <c r="D405" s="9" t="s">
        <v>2499</v>
      </c>
      <c r="E405" s="9" t="s">
        <v>2388</v>
      </c>
      <c r="F405" s="10" t="s">
        <v>2392</v>
      </c>
      <c r="G405" s="9" t="s">
        <v>2463</v>
      </c>
      <c r="H405" s="16" t="s">
        <v>2571</v>
      </c>
      <c r="I405" s="25" t="s">
        <v>2412</v>
      </c>
      <c r="J405" s="25" t="s">
        <v>2412</v>
      </c>
      <c r="K405" s="16">
        <v>0</v>
      </c>
      <c r="L405" s="3" t="s">
        <v>2558</v>
      </c>
      <c r="M405" s="17" t="e">
        <f>INDEX(Validade!H:H,MATCH('Controle de Validade'!A405,Validade!C:C,0))</f>
        <v>#N/A</v>
      </c>
      <c r="N405" s="18"/>
    </row>
    <row r="406" spans="1:14" ht="15" hidden="1" x14ac:dyDescent="0.2">
      <c r="A406" s="8" t="s">
        <v>2272</v>
      </c>
      <c r="B406" s="8" t="s">
        <v>2579</v>
      </c>
      <c r="C406" s="8" t="s">
        <v>2703</v>
      </c>
      <c r="D406" s="9" t="s">
        <v>2499</v>
      </c>
      <c r="E406" s="9" t="s">
        <v>2388</v>
      </c>
      <c r="F406" s="10" t="s">
        <v>2392</v>
      </c>
      <c r="G406" s="9" t="s">
        <v>2463</v>
      </c>
      <c r="H406" s="16" t="s">
        <v>2571</v>
      </c>
      <c r="I406" s="25" t="s">
        <v>2412</v>
      </c>
      <c r="J406" s="25" t="s">
        <v>2412</v>
      </c>
      <c r="K406" s="16">
        <v>0</v>
      </c>
      <c r="L406" s="3" t="s">
        <v>2558</v>
      </c>
      <c r="M406" s="17" t="e">
        <f>INDEX(Validade!H:H,MATCH('Controle de Validade'!A406,Validade!C:C,0))</f>
        <v>#N/A</v>
      </c>
      <c r="N406" s="18"/>
    </row>
    <row r="407" spans="1:14" ht="15" hidden="1" x14ac:dyDescent="0.2">
      <c r="A407" s="8" t="s">
        <v>991</v>
      </c>
      <c r="B407" s="8" t="s">
        <v>2581</v>
      </c>
      <c r="C407" s="8" t="s">
        <v>992</v>
      </c>
      <c r="D407" s="9" t="s">
        <v>922</v>
      </c>
      <c r="E407" s="9" t="s">
        <v>2388</v>
      </c>
      <c r="F407" s="10" t="s">
        <v>2392</v>
      </c>
      <c r="G407" s="9" t="s">
        <v>2431</v>
      </c>
      <c r="H407" s="16" t="s">
        <v>2571</v>
      </c>
      <c r="I407" s="25" t="s">
        <v>2412</v>
      </c>
      <c r="J407" s="25" t="s">
        <v>2412</v>
      </c>
      <c r="K407" s="16">
        <v>1</v>
      </c>
      <c r="L407" s="3" t="s">
        <v>2556</v>
      </c>
      <c r="M407" s="17">
        <f>INDEX(Validade!H:H,MATCH('Controle de Validade'!A407,Validade!C:C,0))</f>
        <v>62458</v>
      </c>
      <c r="N407" s="18" t="s">
        <v>2576</v>
      </c>
    </row>
    <row r="408" spans="1:14" ht="15" hidden="1" x14ac:dyDescent="0.2">
      <c r="A408" s="8" t="s">
        <v>140</v>
      </c>
      <c r="B408" s="8" t="s">
        <v>2579</v>
      </c>
      <c r="C408" s="8" t="s">
        <v>141</v>
      </c>
      <c r="D408" s="9" t="s">
        <v>28</v>
      </c>
      <c r="E408" s="9" t="s">
        <v>2388</v>
      </c>
      <c r="F408" s="10" t="s">
        <v>2387</v>
      </c>
      <c r="G408" s="9" t="s">
        <v>2471</v>
      </c>
      <c r="H408" s="16" t="s">
        <v>2570</v>
      </c>
      <c r="I408" s="40" t="s">
        <v>3187</v>
      </c>
      <c r="J408" s="26" t="s">
        <v>2948</v>
      </c>
      <c r="K408" s="16">
        <v>1</v>
      </c>
      <c r="L408" s="3" t="s">
        <v>2556</v>
      </c>
      <c r="M408" s="17">
        <f>INDEX(Validade!H:H,MATCH('Controle de Validade'!A408,Validade!C:C,0))</f>
        <v>46988</v>
      </c>
      <c r="N408" s="18"/>
    </row>
    <row r="409" spans="1:14" ht="15" hidden="1" x14ac:dyDescent="0.2">
      <c r="A409" s="8" t="s">
        <v>984</v>
      </c>
      <c r="B409" s="8" t="s">
        <v>2579</v>
      </c>
      <c r="C409" s="8" t="s">
        <v>985</v>
      </c>
      <c r="D409" s="9" t="s">
        <v>41</v>
      </c>
      <c r="E409" s="9" t="s">
        <v>2388</v>
      </c>
      <c r="F409" s="10" t="s">
        <v>2961</v>
      </c>
      <c r="G409" s="9" t="s">
        <v>2429</v>
      </c>
      <c r="H409" s="16" t="s">
        <v>2570</v>
      </c>
      <c r="I409" s="32" t="s">
        <v>2993</v>
      </c>
      <c r="J409" s="26" t="s">
        <v>2994</v>
      </c>
      <c r="K409" s="16">
        <v>1</v>
      </c>
      <c r="L409" s="3" t="s">
        <v>2556</v>
      </c>
      <c r="M409" s="17">
        <f>INDEX(Validade!H:H,MATCH('Controle de Validade'!A409,Validade!C:C,0))</f>
        <v>45988</v>
      </c>
      <c r="N409" s="18"/>
    </row>
    <row r="410" spans="1:14" ht="15" hidden="1" x14ac:dyDescent="0.2">
      <c r="A410" s="8" t="s">
        <v>805</v>
      </c>
      <c r="B410" s="8" t="s">
        <v>2579</v>
      </c>
      <c r="C410" s="8" t="s">
        <v>806</v>
      </c>
      <c r="D410" s="9" t="s">
        <v>2475</v>
      </c>
      <c r="E410" s="9" t="s">
        <v>2476</v>
      </c>
      <c r="F410" s="10" t="s">
        <v>2387</v>
      </c>
      <c r="G410" s="9" t="s">
        <v>2456</v>
      </c>
      <c r="H410" s="20" t="s">
        <v>2571</v>
      </c>
      <c r="I410" s="25" t="s">
        <v>2412</v>
      </c>
      <c r="J410" s="25" t="s">
        <v>2412</v>
      </c>
      <c r="K410" s="16">
        <v>0</v>
      </c>
      <c r="L410" s="3" t="s">
        <v>2556</v>
      </c>
      <c r="M410" s="17">
        <f>INDEX(Validade!H:H,MATCH('Controle de Validade'!A410,Validade!C:C,0))</f>
        <v>0</v>
      </c>
      <c r="N410" s="18"/>
    </row>
    <row r="411" spans="1:14" ht="15" hidden="1" x14ac:dyDescent="0.2">
      <c r="A411" s="8" t="s">
        <v>799</v>
      </c>
      <c r="B411" s="8" t="s">
        <v>2579</v>
      </c>
      <c r="C411" s="8" t="s">
        <v>800</v>
      </c>
      <c r="D411" s="9" t="s">
        <v>2475</v>
      </c>
      <c r="E411" s="9" t="s">
        <v>2476</v>
      </c>
      <c r="F411" s="10" t="s">
        <v>2387</v>
      </c>
      <c r="G411" s="9" t="s">
        <v>2456</v>
      </c>
      <c r="H411" s="20" t="s">
        <v>2571</v>
      </c>
      <c r="I411" s="25" t="s">
        <v>2412</v>
      </c>
      <c r="J411" s="25" t="s">
        <v>2412</v>
      </c>
      <c r="K411" s="16">
        <v>0</v>
      </c>
      <c r="L411" s="3" t="s">
        <v>2556</v>
      </c>
      <c r="M411" s="17">
        <f>INDEX(Validade!H:H,MATCH('Controle de Validade'!A411,Validade!C:C,0))</f>
        <v>0</v>
      </c>
      <c r="N411" s="18"/>
    </row>
    <row r="412" spans="1:14" ht="15" hidden="1" x14ac:dyDescent="0.2">
      <c r="A412" s="8" t="s">
        <v>900</v>
      </c>
      <c r="B412" s="8" t="s">
        <v>2581</v>
      </c>
      <c r="C412" s="8" t="s">
        <v>901</v>
      </c>
      <c r="D412" s="9" t="s">
        <v>903</v>
      </c>
      <c r="E412" s="9" t="s">
        <v>2393</v>
      </c>
      <c r="F412" s="10" t="s">
        <v>2392</v>
      </c>
      <c r="G412" s="9" t="s">
        <v>2403</v>
      </c>
      <c r="H412" s="16" t="s">
        <v>2571</v>
      </c>
      <c r="I412" s="25" t="s">
        <v>2412</v>
      </c>
      <c r="J412" s="25" t="s">
        <v>2412</v>
      </c>
      <c r="K412" s="16">
        <v>0</v>
      </c>
      <c r="L412" s="3" t="s">
        <v>2556</v>
      </c>
      <c r="M412" s="17">
        <f>INDEX(Validade!H:H,MATCH('Controle de Validade'!A412,Validade!C:C,0))</f>
        <v>0</v>
      </c>
      <c r="N412" s="18"/>
    </row>
    <row r="413" spans="1:14" ht="15" hidden="1" x14ac:dyDescent="0.2">
      <c r="A413" s="8" t="s">
        <v>907</v>
      </c>
      <c r="B413" s="8" t="s">
        <v>2581</v>
      </c>
      <c r="C413" s="8" t="s">
        <v>908</v>
      </c>
      <c r="D413" s="9" t="s">
        <v>903</v>
      </c>
      <c r="E413" s="9" t="s">
        <v>2393</v>
      </c>
      <c r="F413" s="10" t="s">
        <v>2392</v>
      </c>
      <c r="G413" s="9" t="s">
        <v>2403</v>
      </c>
      <c r="H413" s="16" t="s">
        <v>2571</v>
      </c>
      <c r="I413" s="25" t="s">
        <v>2412</v>
      </c>
      <c r="J413" s="25" t="s">
        <v>2412</v>
      </c>
      <c r="K413" s="16">
        <v>0</v>
      </c>
      <c r="L413" s="3" t="s">
        <v>2556</v>
      </c>
      <c r="M413" s="17">
        <f>INDEX(Validade!H:H,MATCH('Controle de Validade'!A413,Validade!C:C,0))</f>
        <v>0</v>
      </c>
      <c r="N413" s="18"/>
    </row>
    <row r="414" spans="1:14" ht="15" hidden="1" x14ac:dyDescent="0.2">
      <c r="A414" s="8" t="s">
        <v>1609</v>
      </c>
      <c r="B414" s="8" t="s">
        <v>2579</v>
      </c>
      <c r="C414" s="8" t="s">
        <v>1610</v>
      </c>
      <c r="D414" s="9" t="s">
        <v>28</v>
      </c>
      <c r="E414" s="9" t="s">
        <v>2388</v>
      </c>
      <c r="F414" s="10" t="s">
        <v>2387</v>
      </c>
      <c r="G414" s="9" t="s">
        <v>2471</v>
      </c>
      <c r="H414" s="16" t="s">
        <v>2570</v>
      </c>
      <c r="I414" s="40" t="s">
        <v>3187</v>
      </c>
      <c r="J414" s="26" t="s">
        <v>2948</v>
      </c>
      <c r="K414" s="16">
        <v>1</v>
      </c>
      <c r="L414" s="3" t="s">
        <v>2556</v>
      </c>
      <c r="M414" s="17">
        <f>INDEX(Validade!H:H,MATCH('Controle de Validade'!A414,Validade!C:C,0))</f>
        <v>46658</v>
      </c>
      <c r="N414" s="18"/>
    </row>
    <row r="415" spans="1:14" ht="15" hidden="1" x14ac:dyDescent="0.2">
      <c r="A415" s="8" t="s">
        <v>1571</v>
      </c>
      <c r="B415" s="8" t="s">
        <v>2579</v>
      </c>
      <c r="C415" s="8" t="s">
        <v>1572</v>
      </c>
      <c r="D415" s="9" t="s">
        <v>1030</v>
      </c>
      <c r="E415" s="9" t="s">
        <v>2388</v>
      </c>
      <c r="F415" s="10" t="s">
        <v>2961</v>
      </c>
      <c r="G415" s="9" t="s">
        <v>2414</v>
      </c>
      <c r="H415" s="16" t="s">
        <v>2570</v>
      </c>
      <c r="I415" s="32" t="s">
        <v>2993</v>
      </c>
      <c r="J415" s="26" t="s">
        <v>2962</v>
      </c>
      <c r="K415" s="16">
        <v>1</v>
      </c>
      <c r="L415" s="3" t="s">
        <v>2556</v>
      </c>
      <c r="M415" s="17">
        <f>INDEX(Validade!H:H,MATCH('Controle de Validade'!A415,Validade!C:C,0))</f>
        <v>45923</v>
      </c>
      <c r="N415" s="18"/>
    </row>
    <row r="416" spans="1:14" ht="15" hidden="1" x14ac:dyDescent="0.2">
      <c r="A416" s="8" t="s">
        <v>1568</v>
      </c>
      <c r="B416" s="8" t="s">
        <v>2579</v>
      </c>
      <c r="C416" s="8" t="s">
        <v>1569</v>
      </c>
      <c r="D416" s="9" t="s">
        <v>2522</v>
      </c>
      <c r="E416" s="9" t="s">
        <v>2388</v>
      </c>
      <c r="F416" s="10" t="s">
        <v>2387</v>
      </c>
      <c r="G416" s="9" t="s">
        <v>2414</v>
      </c>
      <c r="H416" s="16" t="s">
        <v>2571</v>
      </c>
      <c r="I416" s="25" t="s">
        <v>2412</v>
      </c>
      <c r="J416" s="25" t="s">
        <v>2412</v>
      </c>
      <c r="K416" s="16">
        <v>0</v>
      </c>
      <c r="L416" s="3" t="s">
        <v>2556</v>
      </c>
      <c r="M416" s="17">
        <f>INDEX(Validade!H:H,MATCH('Controle de Validade'!A416,Validade!C:C,0))</f>
        <v>62458</v>
      </c>
      <c r="N416" s="18"/>
    </row>
    <row r="417" spans="1:14" ht="15" hidden="1" x14ac:dyDescent="0.2">
      <c r="A417" s="8" t="s">
        <v>1565</v>
      </c>
      <c r="B417" s="8" t="s">
        <v>2579</v>
      </c>
      <c r="C417" s="8" t="s">
        <v>1566</v>
      </c>
      <c r="D417" s="9" t="s">
        <v>933</v>
      </c>
      <c r="E417" s="9">
        <v>0</v>
      </c>
      <c r="F417" s="10" t="s">
        <v>2387</v>
      </c>
      <c r="G417" s="9" t="s">
        <v>2453</v>
      </c>
      <c r="H417" s="16" t="s">
        <v>2571</v>
      </c>
      <c r="I417" s="25" t="s">
        <v>2412</v>
      </c>
      <c r="J417" s="25" t="s">
        <v>2412</v>
      </c>
      <c r="K417" s="16">
        <v>0</v>
      </c>
      <c r="L417" s="3" t="s">
        <v>2556</v>
      </c>
      <c r="M417" s="17">
        <f>INDEX(Validade!H:H,MATCH('Controle de Validade'!A417,Validade!C:C,0))</f>
        <v>62458</v>
      </c>
      <c r="N417" s="18"/>
    </row>
    <row r="418" spans="1:14" ht="15" hidden="1" x14ac:dyDescent="0.2">
      <c r="A418" s="8" t="s">
        <v>1517</v>
      </c>
      <c r="B418" s="8" t="s">
        <v>2579</v>
      </c>
      <c r="C418" s="8" t="s">
        <v>1518</v>
      </c>
      <c r="D418" s="9" t="s">
        <v>2522</v>
      </c>
      <c r="E418" s="9" t="s">
        <v>2388</v>
      </c>
      <c r="F418" s="10" t="s">
        <v>2387</v>
      </c>
      <c r="G418" s="9" t="s">
        <v>2414</v>
      </c>
      <c r="H418" s="16" t="s">
        <v>2571</v>
      </c>
      <c r="I418" s="25" t="s">
        <v>2412</v>
      </c>
      <c r="J418" s="25" t="s">
        <v>2412</v>
      </c>
      <c r="K418" s="16">
        <v>0</v>
      </c>
      <c r="L418" s="3" t="s">
        <v>2556</v>
      </c>
      <c r="M418" s="17">
        <f>INDEX(Validade!H:H,MATCH('Controle de Validade'!A418,Validade!C:C,0))</f>
        <v>62458</v>
      </c>
      <c r="N418" s="18"/>
    </row>
    <row r="419" spans="1:14" ht="15" hidden="1" x14ac:dyDescent="0.2">
      <c r="A419" s="8" t="s">
        <v>1514</v>
      </c>
      <c r="B419" s="8" t="s">
        <v>2579</v>
      </c>
      <c r="C419" s="8" t="s">
        <v>1515</v>
      </c>
      <c r="D419" s="9" t="s">
        <v>933</v>
      </c>
      <c r="E419" s="9" t="s">
        <v>2388</v>
      </c>
      <c r="F419" s="10" t="s">
        <v>2387</v>
      </c>
      <c r="G419" s="9" t="s">
        <v>2453</v>
      </c>
      <c r="H419" s="16" t="s">
        <v>2571</v>
      </c>
      <c r="I419" s="25" t="s">
        <v>2412</v>
      </c>
      <c r="J419" s="25" t="s">
        <v>2412</v>
      </c>
      <c r="K419" s="16">
        <v>0</v>
      </c>
      <c r="L419" s="3" t="s">
        <v>2556</v>
      </c>
      <c r="M419" s="17">
        <f>INDEX(Validade!H:H,MATCH('Controle de Validade'!A419,Validade!C:C,0))</f>
        <v>0</v>
      </c>
      <c r="N419" s="18"/>
    </row>
    <row r="420" spans="1:14" ht="15" hidden="1" x14ac:dyDescent="0.2">
      <c r="A420" s="8" t="s">
        <v>1476</v>
      </c>
      <c r="B420" s="8" t="s">
        <v>2579</v>
      </c>
      <c r="C420" s="8" t="s">
        <v>1477</v>
      </c>
      <c r="D420" s="9" t="s">
        <v>1141</v>
      </c>
      <c r="E420" s="9" t="s">
        <v>2388</v>
      </c>
      <c r="F420" s="10" t="s">
        <v>2961</v>
      </c>
      <c r="G420" s="9" t="s">
        <v>2414</v>
      </c>
      <c r="H420" s="16" t="s">
        <v>2570</v>
      </c>
      <c r="I420" s="49" t="s">
        <v>3187</v>
      </c>
      <c r="J420" s="49" t="s">
        <v>2412</v>
      </c>
      <c r="K420" s="16">
        <v>1</v>
      </c>
      <c r="L420" s="3" t="s">
        <v>2556</v>
      </c>
      <c r="M420" s="17">
        <f>INDEX(Validade!H:H,MATCH('Controle de Validade'!A420,Validade!C:C,0))</f>
        <v>62458</v>
      </c>
      <c r="N420" s="18" t="s">
        <v>2573</v>
      </c>
    </row>
    <row r="421" spans="1:14" ht="15" hidden="1" x14ac:dyDescent="0.2">
      <c r="A421" s="8" t="s">
        <v>1332</v>
      </c>
      <c r="B421" s="8" t="s">
        <v>2580</v>
      </c>
      <c r="C421" s="8" t="s">
        <v>1333</v>
      </c>
      <c r="D421" s="9" t="s">
        <v>1141</v>
      </c>
      <c r="E421" s="9" t="s">
        <v>2388</v>
      </c>
      <c r="F421" s="10" t="s">
        <v>2961</v>
      </c>
      <c r="G421" s="9" t="s">
        <v>2414</v>
      </c>
      <c r="H421" s="16" t="s">
        <v>2571</v>
      </c>
      <c r="I421" s="25" t="s">
        <v>2412</v>
      </c>
      <c r="J421" s="25" t="s">
        <v>2412</v>
      </c>
      <c r="K421" s="16">
        <v>0</v>
      </c>
      <c r="L421" s="3" t="s">
        <v>2556</v>
      </c>
      <c r="M421" s="17">
        <f>INDEX(Validade!H:H,MATCH('Controle de Validade'!A421,Validade!C:C,0))</f>
        <v>62458</v>
      </c>
      <c r="N421" s="18"/>
    </row>
    <row r="422" spans="1:14" ht="15" hidden="1" x14ac:dyDescent="0.2">
      <c r="A422" s="8" t="s">
        <v>935</v>
      </c>
      <c r="B422" s="8" t="s">
        <v>2579</v>
      </c>
      <c r="C422" s="8" t="s">
        <v>936</v>
      </c>
      <c r="D422" s="9" t="s">
        <v>933</v>
      </c>
      <c r="E422" s="9" t="s">
        <v>2388</v>
      </c>
      <c r="F422" s="10" t="s">
        <v>2387</v>
      </c>
      <c r="G422" s="9" t="s">
        <v>2453</v>
      </c>
      <c r="H422" s="16" t="s">
        <v>2571</v>
      </c>
      <c r="I422" s="25" t="s">
        <v>2412</v>
      </c>
      <c r="J422" s="25" t="s">
        <v>2412</v>
      </c>
      <c r="K422" s="16">
        <v>0</v>
      </c>
      <c r="L422" s="3" t="s">
        <v>2556</v>
      </c>
      <c r="M422" s="17">
        <f>INDEX(Validade!H:H,MATCH('Controle de Validade'!A422,Validade!C:C,0))</f>
        <v>0</v>
      </c>
      <c r="N422" s="18"/>
    </row>
    <row r="423" spans="1:14" ht="15" hidden="1" x14ac:dyDescent="0.2">
      <c r="A423" s="8" t="s">
        <v>931</v>
      </c>
      <c r="B423" s="8" t="s">
        <v>2579</v>
      </c>
      <c r="C423" s="8" t="s">
        <v>932</v>
      </c>
      <c r="D423" s="9" t="s">
        <v>933</v>
      </c>
      <c r="E423" s="9" t="s">
        <v>2388</v>
      </c>
      <c r="F423" s="10" t="s">
        <v>2387</v>
      </c>
      <c r="G423" s="9" t="s">
        <v>2453</v>
      </c>
      <c r="H423" s="16" t="s">
        <v>2571</v>
      </c>
      <c r="I423" s="25" t="s">
        <v>2412</v>
      </c>
      <c r="J423" s="25" t="s">
        <v>2412</v>
      </c>
      <c r="K423" s="16">
        <v>0</v>
      </c>
      <c r="L423" s="3" t="s">
        <v>2556</v>
      </c>
      <c r="M423" s="17">
        <f>INDEX(Validade!H:H,MATCH('Controle de Validade'!A423,Validade!C:C,0))</f>
        <v>0</v>
      </c>
      <c r="N423" s="18"/>
    </row>
    <row r="424" spans="1:14" ht="15" hidden="1" x14ac:dyDescent="0.2">
      <c r="A424" s="8" t="s">
        <v>2203</v>
      </c>
      <c r="B424" s="8" t="s">
        <v>2579</v>
      </c>
      <c r="C424" s="8" t="s">
        <v>2704</v>
      </c>
      <c r="D424" s="9" t="s">
        <v>903</v>
      </c>
      <c r="E424" s="9" t="s">
        <v>2393</v>
      </c>
      <c r="F424" s="10" t="s">
        <v>2392</v>
      </c>
      <c r="G424" s="9" t="s">
        <v>2410</v>
      </c>
      <c r="H424" s="16" t="s">
        <v>2571</v>
      </c>
      <c r="I424" s="25" t="s">
        <v>2412</v>
      </c>
      <c r="J424" s="25" t="s">
        <v>2412</v>
      </c>
      <c r="K424" s="16">
        <v>0</v>
      </c>
      <c r="L424" s="3" t="s">
        <v>2558</v>
      </c>
      <c r="M424" s="17" t="e">
        <f>INDEX(Validade!H:H,MATCH('Controle de Validade'!A424,Validade!C:C,0))</f>
        <v>#N/A</v>
      </c>
      <c r="N424" s="18"/>
    </row>
    <row r="425" spans="1:14" ht="15" hidden="1" x14ac:dyDescent="0.2">
      <c r="A425" s="28" t="s">
        <v>1636</v>
      </c>
      <c r="B425" s="8" t="s">
        <v>2583</v>
      </c>
      <c r="C425" s="8" t="s">
        <v>1637</v>
      </c>
      <c r="D425" s="9" t="s">
        <v>947</v>
      </c>
      <c r="E425" s="9" t="s">
        <v>2393</v>
      </c>
      <c r="F425" s="10" t="s">
        <v>2392</v>
      </c>
      <c r="G425" s="9" t="s">
        <v>2506</v>
      </c>
      <c r="H425" s="16" t="s">
        <v>2570</v>
      </c>
      <c r="I425" s="56"/>
      <c r="J425" s="43"/>
      <c r="K425" s="16">
        <v>1</v>
      </c>
      <c r="L425" s="3" t="s">
        <v>2556</v>
      </c>
      <c r="M425" s="17">
        <f>INDEX(Validade!H:H,MATCH('Controle de Validade'!A425,Validade!C:C,0))</f>
        <v>45777</v>
      </c>
      <c r="N425" s="55" t="s">
        <v>3201</v>
      </c>
    </row>
    <row r="426" spans="1:14" ht="15" hidden="1" x14ac:dyDescent="0.2">
      <c r="A426" s="8" t="s">
        <v>2016</v>
      </c>
      <c r="B426" s="8" t="s">
        <v>2579</v>
      </c>
      <c r="C426" s="8" t="s">
        <v>2705</v>
      </c>
      <c r="D426" s="9" t="s">
        <v>998</v>
      </c>
      <c r="E426" s="9" t="s">
        <v>2388</v>
      </c>
      <c r="F426" s="10" t="s">
        <v>2961</v>
      </c>
      <c r="G426" s="9" t="s">
        <v>2431</v>
      </c>
      <c r="H426" s="16" t="s">
        <v>2571</v>
      </c>
      <c r="I426" s="25" t="s">
        <v>2412</v>
      </c>
      <c r="J426" s="25" t="s">
        <v>2412</v>
      </c>
      <c r="K426" s="16">
        <v>1</v>
      </c>
      <c r="L426" s="3" t="s">
        <v>2558</v>
      </c>
      <c r="M426" s="17" t="e">
        <f>INDEX(Validade!H:H,MATCH('Controle de Validade'!A426,Validade!C:C,0))</f>
        <v>#N/A</v>
      </c>
      <c r="N426" s="18" t="s">
        <v>2576</v>
      </c>
    </row>
    <row r="427" spans="1:14" ht="15" hidden="1" x14ac:dyDescent="0.2">
      <c r="A427" s="8" t="s">
        <v>2041</v>
      </c>
      <c r="B427" s="8" t="s">
        <v>2579</v>
      </c>
      <c r="C427" s="8" t="s">
        <v>2706</v>
      </c>
      <c r="D427" s="9" t="s">
        <v>998</v>
      </c>
      <c r="E427" s="9" t="s">
        <v>2388</v>
      </c>
      <c r="F427" s="10" t="s">
        <v>2961</v>
      </c>
      <c r="G427" s="9" t="s">
        <v>2431</v>
      </c>
      <c r="H427" s="16" t="s">
        <v>2571</v>
      </c>
      <c r="I427" s="25" t="s">
        <v>2412</v>
      </c>
      <c r="J427" s="25" t="s">
        <v>2412</v>
      </c>
      <c r="K427" s="16">
        <v>1</v>
      </c>
      <c r="L427" s="3" t="s">
        <v>2558</v>
      </c>
      <c r="M427" s="17" t="e">
        <f>INDEX(Validade!H:H,MATCH('Controle de Validade'!A427,Validade!C:C,0))</f>
        <v>#N/A</v>
      </c>
      <c r="N427" s="18" t="s">
        <v>2576</v>
      </c>
    </row>
    <row r="428" spans="1:14" ht="15" hidden="1" x14ac:dyDescent="0.2">
      <c r="A428" s="8" t="s">
        <v>1995</v>
      </c>
      <c r="B428" s="8" t="s">
        <v>2579</v>
      </c>
      <c r="C428" s="8" t="s">
        <v>2707</v>
      </c>
      <c r="D428" s="9" t="s">
        <v>714</v>
      </c>
      <c r="E428" s="9" t="s">
        <v>2388</v>
      </c>
      <c r="F428" s="10" t="s">
        <v>2961</v>
      </c>
      <c r="G428" s="9" t="s">
        <v>2431</v>
      </c>
      <c r="H428" s="16" t="s">
        <v>2571</v>
      </c>
      <c r="I428" s="25" t="s">
        <v>2412</v>
      </c>
      <c r="J428" s="25" t="s">
        <v>2412</v>
      </c>
      <c r="K428" s="16">
        <v>0</v>
      </c>
      <c r="L428" s="3" t="s">
        <v>2558</v>
      </c>
      <c r="M428" s="17" t="e">
        <f>INDEX(Validade!H:H,MATCH('Controle de Validade'!A428,Validade!C:C,0))</f>
        <v>#N/A</v>
      </c>
      <c r="N428" s="18"/>
    </row>
    <row r="429" spans="1:14" ht="15" hidden="1" x14ac:dyDescent="0.2">
      <c r="A429" s="8" t="s">
        <v>1998</v>
      </c>
      <c r="B429" s="8" t="s">
        <v>2708</v>
      </c>
      <c r="C429" s="8" t="s">
        <v>2709</v>
      </c>
      <c r="D429" s="9" t="s">
        <v>41</v>
      </c>
      <c r="E429" s="9" t="s">
        <v>2388</v>
      </c>
      <c r="F429" s="10" t="s">
        <v>2961</v>
      </c>
      <c r="G429" s="9" t="s">
        <v>2429</v>
      </c>
      <c r="H429" s="16" t="s">
        <v>2570</v>
      </c>
      <c r="I429" s="32" t="s">
        <v>2993</v>
      </c>
      <c r="J429" s="26" t="s">
        <v>2994</v>
      </c>
      <c r="K429" s="16">
        <v>1</v>
      </c>
      <c r="L429" s="3" t="s">
        <v>2556</v>
      </c>
      <c r="M429" s="17" t="e">
        <f>INDEX(Validade!H:H,MATCH('Controle de Validade'!A429,Validade!C:C,0))</f>
        <v>#N/A</v>
      </c>
      <c r="N429" s="24" t="s">
        <v>2945</v>
      </c>
    </row>
    <row r="430" spans="1:14" ht="15" hidden="1" x14ac:dyDescent="0.2">
      <c r="A430" s="8" t="s">
        <v>2055</v>
      </c>
      <c r="B430" s="8" t="s">
        <v>2579</v>
      </c>
      <c r="C430" s="8" t="s">
        <v>2710</v>
      </c>
      <c r="D430" s="9" t="s">
        <v>1030</v>
      </c>
      <c r="E430" s="9" t="s">
        <v>2388</v>
      </c>
      <c r="F430" s="10" t="s">
        <v>2961</v>
      </c>
      <c r="G430" s="9" t="s">
        <v>2414</v>
      </c>
      <c r="H430" s="16" t="s">
        <v>2570</v>
      </c>
      <c r="I430" s="32" t="s">
        <v>2993</v>
      </c>
      <c r="J430" s="26" t="s">
        <v>2962</v>
      </c>
      <c r="K430" s="16">
        <v>1</v>
      </c>
      <c r="L430" s="3" t="s">
        <v>2556</v>
      </c>
      <c r="M430" s="17" t="e">
        <f>INDEX(Validade!H:H,MATCH('Controle de Validade'!A430,Validade!C:C,0))</f>
        <v>#N/A</v>
      </c>
      <c r="N430" s="24" t="s">
        <v>2945</v>
      </c>
    </row>
    <row r="431" spans="1:14" ht="15" hidden="1" x14ac:dyDescent="0.2">
      <c r="A431" s="8" t="s">
        <v>2337</v>
      </c>
      <c r="B431" s="8" t="s">
        <v>2579</v>
      </c>
      <c r="C431" s="8" t="s">
        <v>2711</v>
      </c>
      <c r="D431" s="9" t="s">
        <v>2462</v>
      </c>
      <c r="E431" s="9" t="s">
        <v>2388</v>
      </c>
      <c r="F431" s="10" t="s">
        <v>2387</v>
      </c>
      <c r="G431" s="9" t="s">
        <v>2410</v>
      </c>
      <c r="H431" s="16" t="s">
        <v>2571</v>
      </c>
      <c r="I431" s="25" t="s">
        <v>2412</v>
      </c>
      <c r="J431" s="25" t="s">
        <v>2412</v>
      </c>
      <c r="K431" s="16">
        <v>1</v>
      </c>
      <c r="L431" s="3" t="s">
        <v>2558</v>
      </c>
      <c r="M431" s="17" t="e">
        <f>INDEX(Validade!H:H,MATCH('Controle de Validade'!A431,Validade!C:C,0))</f>
        <v>#N/A</v>
      </c>
      <c r="N431" s="18" t="s">
        <v>2576</v>
      </c>
    </row>
    <row r="432" spans="1:14" ht="15" hidden="1" x14ac:dyDescent="0.2">
      <c r="A432" s="8" t="s">
        <v>2013</v>
      </c>
      <c r="B432" s="8" t="s">
        <v>2579</v>
      </c>
      <c r="C432" s="8" t="s">
        <v>2712</v>
      </c>
      <c r="D432" s="9" t="s">
        <v>998</v>
      </c>
      <c r="E432" s="9" t="s">
        <v>2388</v>
      </c>
      <c r="F432" s="10" t="s">
        <v>2961</v>
      </c>
      <c r="G432" s="9" t="s">
        <v>2431</v>
      </c>
      <c r="H432" s="16" t="s">
        <v>2571</v>
      </c>
      <c r="I432" s="25" t="s">
        <v>2412</v>
      </c>
      <c r="J432" s="25" t="s">
        <v>2412</v>
      </c>
      <c r="K432" s="16">
        <v>1</v>
      </c>
      <c r="L432" s="3" t="s">
        <v>2558</v>
      </c>
      <c r="M432" s="17" t="e">
        <f>INDEX(Validade!H:H,MATCH('Controle de Validade'!A432,Validade!C:C,0))</f>
        <v>#N/A</v>
      </c>
      <c r="N432" s="18" t="s">
        <v>2576</v>
      </c>
    </row>
    <row r="433" spans="1:14" ht="15" hidden="1" x14ac:dyDescent="0.2">
      <c r="A433" s="35">
        <v>514041</v>
      </c>
      <c r="B433" s="8" t="s">
        <v>2579</v>
      </c>
      <c r="C433" s="8" t="s">
        <v>1716</v>
      </c>
      <c r="D433" s="9" t="e">
        <v>#N/A</v>
      </c>
      <c r="E433" s="9" t="e">
        <v>#N/A</v>
      </c>
      <c r="F433" s="10" t="e">
        <v>#N/A</v>
      </c>
      <c r="G433" s="9" t="e">
        <v>#N/A</v>
      </c>
      <c r="H433" s="33" t="s">
        <v>2571</v>
      </c>
      <c r="I433" s="16"/>
      <c r="K433" s="16">
        <v>0</v>
      </c>
      <c r="L433" s="3" t="s">
        <v>2556</v>
      </c>
      <c r="M433" s="17" t="e">
        <f>INDEX(Validade!H:H,MATCH('Controle de Validade'!A433,Validade!C:C,0))</f>
        <v>#N/A</v>
      </c>
      <c r="N433" s="18" t="s">
        <v>2576</v>
      </c>
    </row>
    <row r="434" spans="1:14" ht="15" hidden="1" x14ac:dyDescent="0.2">
      <c r="A434" s="8" t="s">
        <v>1711</v>
      </c>
      <c r="B434" s="8" t="s">
        <v>2579</v>
      </c>
      <c r="C434" s="8" t="s">
        <v>1712</v>
      </c>
      <c r="D434" s="9" t="s">
        <v>1714</v>
      </c>
      <c r="E434" s="9" t="s">
        <v>2388</v>
      </c>
      <c r="F434" s="10" t="s">
        <v>2387</v>
      </c>
      <c r="G434" s="9" t="s">
        <v>2431</v>
      </c>
      <c r="H434" s="16" t="s">
        <v>2571</v>
      </c>
      <c r="I434" s="25" t="s">
        <v>2412</v>
      </c>
      <c r="J434" s="25" t="s">
        <v>2412</v>
      </c>
      <c r="K434" s="16">
        <v>0</v>
      </c>
      <c r="L434" s="3" t="s">
        <v>2556</v>
      </c>
      <c r="M434" s="17">
        <f>INDEX(Validade!H:H,MATCH('Controle de Validade'!A434,Validade!C:C,0))</f>
        <v>62458</v>
      </c>
      <c r="N434" s="18"/>
    </row>
    <row r="435" spans="1:14" ht="15" hidden="1" x14ac:dyDescent="0.2">
      <c r="A435" s="8" t="s">
        <v>2007</v>
      </c>
      <c r="B435" s="8" t="s">
        <v>2579</v>
      </c>
      <c r="C435" s="8" t="s">
        <v>2713</v>
      </c>
      <c r="D435" s="9" t="s">
        <v>3166</v>
      </c>
      <c r="E435" s="9" t="s">
        <v>2388</v>
      </c>
      <c r="F435" s="10" t="s">
        <v>2387</v>
      </c>
      <c r="G435" s="9" t="s">
        <v>2431</v>
      </c>
      <c r="H435" s="16" t="s">
        <v>2571</v>
      </c>
      <c r="I435" s="25" t="s">
        <v>2412</v>
      </c>
      <c r="J435" s="25" t="s">
        <v>2412</v>
      </c>
      <c r="K435" s="16">
        <v>1</v>
      </c>
      <c r="L435" s="3" t="s">
        <v>2558</v>
      </c>
      <c r="M435" s="17" t="e">
        <f>INDEX(Validade!H:H,MATCH('Controle de Validade'!A435,Validade!C:C,0))</f>
        <v>#N/A</v>
      </c>
      <c r="N435" s="18" t="s">
        <v>2576</v>
      </c>
    </row>
    <row r="436" spans="1:14" ht="15" hidden="1" x14ac:dyDescent="0.2">
      <c r="A436" s="8" t="s">
        <v>2010</v>
      </c>
      <c r="B436" s="8" t="s">
        <v>2579</v>
      </c>
      <c r="C436" s="8" t="s">
        <v>2714</v>
      </c>
      <c r="D436" s="9" t="s">
        <v>714</v>
      </c>
      <c r="E436" s="9" t="s">
        <v>2388</v>
      </c>
      <c r="F436" s="10" t="s">
        <v>2961</v>
      </c>
      <c r="G436" s="9" t="s">
        <v>2442</v>
      </c>
      <c r="H436" s="16" t="s">
        <v>2570</v>
      </c>
      <c r="I436" s="38" t="s">
        <v>2996</v>
      </c>
      <c r="J436" s="26" t="s">
        <v>2999</v>
      </c>
      <c r="K436" s="16">
        <v>0</v>
      </c>
      <c r="L436" s="3" t="s">
        <v>2558</v>
      </c>
      <c r="M436" s="17" t="e">
        <f>INDEX(Validade!H:H,MATCH('Controle de Validade'!A436,Validade!C:C,0))</f>
        <v>#N/A</v>
      </c>
      <c r="N436" s="24" t="s">
        <v>2945</v>
      </c>
    </row>
    <row r="437" spans="1:14" ht="15" hidden="1" x14ac:dyDescent="0.2">
      <c r="A437" s="8" t="s">
        <v>1707</v>
      </c>
      <c r="B437" s="8" t="s">
        <v>2579</v>
      </c>
      <c r="C437" s="8" t="s">
        <v>1708</v>
      </c>
      <c r="D437" s="9" t="s">
        <v>2440</v>
      </c>
      <c r="E437" s="9" t="s">
        <v>2388</v>
      </c>
      <c r="F437" s="10" t="s">
        <v>2961</v>
      </c>
      <c r="G437" s="9" t="s">
        <v>2442</v>
      </c>
      <c r="H437" s="16" t="s">
        <v>2570</v>
      </c>
      <c r="I437" s="52" t="s">
        <v>3200</v>
      </c>
      <c r="J437" s="53" t="s">
        <v>2412</v>
      </c>
      <c r="K437" s="16">
        <v>1</v>
      </c>
      <c r="L437" s="3" t="s">
        <v>2556</v>
      </c>
      <c r="M437" s="17">
        <f>INDEX(Validade!H:H,MATCH('Controle de Validade'!A437,Validade!C:C,0))</f>
        <v>47177</v>
      </c>
      <c r="N437" s="18" t="s">
        <v>2576</v>
      </c>
    </row>
    <row r="438" spans="1:14" ht="15" hidden="1" x14ac:dyDescent="0.2">
      <c r="A438" s="8" t="s">
        <v>721</v>
      </c>
      <c r="B438" s="8" t="s">
        <v>2579</v>
      </c>
      <c r="C438" s="8" t="s">
        <v>722</v>
      </c>
      <c r="D438" s="9" t="s">
        <v>714</v>
      </c>
      <c r="E438" s="9" t="s">
        <v>2388</v>
      </c>
      <c r="F438" s="10" t="s">
        <v>2961</v>
      </c>
      <c r="G438" s="9" t="s">
        <v>2442</v>
      </c>
      <c r="H438" s="16" t="s">
        <v>2570</v>
      </c>
      <c r="I438" s="38" t="s">
        <v>3186</v>
      </c>
      <c r="J438" s="26" t="s">
        <v>2999</v>
      </c>
      <c r="K438" s="16">
        <v>1</v>
      </c>
      <c r="L438" s="3" t="s">
        <v>2556</v>
      </c>
      <c r="M438" s="17">
        <f>INDEX(Validade!H:H,MATCH('Controle de Validade'!A438,Validade!C:C,0))</f>
        <v>46233</v>
      </c>
      <c r="N438" s="18" t="s">
        <v>2576</v>
      </c>
    </row>
    <row r="439" spans="1:14" ht="15" hidden="1" x14ac:dyDescent="0.2">
      <c r="A439" s="8" t="s">
        <v>709</v>
      </c>
      <c r="B439" s="8" t="s">
        <v>2579</v>
      </c>
      <c r="C439" s="8" t="s">
        <v>710</v>
      </c>
      <c r="D439" s="9" t="s">
        <v>41</v>
      </c>
      <c r="E439" s="9" t="s">
        <v>2388</v>
      </c>
      <c r="F439" s="10" t="s">
        <v>2961</v>
      </c>
      <c r="G439" s="9" t="s">
        <v>2429</v>
      </c>
      <c r="H439" s="16" t="s">
        <v>2570</v>
      </c>
      <c r="I439" s="32" t="s">
        <v>2993</v>
      </c>
      <c r="J439" s="26" t="s">
        <v>2994</v>
      </c>
      <c r="K439" s="16">
        <v>1</v>
      </c>
      <c r="L439" s="3" t="s">
        <v>2556</v>
      </c>
      <c r="M439" s="17">
        <f>INDEX(Validade!H:H,MATCH('Controle de Validade'!A439,Validade!C:C,0))</f>
        <v>45849</v>
      </c>
      <c r="N439" s="18"/>
    </row>
    <row r="440" spans="1:14" ht="15" hidden="1" x14ac:dyDescent="0.2">
      <c r="A440" s="8" t="s">
        <v>1682</v>
      </c>
      <c r="B440" s="8" t="s">
        <v>2579</v>
      </c>
      <c r="C440" s="8" t="s">
        <v>1683</v>
      </c>
      <c r="D440" s="9" t="s">
        <v>41</v>
      </c>
      <c r="E440" s="9" t="s">
        <v>2388</v>
      </c>
      <c r="F440" s="10" t="s">
        <v>2961</v>
      </c>
      <c r="G440" s="9" t="s">
        <v>2429</v>
      </c>
      <c r="H440" s="16" t="s">
        <v>2570</v>
      </c>
      <c r="I440" s="32" t="s">
        <v>2993</v>
      </c>
      <c r="J440" s="26" t="s">
        <v>2994</v>
      </c>
      <c r="K440" s="16">
        <v>1</v>
      </c>
      <c r="L440" s="3" t="s">
        <v>2556</v>
      </c>
      <c r="M440" s="17">
        <f>INDEX(Validade!H:H,MATCH('Controle de Validade'!A440,Validade!C:C,0))</f>
        <v>45702</v>
      </c>
      <c r="N440" s="18"/>
    </row>
    <row r="441" spans="1:14" ht="15" hidden="1" x14ac:dyDescent="0.2">
      <c r="A441" s="8" t="s">
        <v>705</v>
      </c>
      <c r="B441" s="8" t="s">
        <v>2579</v>
      </c>
      <c r="C441" s="8" t="s">
        <v>706</v>
      </c>
      <c r="D441" s="9" t="s">
        <v>41</v>
      </c>
      <c r="E441" s="9" t="s">
        <v>2388</v>
      </c>
      <c r="F441" s="10" t="s">
        <v>2961</v>
      </c>
      <c r="G441" s="9" t="s">
        <v>2429</v>
      </c>
      <c r="H441" s="16" t="s">
        <v>2570</v>
      </c>
      <c r="I441" s="32" t="s">
        <v>2993</v>
      </c>
      <c r="J441" s="26" t="s">
        <v>2994</v>
      </c>
      <c r="K441" s="16">
        <v>1</v>
      </c>
      <c r="L441" s="3" t="s">
        <v>2556</v>
      </c>
      <c r="M441" s="17">
        <f>INDEX(Validade!H:H,MATCH('Controle de Validade'!A441,Validade!C:C,0))</f>
        <v>45860</v>
      </c>
      <c r="N441" s="18"/>
    </row>
    <row r="442" spans="1:14" ht="15" hidden="1" x14ac:dyDescent="0.2">
      <c r="A442" s="8" t="s">
        <v>2370</v>
      </c>
      <c r="B442" s="8" t="s">
        <v>2579</v>
      </c>
      <c r="C442" s="8" t="s">
        <v>2715</v>
      </c>
      <c r="D442" s="9" t="s">
        <v>41</v>
      </c>
      <c r="E442" s="9" t="s">
        <v>2388</v>
      </c>
      <c r="F442" s="10" t="s">
        <v>2961</v>
      </c>
      <c r="G442" s="9" t="s">
        <v>2429</v>
      </c>
      <c r="H442" s="16" t="s">
        <v>2570</v>
      </c>
      <c r="I442" s="32" t="s">
        <v>2993</v>
      </c>
      <c r="J442" s="26" t="s">
        <v>2994</v>
      </c>
      <c r="K442" s="16">
        <v>1</v>
      </c>
      <c r="L442" s="3" t="s">
        <v>2556</v>
      </c>
      <c r="M442" s="17" t="e">
        <f>INDEX(Validade!H:H,MATCH('Controle de Validade'!A442,Validade!C:C,0))</f>
        <v>#N/A</v>
      </c>
      <c r="N442" s="18"/>
    </row>
    <row r="443" spans="1:14" ht="15" hidden="1" x14ac:dyDescent="0.2">
      <c r="A443" s="8" t="s">
        <v>2053</v>
      </c>
      <c r="B443" s="8" t="s">
        <v>2579</v>
      </c>
      <c r="C443" s="8" t="s">
        <v>2716</v>
      </c>
      <c r="D443" s="9" t="s">
        <v>177</v>
      </c>
      <c r="E443" s="9" t="s">
        <v>2388</v>
      </c>
      <c r="F443" s="10" t="s">
        <v>2387</v>
      </c>
      <c r="G443" s="9" t="s">
        <v>2433</v>
      </c>
      <c r="H443" s="16" t="s">
        <v>2571</v>
      </c>
      <c r="I443" s="25" t="s">
        <v>2412</v>
      </c>
      <c r="J443" s="25" t="s">
        <v>2412</v>
      </c>
      <c r="K443" s="16">
        <v>0</v>
      </c>
      <c r="L443" s="3" t="s">
        <v>2558</v>
      </c>
      <c r="M443" s="17" t="e">
        <f>INDEX(Validade!H:H,MATCH('Controle de Validade'!A443,Validade!C:C,0))</f>
        <v>#N/A</v>
      </c>
      <c r="N443" s="18"/>
    </row>
    <row r="444" spans="1:14" ht="15" hidden="1" x14ac:dyDescent="0.2">
      <c r="A444" s="8" t="s">
        <v>2033</v>
      </c>
      <c r="B444" s="8" t="s">
        <v>2579</v>
      </c>
      <c r="C444" s="8" t="s">
        <v>2717</v>
      </c>
      <c r="D444" s="9" t="s">
        <v>86</v>
      </c>
      <c r="E444" s="9" t="s">
        <v>2388</v>
      </c>
      <c r="F444" s="10" t="s">
        <v>2961</v>
      </c>
      <c r="G444" s="9" t="s">
        <v>2423</v>
      </c>
      <c r="H444" s="16" t="s">
        <v>2571</v>
      </c>
      <c r="I444" s="25" t="s">
        <v>2412</v>
      </c>
      <c r="J444" s="25" t="s">
        <v>2412</v>
      </c>
      <c r="K444" s="16">
        <v>0</v>
      </c>
      <c r="L444" s="3" t="s">
        <v>2558</v>
      </c>
      <c r="M444" s="17" t="e">
        <f>INDEX(Validade!H:H,MATCH('Controle de Validade'!A444,Validade!C:C,0))</f>
        <v>#N/A</v>
      </c>
      <c r="N444" s="18"/>
    </row>
    <row r="445" spans="1:14" ht="15" hidden="1" x14ac:dyDescent="0.2">
      <c r="A445" s="8" t="s">
        <v>2025</v>
      </c>
      <c r="B445" s="8" t="s">
        <v>2579</v>
      </c>
      <c r="C445" s="8" t="s">
        <v>2718</v>
      </c>
      <c r="D445" s="9" t="s">
        <v>86</v>
      </c>
      <c r="E445" s="9" t="s">
        <v>2388</v>
      </c>
      <c r="F445" s="10" t="s">
        <v>2961</v>
      </c>
      <c r="G445" s="9" t="s">
        <v>2423</v>
      </c>
      <c r="H445" s="16" t="s">
        <v>2571</v>
      </c>
      <c r="I445" s="25" t="s">
        <v>2412</v>
      </c>
      <c r="J445" s="25" t="s">
        <v>2412</v>
      </c>
      <c r="K445" s="16">
        <v>0</v>
      </c>
      <c r="L445" s="3" t="s">
        <v>2558</v>
      </c>
      <c r="M445" s="17" t="e">
        <f>INDEX(Validade!H:H,MATCH('Controle de Validade'!A445,Validade!C:C,0))</f>
        <v>#N/A</v>
      </c>
      <c r="N445" s="18"/>
    </row>
    <row r="446" spans="1:14" ht="15" hidden="1" x14ac:dyDescent="0.2">
      <c r="A446" s="8" t="s">
        <v>2037</v>
      </c>
      <c r="B446" s="8" t="s">
        <v>2579</v>
      </c>
      <c r="C446" s="8" t="s">
        <v>2719</v>
      </c>
      <c r="D446" s="9" t="s">
        <v>86</v>
      </c>
      <c r="E446" s="9" t="s">
        <v>2388</v>
      </c>
      <c r="F446" s="10" t="s">
        <v>2961</v>
      </c>
      <c r="G446" s="9" t="s">
        <v>2423</v>
      </c>
      <c r="H446" s="16" t="s">
        <v>2571</v>
      </c>
      <c r="I446" s="25" t="s">
        <v>2412</v>
      </c>
      <c r="J446" s="25" t="s">
        <v>2412</v>
      </c>
      <c r="K446" s="16">
        <v>0</v>
      </c>
      <c r="L446" s="3" t="s">
        <v>2558</v>
      </c>
      <c r="M446" s="17" t="e">
        <f>INDEX(Validade!H:H,MATCH('Controle de Validade'!A446,Validade!C:C,0))</f>
        <v>#N/A</v>
      </c>
      <c r="N446" s="18"/>
    </row>
    <row r="447" spans="1:14" ht="15" x14ac:dyDescent="0.2">
      <c r="A447" s="28" t="s">
        <v>1666</v>
      </c>
      <c r="B447" s="8" t="s">
        <v>2579</v>
      </c>
      <c r="C447" s="8" t="s">
        <v>1667</v>
      </c>
      <c r="D447" s="9" t="s">
        <v>1664</v>
      </c>
      <c r="E447" s="9" t="s">
        <v>2388</v>
      </c>
      <c r="F447" s="10" t="s">
        <v>2387</v>
      </c>
      <c r="G447" s="9" t="s">
        <v>2431</v>
      </c>
      <c r="H447" s="16" t="s">
        <v>2570</v>
      </c>
      <c r="I447" s="87" t="s">
        <v>3186</v>
      </c>
      <c r="J447" s="43"/>
      <c r="K447" s="16">
        <v>1</v>
      </c>
      <c r="L447" s="3" t="s">
        <v>2556</v>
      </c>
      <c r="M447" s="17">
        <f>INDEX(Validade!H:H,MATCH('Controle de Validade'!A447,Validade!C:C,0))</f>
        <v>45933</v>
      </c>
      <c r="N447" s="55" t="s">
        <v>3202</v>
      </c>
    </row>
    <row r="448" spans="1:14" ht="15" hidden="1" x14ac:dyDescent="0.2">
      <c r="A448" s="8" t="s">
        <v>2369</v>
      </c>
      <c r="B448" s="8" t="s">
        <v>2579</v>
      </c>
      <c r="C448" s="8" t="s">
        <v>2720</v>
      </c>
      <c r="D448" s="9" t="s">
        <v>144</v>
      </c>
      <c r="E448" s="9" t="s">
        <v>2388</v>
      </c>
      <c r="F448" s="10" t="s">
        <v>2392</v>
      </c>
      <c r="G448" s="9" t="s">
        <v>2410</v>
      </c>
      <c r="H448" s="16" t="s">
        <v>2571</v>
      </c>
      <c r="I448" s="25" t="s">
        <v>2412</v>
      </c>
      <c r="J448" s="25" t="s">
        <v>2412</v>
      </c>
      <c r="K448" s="16">
        <v>0</v>
      </c>
      <c r="L448" s="3" t="s">
        <v>2556</v>
      </c>
      <c r="M448" s="17" t="e">
        <f>INDEX(Validade!H:H,MATCH('Controle de Validade'!A448,Validade!C:C,0))</f>
        <v>#N/A</v>
      </c>
      <c r="N448" s="18"/>
    </row>
    <row r="449" spans="1:14" ht="15" hidden="1" x14ac:dyDescent="0.2">
      <c r="A449" s="8" t="s">
        <v>1460</v>
      </c>
      <c r="B449" s="8" t="s">
        <v>2579</v>
      </c>
      <c r="C449" s="8" t="s">
        <v>1461</v>
      </c>
      <c r="D449" s="9" t="s">
        <v>2518</v>
      </c>
      <c r="E449" s="9">
        <v>0</v>
      </c>
      <c r="F449" s="10" t="s">
        <v>2387</v>
      </c>
      <c r="G449" s="9" t="s">
        <v>2451</v>
      </c>
      <c r="H449" s="16" t="s">
        <v>2571</v>
      </c>
      <c r="I449" s="25" t="s">
        <v>2412</v>
      </c>
      <c r="J449" s="25" t="s">
        <v>2412</v>
      </c>
      <c r="K449" s="16">
        <v>0</v>
      </c>
      <c r="L449" s="3" t="s">
        <v>2556</v>
      </c>
      <c r="M449" s="17">
        <f>INDEX(Validade!H:H,MATCH('Controle de Validade'!A449,Validade!C:C,0))</f>
        <v>62458</v>
      </c>
      <c r="N449" s="18"/>
    </row>
    <row r="450" spans="1:14" ht="15" hidden="1" x14ac:dyDescent="0.2">
      <c r="A450" s="8" t="s">
        <v>1451</v>
      </c>
      <c r="B450" s="8" t="s">
        <v>2580</v>
      </c>
      <c r="C450" s="8" t="s">
        <v>1452</v>
      </c>
      <c r="D450" s="9" t="s">
        <v>2518</v>
      </c>
      <c r="E450" s="9">
        <v>0</v>
      </c>
      <c r="F450" s="10" t="s">
        <v>2387</v>
      </c>
      <c r="G450" s="9" t="s">
        <v>2410</v>
      </c>
      <c r="H450" s="16" t="s">
        <v>2571</v>
      </c>
      <c r="I450" s="25" t="s">
        <v>2412</v>
      </c>
      <c r="J450" s="25" t="s">
        <v>2412</v>
      </c>
      <c r="K450" s="16">
        <v>0</v>
      </c>
      <c r="L450" s="3" t="s">
        <v>2556</v>
      </c>
      <c r="M450" s="17">
        <f>INDEX(Validade!H:H,MATCH('Controle de Validade'!A450,Validade!C:C,0))</f>
        <v>62458</v>
      </c>
      <c r="N450" s="18"/>
    </row>
    <row r="451" spans="1:14" ht="15" hidden="1" x14ac:dyDescent="0.2">
      <c r="A451" s="8" t="s">
        <v>1441</v>
      </c>
      <c r="B451" s="8" t="s">
        <v>2579</v>
      </c>
      <c r="C451" s="8" t="s">
        <v>1442</v>
      </c>
      <c r="D451" s="9" t="s">
        <v>922</v>
      </c>
      <c r="E451" s="9" t="s">
        <v>2388</v>
      </c>
      <c r="F451" s="10" t="s">
        <v>2392</v>
      </c>
      <c r="G451" s="9" t="s">
        <v>2451</v>
      </c>
      <c r="H451" s="16" t="s">
        <v>2571</v>
      </c>
      <c r="I451" s="25" t="s">
        <v>2412</v>
      </c>
      <c r="J451" s="25" t="s">
        <v>2412</v>
      </c>
      <c r="K451" s="16">
        <v>0</v>
      </c>
      <c r="L451" s="3" t="s">
        <v>2556</v>
      </c>
      <c r="M451" s="17">
        <f>INDEX(Validade!H:H,MATCH('Controle de Validade'!A451,Validade!C:C,0))</f>
        <v>62458</v>
      </c>
      <c r="N451" s="18"/>
    </row>
    <row r="452" spans="1:14" ht="15" hidden="1" x14ac:dyDescent="0.2">
      <c r="A452" s="8" t="s">
        <v>1432</v>
      </c>
      <c r="B452" s="8" t="s">
        <v>2579</v>
      </c>
      <c r="C452" s="8" t="s">
        <v>1433</v>
      </c>
      <c r="D452" s="9" t="s">
        <v>922</v>
      </c>
      <c r="E452" s="9" t="s">
        <v>2388</v>
      </c>
      <c r="F452" s="10" t="s">
        <v>2392</v>
      </c>
      <c r="G452" s="9" t="s">
        <v>2451</v>
      </c>
      <c r="H452" s="16" t="s">
        <v>2571</v>
      </c>
      <c r="I452" s="25" t="s">
        <v>2412</v>
      </c>
      <c r="J452" s="25" t="s">
        <v>2412</v>
      </c>
      <c r="K452" s="16">
        <v>0</v>
      </c>
      <c r="L452" s="3" t="s">
        <v>2556</v>
      </c>
      <c r="M452" s="17">
        <f>INDEX(Validade!H:H,MATCH('Controle de Validade'!A452,Validade!C:C,0))</f>
        <v>62458</v>
      </c>
      <c r="N452" s="18"/>
    </row>
    <row r="453" spans="1:14" ht="15" hidden="1" x14ac:dyDescent="0.2">
      <c r="A453" s="28" t="s">
        <v>996</v>
      </c>
      <c r="B453" s="8" t="s">
        <v>2579</v>
      </c>
      <c r="C453" s="8" t="s">
        <v>997</v>
      </c>
      <c r="D453" s="9" t="s">
        <v>998</v>
      </c>
      <c r="E453" s="9" t="s">
        <v>2388</v>
      </c>
      <c r="F453" s="10" t="s">
        <v>2961</v>
      </c>
      <c r="G453" s="9" t="s">
        <v>2431</v>
      </c>
      <c r="H453" s="16" t="s">
        <v>2570</v>
      </c>
      <c r="I453" s="39"/>
      <c r="J453" s="43"/>
      <c r="K453" s="16">
        <v>1</v>
      </c>
      <c r="L453" s="3" t="s">
        <v>2556</v>
      </c>
      <c r="M453" s="17">
        <f>INDEX(Validade!H:H,MATCH('Controle de Validade'!A453,Validade!C:C,0))</f>
        <v>45858</v>
      </c>
      <c r="N453" s="18"/>
    </row>
    <row r="454" spans="1:14" ht="15" hidden="1" x14ac:dyDescent="0.2">
      <c r="A454" s="8" t="s">
        <v>2039</v>
      </c>
      <c r="B454" s="8" t="s">
        <v>2579</v>
      </c>
      <c r="C454" s="8" t="s">
        <v>2721</v>
      </c>
      <c r="D454" s="9" t="s">
        <v>998</v>
      </c>
      <c r="E454" s="9" t="s">
        <v>2388</v>
      </c>
      <c r="F454" s="10" t="s">
        <v>2961</v>
      </c>
      <c r="G454" s="9" t="s">
        <v>2431</v>
      </c>
      <c r="H454" s="16" t="s">
        <v>2571</v>
      </c>
      <c r="I454" s="25" t="s">
        <v>2412</v>
      </c>
      <c r="J454" s="25" t="s">
        <v>2412</v>
      </c>
      <c r="K454" s="16">
        <v>0</v>
      </c>
      <c r="L454" s="3" t="s">
        <v>2558</v>
      </c>
      <c r="M454" s="17" t="e">
        <f>INDEX(Validade!H:H,MATCH('Controle de Validade'!A454,Validade!C:C,0))</f>
        <v>#N/A</v>
      </c>
      <c r="N454" s="18"/>
    </row>
    <row r="455" spans="1:14" ht="15" hidden="1" x14ac:dyDescent="0.2">
      <c r="A455" s="8" t="s">
        <v>2018</v>
      </c>
      <c r="B455" s="8" t="s">
        <v>2579</v>
      </c>
      <c r="C455" s="8" t="s">
        <v>2722</v>
      </c>
      <c r="D455" s="9" t="s">
        <v>998</v>
      </c>
      <c r="E455" s="9" t="s">
        <v>2388</v>
      </c>
      <c r="F455" s="10" t="s">
        <v>2961</v>
      </c>
      <c r="G455" s="9" t="s">
        <v>2431</v>
      </c>
      <c r="H455" s="16" t="s">
        <v>2571</v>
      </c>
      <c r="I455" s="25" t="s">
        <v>2412</v>
      </c>
      <c r="J455" s="25" t="s">
        <v>2412</v>
      </c>
      <c r="K455" s="16">
        <v>1</v>
      </c>
      <c r="L455" s="3" t="s">
        <v>2558</v>
      </c>
      <c r="M455" s="17" t="e">
        <f>INDEX(Validade!H:H,MATCH('Controle de Validade'!A455,Validade!C:C,0))</f>
        <v>#N/A</v>
      </c>
      <c r="N455" s="18" t="s">
        <v>2576</v>
      </c>
    </row>
    <row r="456" spans="1:14" ht="15" hidden="1" x14ac:dyDescent="0.2">
      <c r="A456" s="8" t="s">
        <v>2051</v>
      </c>
      <c r="B456" s="8" t="s">
        <v>2579</v>
      </c>
      <c r="C456" s="8" t="s">
        <v>2723</v>
      </c>
      <c r="D456" s="9" t="s">
        <v>998</v>
      </c>
      <c r="E456" s="9" t="s">
        <v>2388</v>
      </c>
      <c r="F456" s="10" t="s">
        <v>2961</v>
      </c>
      <c r="G456" s="9" t="s">
        <v>2431</v>
      </c>
      <c r="H456" s="16" t="s">
        <v>2571</v>
      </c>
      <c r="I456" s="25" t="s">
        <v>2412</v>
      </c>
      <c r="J456" s="25" t="s">
        <v>2412</v>
      </c>
      <c r="K456" s="16">
        <v>1</v>
      </c>
      <c r="L456" s="3" t="s">
        <v>2558</v>
      </c>
      <c r="M456" s="17" t="e">
        <f>INDEX(Validade!H:H,MATCH('Controle de Validade'!A456,Validade!C:C,0))</f>
        <v>#N/A</v>
      </c>
      <c r="N456" s="18" t="s">
        <v>2576</v>
      </c>
    </row>
    <row r="457" spans="1:14" ht="15" hidden="1" x14ac:dyDescent="0.2">
      <c r="A457" s="8" t="s">
        <v>2019</v>
      </c>
      <c r="B457" s="8" t="s">
        <v>2579</v>
      </c>
      <c r="C457" s="8" t="s">
        <v>2724</v>
      </c>
      <c r="D457" s="9" t="s">
        <v>2546</v>
      </c>
      <c r="E457" s="9" t="s">
        <v>2388</v>
      </c>
      <c r="F457" s="10" t="s">
        <v>2961</v>
      </c>
      <c r="G457" s="9" t="s">
        <v>2431</v>
      </c>
      <c r="H457" s="16" t="s">
        <v>2571</v>
      </c>
      <c r="I457" s="25" t="s">
        <v>2412</v>
      </c>
      <c r="J457" s="25" t="s">
        <v>2412</v>
      </c>
      <c r="K457" s="16">
        <v>1</v>
      </c>
      <c r="L457" s="3" t="s">
        <v>2558</v>
      </c>
      <c r="M457" s="17" t="e">
        <f>INDEX(Validade!H:H,MATCH('Controle de Validade'!A457,Validade!C:C,0))</f>
        <v>#N/A</v>
      </c>
      <c r="N457" s="18" t="s">
        <v>2576</v>
      </c>
    </row>
    <row r="458" spans="1:14" ht="15" hidden="1" x14ac:dyDescent="0.2">
      <c r="A458" s="8" t="s">
        <v>2020</v>
      </c>
      <c r="B458" s="8" t="s">
        <v>2579</v>
      </c>
      <c r="C458" s="8" t="s">
        <v>2725</v>
      </c>
      <c r="D458" s="9" t="s">
        <v>998</v>
      </c>
      <c r="E458" s="9" t="s">
        <v>2388</v>
      </c>
      <c r="F458" s="10" t="s">
        <v>2961</v>
      </c>
      <c r="G458" s="9" t="s">
        <v>2431</v>
      </c>
      <c r="H458" s="16" t="s">
        <v>2571</v>
      </c>
      <c r="I458" s="25" t="s">
        <v>2412</v>
      </c>
      <c r="J458" s="25" t="s">
        <v>2412</v>
      </c>
      <c r="K458" s="16">
        <v>1</v>
      </c>
      <c r="L458" s="3" t="s">
        <v>2558</v>
      </c>
      <c r="M458" s="17" t="e">
        <f>INDEX(Validade!H:H,MATCH('Controle de Validade'!A458,Validade!C:C,0))</f>
        <v>#N/A</v>
      </c>
      <c r="N458" s="18" t="s">
        <v>2576</v>
      </c>
    </row>
    <row r="459" spans="1:14" ht="15" hidden="1" x14ac:dyDescent="0.2">
      <c r="A459" s="8" t="s">
        <v>2021</v>
      </c>
      <c r="B459" s="8" t="s">
        <v>2579</v>
      </c>
      <c r="C459" s="8" t="s">
        <v>2726</v>
      </c>
      <c r="D459" s="9" t="s">
        <v>998</v>
      </c>
      <c r="E459" s="9" t="s">
        <v>2388</v>
      </c>
      <c r="F459" s="10" t="s">
        <v>2961</v>
      </c>
      <c r="G459" s="9" t="s">
        <v>2431</v>
      </c>
      <c r="H459" s="16" t="s">
        <v>2571</v>
      </c>
      <c r="I459" s="25" t="s">
        <v>2412</v>
      </c>
      <c r="J459" s="25" t="s">
        <v>2412</v>
      </c>
      <c r="K459" s="16">
        <v>1</v>
      </c>
      <c r="L459" s="3" t="s">
        <v>2558</v>
      </c>
      <c r="M459" s="17" t="e">
        <f>INDEX(Validade!H:H,MATCH('Controle de Validade'!A459,Validade!C:C,0))</f>
        <v>#N/A</v>
      </c>
      <c r="N459" s="18" t="s">
        <v>2576</v>
      </c>
    </row>
    <row r="460" spans="1:14" ht="15" hidden="1" x14ac:dyDescent="0.2">
      <c r="A460" s="8" t="s">
        <v>2042</v>
      </c>
      <c r="B460" s="8" t="s">
        <v>2579</v>
      </c>
      <c r="C460" s="8" t="s">
        <v>2727</v>
      </c>
      <c r="D460" s="9" t="s">
        <v>998</v>
      </c>
      <c r="E460" s="9" t="s">
        <v>2388</v>
      </c>
      <c r="F460" s="10" t="s">
        <v>2961</v>
      </c>
      <c r="G460" s="9" t="s">
        <v>2431</v>
      </c>
      <c r="H460" s="16" t="s">
        <v>2571</v>
      </c>
      <c r="I460" s="25" t="s">
        <v>2412</v>
      </c>
      <c r="J460" s="25" t="s">
        <v>2412</v>
      </c>
      <c r="K460" s="16">
        <v>1</v>
      </c>
      <c r="L460" s="3" t="s">
        <v>2558</v>
      </c>
      <c r="M460" s="17" t="e">
        <f>INDEX(Validade!H:H,MATCH('Controle de Validade'!A460,Validade!C:C,0))</f>
        <v>#N/A</v>
      </c>
      <c r="N460" s="18" t="s">
        <v>2576</v>
      </c>
    </row>
    <row r="461" spans="1:14" ht="15" hidden="1" x14ac:dyDescent="0.2">
      <c r="A461" s="8" t="s">
        <v>2031</v>
      </c>
      <c r="B461" s="8" t="s">
        <v>2579</v>
      </c>
      <c r="C461" s="8" t="s">
        <v>2728</v>
      </c>
      <c r="D461" s="9" t="s">
        <v>2523</v>
      </c>
      <c r="E461" s="9" t="s">
        <v>2388</v>
      </c>
      <c r="F461" s="10" t="s">
        <v>2387</v>
      </c>
      <c r="G461" s="9" t="s">
        <v>2431</v>
      </c>
      <c r="H461" s="16" t="s">
        <v>2571</v>
      </c>
      <c r="I461" s="25" t="s">
        <v>2412</v>
      </c>
      <c r="J461" s="25" t="s">
        <v>2412</v>
      </c>
      <c r="K461" s="16">
        <v>0</v>
      </c>
      <c r="L461" s="3" t="s">
        <v>2558</v>
      </c>
      <c r="M461" s="17" t="e">
        <f>INDEX(Validade!H:H,MATCH('Controle de Validade'!A461,Validade!C:C,0))</f>
        <v>#N/A</v>
      </c>
      <c r="N461" s="18"/>
    </row>
    <row r="462" spans="1:14" ht="15" hidden="1" x14ac:dyDescent="0.2">
      <c r="A462" s="8" t="s">
        <v>2065</v>
      </c>
      <c r="B462" s="8" t="s">
        <v>2579</v>
      </c>
      <c r="C462" s="8" t="s">
        <v>2729</v>
      </c>
      <c r="D462" s="9" t="s">
        <v>1030</v>
      </c>
      <c r="E462" s="9" t="s">
        <v>2388</v>
      </c>
      <c r="F462" s="10" t="s">
        <v>2961</v>
      </c>
      <c r="G462" s="9" t="s">
        <v>2414</v>
      </c>
      <c r="H462" s="16" t="s">
        <v>2570</v>
      </c>
      <c r="I462" s="32" t="s">
        <v>2993</v>
      </c>
      <c r="J462" s="26" t="s">
        <v>2962</v>
      </c>
      <c r="K462" s="16">
        <v>1</v>
      </c>
      <c r="L462" s="3" t="s">
        <v>2556</v>
      </c>
      <c r="M462" s="17" t="e">
        <f>INDEX(Validade!H:H,MATCH('Controle de Validade'!A462,Validade!C:C,0))</f>
        <v>#N/A</v>
      </c>
      <c r="N462" s="24" t="s">
        <v>2945</v>
      </c>
    </row>
    <row r="463" spans="1:14" ht="15" hidden="1" x14ac:dyDescent="0.2">
      <c r="A463" s="8" t="s">
        <v>2054</v>
      </c>
      <c r="B463" s="8" t="s">
        <v>2579</v>
      </c>
      <c r="C463" s="8" t="s">
        <v>2730</v>
      </c>
      <c r="D463" s="9" t="s">
        <v>1030</v>
      </c>
      <c r="E463" s="9" t="s">
        <v>2388</v>
      </c>
      <c r="F463" s="10" t="s">
        <v>2961</v>
      </c>
      <c r="G463" s="9" t="s">
        <v>2414</v>
      </c>
      <c r="H463" s="16" t="s">
        <v>2570</v>
      </c>
      <c r="I463" s="32" t="s">
        <v>2993</v>
      </c>
      <c r="J463" s="26" t="s">
        <v>2962</v>
      </c>
      <c r="K463" s="16">
        <v>1</v>
      </c>
      <c r="L463" s="3" t="s">
        <v>2556</v>
      </c>
      <c r="M463" s="17" t="e">
        <f>INDEX(Validade!H:H,MATCH('Controle de Validade'!A463,Validade!C:C,0))</f>
        <v>#N/A</v>
      </c>
      <c r="N463" s="24" t="s">
        <v>2945</v>
      </c>
    </row>
    <row r="464" spans="1:14" ht="15" hidden="1" x14ac:dyDescent="0.2">
      <c r="A464" s="8" t="s">
        <v>2049</v>
      </c>
      <c r="B464" s="8" t="s">
        <v>2579</v>
      </c>
      <c r="C464" s="8" t="s">
        <v>2731</v>
      </c>
      <c r="D464" s="9" t="s">
        <v>1030</v>
      </c>
      <c r="E464" s="9" t="s">
        <v>2388</v>
      </c>
      <c r="F464" s="10" t="s">
        <v>2961</v>
      </c>
      <c r="G464" s="9" t="s">
        <v>2414</v>
      </c>
      <c r="H464" s="16" t="s">
        <v>2570</v>
      </c>
      <c r="I464" s="32" t="s">
        <v>2993</v>
      </c>
      <c r="J464" s="26" t="s">
        <v>2962</v>
      </c>
      <c r="K464" s="16">
        <v>1</v>
      </c>
      <c r="L464" s="3" t="s">
        <v>2556</v>
      </c>
      <c r="M464" s="17" t="e">
        <f>INDEX(Validade!H:H,MATCH('Controle de Validade'!A464,Validade!C:C,0))</f>
        <v>#N/A</v>
      </c>
      <c r="N464" s="24" t="s">
        <v>2945</v>
      </c>
    </row>
    <row r="465" spans="1:14" ht="15" hidden="1" x14ac:dyDescent="0.2">
      <c r="A465" s="8" t="s">
        <v>2252</v>
      </c>
      <c r="B465" s="8" t="s">
        <v>2579</v>
      </c>
      <c r="C465" s="8" t="s">
        <v>2732</v>
      </c>
      <c r="D465" s="9" t="s">
        <v>1030</v>
      </c>
      <c r="E465" s="9" t="s">
        <v>2388</v>
      </c>
      <c r="F465" s="10" t="s">
        <v>2961</v>
      </c>
      <c r="G465" s="9" t="s">
        <v>2414</v>
      </c>
      <c r="H465" s="16" t="s">
        <v>2570</v>
      </c>
      <c r="I465" s="32" t="s">
        <v>2993</v>
      </c>
      <c r="J465" s="26" t="s">
        <v>2962</v>
      </c>
      <c r="K465" s="16">
        <v>1</v>
      </c>
      <c r="L465" s="3" t="s">
        <v>2556</v>
      </c>
      <c r="M465" s="17" t="e">
        <f>INDEX(Validade!H:H,MATCH('Controle de Validade'!A465,Validade!C:C,0))</f>
        <v>#N/A</v>
      </c>
      <c r="N465" s="18"/>
    </row>
    <row r="466" spans="1:14" ht="15" hidden="1" x14ac:dyDescent="0.2">
      <c r="A466" s="8" t="s">
        <v>1997</v>
      </c>
      <c r="B466" s="8" t="s">
        <v>2579</v>
      </c>
      <c r="C466" s="8" t="s">
        <v>2733</v>
      </c>
      <c r="D466" s="9" t="s">
        <v>2478</v>
      </c>
      <c r="E466" s="9" t="s">
        <v>2388</v>
      </c>
      <c r="F466" s="10" t="s">
        <v>2387</v>
      </c>
      <c r="G466" s="9" t="s">
        <v>2431</v>
      </c>
      <c r="H466" s="16" t="s">
        <v>2571</v>
      </c>
      <c r="I466" s="25" t="s">
        <v>2412</v>
      </c>
      <c r="J466" s="25" t="s">
        <v>2412</v>
      </c>
      <c r="K466" s="16">
        <v>0</v>
      </c>
      <c r="L466" s="3" t="s">
        <v>2558</v>
      </c>
      <c r="M466" s="17" t="e">
        <f>INDEX(Validade!H:H,MATCH('Controle de Validade'!A466,Validade!C:C,0))</f>
        <v>#N/A</v>
      </c>
      <c r="N466" s="18"/>
    </row>
    <row r="467" spans="1:14" ht="15" hidden="1" x14ac:dyDescent="0.2">
      <c r="A467" s="8" t="s">
        <v>2050</v>
      </c>
      <c r="B467" s="8" t="s">
        <v>2579</v>
      </c>
      <c r="C467" s="8" t="s">
        <v>2734</v>
      </c>
      <c r="D467" s="9" t="s">
        <v>2526</v>
      </c>
      <c r="E467" s="9" t="s">
        <v>2388</v>
      </c>
      <c r="F467" s="10" t="s">
        <v>2387</v>
      </c>
      <c r="G467" s="9" t="s">
        <v>2431</v>
      </c>
      <c r="H467" s="16" t="s">
        <v>2571</v>
      </c>
      <c r="I467" s="25" t="s">
        <v>2412</v>
      </c>
      <c r="J467" s="25" t="s">
        <v>2412</v>
      </c>
      <c r="K467" s="16">
        <v>0</v>
      </c>
      <c r="L467" s="3" t="s">
        <v>2558</v>
      </c>
      <c r="M467" s="17" t="e">
        <f>INDEX(Validade!H:H,MATCH('Controle de Validade'!A467,Validade!C:C,0))</f>
        <v>#N/A</v>
      </c>
      <c r="N467" s="18"/>
    </row>
    <row r="468" spans="1:14" ht="15" hidden="1" x14ac:dyDescent="0.2">
      <c r="A468" s="8" t="s">
        <v>2048</v>
      </c>
      <c r="B468" s="8" t="s">
        <v>2579</v>
      </c>
      <c r="C468" s="8" t="s">
        <v>2735</v>
      </c>
      <c r="D468" s="9" t="s">
        <v>998</v>
      </c>
      <c r="E468" s="9" t="s">
        <v>2388</v>
      </c>
      <c r="F468" s="10" t="s">
        <v>2961</v>
      </c>
      <c r="G468" s="9" t="s">
        <v>2431</v>
      </c>
      <c r="H468" s="16" t="s">
        <v>2571</v>
      </c>
      <c r="I468" s="25" t="s">
        <v>2412</v>
      </c>
      <c r="J468" s="25" t="s">
        <v>2412</v>
      </c>
      <c r="K468" s="16">
        <v>0</v>
      </c>
      <c r="L468" s="3" t="s">
        <v>2558</v>
      </c>
      <c r="M468" s="17" t="e">
        <f>INDEX(Validade!H:H,MATCH('Controle de Validade'!A468,Validade!C:C,0))</f>
        <v>#N/A</v>
      </c>
      <c r="N468" s="18"/>
    </row>
    <row r="469" spans="1:14" ht="15" hidden="1" x14ac:dyDescent="0.2">
      <c r="A469" s="8" t="s">
        <v>2000</v>
      </c>
      <c r="B469" s="8" t="s">
        <v>2579</v>
      </c>
      <c r="C469" s="8" t="s">
        <v>2736</v>
      </c>
      <c r="D469" s="9" t="s">
        <v>41</v>
      </c>
      <c r="E469" s="9" t="s">
        <v>2388</v>
      </c>
      <c r="F469" s="10" t="s">
        <v>2961</v>
      </c>
      <c r="G469" s="9" t="s">
        <v>2429</v>
      </c>
      <c r="H469" s="16" t="s">
        <v>2570</v>
      </c>
      <c r="I469" s="32" t="s">
        <v>2993</v>
      </c>
      <c r="J469" s="26" t="s">
        <v>2994</v>
      </c>
      <c r="K469" s="16">
        <v>1</v>
      </c>
      <c r="L469" s="3" t="s">
        <v>2556</v>
      </c>
      <c r="M469" s="17" t="e">
        <f>INDEX(Validade!H:H,MATCH('Controle de Validade'!A469,Validade!C:C,0))</f>
        <v>#N/A</v>
      </c>
      <c r="N469" s="24" t="s">
        <v>2945</v>
      </c>
    </row>
    <row r="470" spans="1:14" ht="15" hidden="1" x14ac:dyDescent="0.2">
      <c r="A470" s="8" t="s">
        <v>1728</v>
      </c>
      <c r="B470" s="8" t="s">
        <v>2579</v>
      </c>
      <c r="C470" s="8" t="s">
        <v>1729</v>
      </c>
      <c r="D470" s="9" t="s">
        <v>41</v>
      </c>
      <c r="E470" s="9" t="s">
        <v>2388</v>
      </c>
      <c r="F470" s="10" t="s">
        <v>2961</v>
      </c>
      <c r="G470" s="9" t="s">
        <v>2429</v>
      </c>
      <c r="H470" s="16" t="s">
        <v>2570</v>
      </c>
      <c r="I470" s="32" t="s">
        <v>2993</v>
      </c>
      <c r="J470" s="26" t="s">
        <v>2994</v>
      </c>
      <c r="K470" s="16">
        <v>1</v>
      </c>
      <c r="L470" s="3" t="s">
        <v>2556</v>
      </c>
      <c r="M470" s="17">
        <f>INDEX(Validade!H:H,MATCH('Controle de Validade'!A470,Validade!C:C,0))</f>
        <v>45968</v>
      </c>
      <c r="N470" s="18" t="s">
        <v>2576</v>
      </c>
    </row>
    <row r="471" spans="1:14" ht="15" hidden="1" x14ac:dyDescent="0.2">
      <c r="A471" s="8" t="s">
        <v>2006</v>
      </c>
      <c r="B471" s="8" t="s">
        <v>2579</v>
      </c>
      <c r="C471" s="8" t="s">
        <v>2737</v>
      </c>
      <c r="D471" s="9" t="s">
        <v>86</v>
      </c>
      <c r="E471" s="9" t="s">
        <v>2388</v>
      </c>
      <c r="F471" s="10" t="s">
        <v>2961</v>
      </c>
      <c r="G471" s="9" t="s">
        <v>2410</v>
      </c>
      <c r="H471" s="16" t="s">
        <v>2571</v>
      </c>
      <c r="I471" s="25" t="s">
        <v>2412</v>
      </c>
      <c r="J471" s="25" t="s">
        <v>2412</v>
      </c>
      <c r="K471" s="16">
        <v>1</v>
      </c>
      <c r="L471" s="3" t="s">
        <v>2558</v>
      </c>
      <c r="M471" s="17" t="e">
        <f>INDEX(Validade!H:H,MATCH('Controle de Validade'!A471,Validade!C:C,0))</f>
        <v>#N/A</v>
      </c>
      <c r="N471" s="18" t="s">
        <v>2576</v>
      </c>
    </row>
    <row r="472" spans="1:14" ht="15" hidden="1" x14ac:dyDescent="0.2">
      <c r="A472" s="8" t="s">
        <v>1725</v>
      </c>
      <c r="B472" s="8" t="s">
        <v>2579</v>
      </c>
      <c r="C472" s="8" t="s">
        <v>1726</v>
      </c>
      <c r="D472" s="9" t="s">
        <v>2445</v>
      </c>
      <c r="E472" s="9" t="s">
        <v>2388</v>
      </c>
      <c r="F472" s="10" t="s">
        <v>2961</v>
      </c>
      <c r="G472" s="9" t="s">
        <v>2446</v>
      </c>
      <c r="H472" s="16" t="s">
        <v>2571</v>
      </c>
      <c r="I472" s="25" t="s">
        <v>2412</v>
      </c>
      <c r="J472" s="25" t="s">
        <v>2412</v>
      </c>
      <c r="K472" s="16">
        <v>0</v>
      </c>
      <c r="L472" s="3" t="s">
        <v>2556</v>
      </c>
      <c r="M472" s="17">
        <f>INDEX(Validade!H:H,MATCH('Controle de Validade'!A472,Validade!C:C,0))</f>
        <v>0</v>
      </c>
      <c r="N472" s="18"/>
    </row>
    <row r="473" spans="1:14" ht="15" hidden="1" x14ac:dyDescent="0.2">
      <c r="A473" s="8" t="s">
        <v>2066</v>
      </c>
      <c r="B473" s="8" t="s">
        <v>2579</v>
      </c>
      <c r="C473" s="8" t="s">
        <v>2738</v>
      </c>
      <c r="D473" s="9" t="s">
        <v>998</v>
      </c>
      <c r="E473" s="9" t="s">
        <v>2388</v>
      </c>
      <c r="F473" s="10" t="s">
        <v>2961</v>
      </c>
      <c r="G473" s="9" t="s">
        <v>2446</v>
      </c>
      <c r="H473" s="16" t="s">
        <v>2571</v>
      </c>
      <c r="I473" s="25" t="s">
        <v>2412</v>
      </c>
      <c r="J473" s="25" t="s">
        <v>2412</v>
      </c>
      <c r="K473" s="16">
        <v>0</v>
      </c>
      <c r="L473" s="3" t="s">
        <v>2558</v>
      </c>
      <c r="M473" s="17" t="e">
        <f>INDEX(Validade!H:H,MATCH('Controle de Validade'!A473,Validade!C:C,0))</f>
        <v>#N/A</v>
      </c>
      <c r="N473" s="18"/>
    </row>
    <row r="474" spans="1:14" ht="15" hidden="1" x14ac:dyDescent="0.2">
      <c r="A474" s="8" t="s">
        <v>2353</v>
      </c>
      <c r="B474" s="8" t="s">
        <v>2579</v>
      </c>
      <c r="C474" s="8" t="s">
        <v>2739</v>
      </c>
      <c r="D474" s="9" t="e">
        <v>#N/A</v>
      </c>
      <c r="E474" s="9" t="s">
        <v>2388</v>
      </c>
      <c r="F474" s="10" t="s">
        <v>2961</v>
      </c>
      <c r="G474" s="9" t="s">
        <v>2446</v>
      </c>
      <c r="H474" s="16" t="s">
        <v>2571</v>
      </c>
      <c r="I474" s="25" t="s">
        <v>2412</v>
      </c>
      <c r="J474" s="25" t="s">
        <v>2412</v>
      </c>
      <c r="K474" s="16">
        <v>0</v>
      </c>
      <c r="L474" s="3" t="s">
        <v>2558</v>
      </c>
      <c r="M474" s="17" t="e">
        <f>INDEX(Validade!H:H,MATCH('Controle de Validade'!A474,Validade!C:C,0))</f>
        <v>#N/A</v>
      </c>
      <c r="N474" s="18"/>
    </row>
    <row r="475" spans="1:14" ht="15" hidden="1" x14ac:dyDescent="0.2">
      <c r="A475" s="8" t="s">
        <v>2354</v>
      </c>
      <c r="B475" s="8" t="s">
        <v>2579</v>
      </c>
      <c r="C475" s="8" t="s">
        <v>2740</v>
      </c>
      <c r="D475" s="9" t="e">
        <v>#N/A</v>
      </c>
      <c r="E475" s="9" t="s">
        <v>2388</v>
      </c>
      <c r="F475" s="10" t="s">
        <v>2961</v>
      </c>
      <c r="G475" s="9" t="s">
        <v>2446</v>
      </c>
      <c r="H475" s="16" t="s">
        <v>2571</v>
      </c>
      <c r="I475" s="25" t="s">
        <v>2412</v>
      </c>
      <c r="J475" s="25" t="s">
        <v>2412</v>
      </c>
      <c r="K475" s="16">
        <v>0</v>
      </c>
      <c r="L475" s="3" t="s">
        <v>2558</v>
      </c>
      <c r="M475" s="17" t="e">
        <f>INDEX(Validade!H:H,MATCH('Controle de Validade'!A475,Validade!C:C,0))</f>
        <v>#N/A</v>
      </c>
      <c r="N475" s="18"/>
    </row>
    <row r="476" spans="1:14" ht="15" hidden="1" x14ac:dyDescent="0.2">
      <c r="A476" s="8" t="s">
        <v>1987</v>
      </c>
      <c r="B476" s="8" t="s">
        <v>2579</v>
      </c>
      <c r="C476" s="8" t="s">
        <v>2741</v>
      </c>
      <c r="D476" s="9" t="s">
        <v>2515</v>
      </c>
      <c r="E476" s="9" t="s">
        <v>2388</v>
      </c>
      <c r="F476" s="10" t="s">
        <v>2961</v>
      </c>
      <c r="G476" s="9" t="s">
        <v>2429</v>
      </c>
      <c r="H476" s="16" t="s">
        <v>2571</v>
      </c>
      <c r="I476" s="25" t="s">
        <v>2412</v>
      </c>
      <c r="J476" s="25" t="s">
        <v>2412</v>
      </c>
      <c r="K476" s="16">
        <v>1</v>
      </c>
      <c r="L476" s="3" t="s">
        <v>2558</v>
      </c>
      <c r="M476" s="17" t="e">
        <f>INDEX(Validade!H:H,MATCH('Controle de Validade'!A476,Validade!C:C,0))</f>
        <v>#N/A</v>
      </c>
      <c r="N476" s="18" t="s">
        <v>2576</v>
      </c>
    </row>
    <row r="477" spans="1:14" ht="15" hidden="1" x14ac:dyDescent="0.2">
      <c r="A477" s="8" t="s">
        <v>723</v>
      </c>
      <c r="B477" s="8" t="s">
        <v>2579</v>
      </c>
      <c r="C477" s="8" t="s">
        <v>724</v>
      </c>
      <c r="D477" s="9" t="s">
        <v>714</v>
      </c>
      <c r="E477" s="9" t="s">
        <v>2388</v>
      </c>
      <c r="F477" s="10" t="s">
        <v>2961</v>
      </c>
      <c r="G477" s="9" t="s">
        <v>2442</v>
      </c>
      <c r="H477" s="16" t="s">
        <v>2570</v>
      </c>
      <c r="I477" s="38" t="s">
        <v>2996</v>
      </c>
      <c r="J477" s="26" t="s">
        <v>2999</v>
      </c>
      <c r="K477" s="16">
        <v>1</v>
      </c>
      <c r="L477" s="3" t="s">
        <v>2556</v>
      </c>
      <c r="M477" s="17">
        <f>INDEX(Validade!H:H,MATCH('Controle de Validade'!A477,Validade!C:C,0))</f>
        <v>46142</v>
      </c>
      <c r="N477" s="18" t="s">
        <v>2576</v>
      </c>
    </row>
    <row r="478" spans="1:14" ht="15" hidden="1" x14ac:dyDescent="0.2">
      <c r="A478" s="8" t="s">
        <v>1688</v>
      </c>
      <c r="B478" s="8" t="s">
        <v>2579</v>
      </c>
      <c r="C478" s="8" t="s">
        <v>1689</v>
      </c>
      <c r="D478" s="9" t="s">
        <v>41</v>
      </c>
      <c r="E478" s="9" t="s">
        <v>2388</v>
      </c>
      <c r="F478" s="10" t="s">
        <v>2961</v>
      </c>
      <c r="G478" s="9" t="s">
        <v>2429</v>
      </c>
      <c r="H478" s="16" t="s">
        <v>2570</v>
      </c>
      <c r="I478" s="32" t="s">
        <v>2993</v>
      </c>
      <c r="J478" s="26" t="s">
        <v>2994</v>
      </c>
      <c r="K478" s="16">
        <v>1</v>
      </c>
      <c r="L478" s="3" t="s">
        <v>2556</v>
      </c>
      <c r="M478" s="17">
        <f>INDEX(Validade!H:H,MATCH('Controle de Validade'!A478,Validade!C:C,0))</f>
        <v>45961</v>
      </c>
      <c r="N478" s="18"/>
    </row>
    <row r="479" spans="1:14" ht="15" hidden="1" x14ac:dyDescent="0.2">
      <c r="A479" s="8" t="s">
        <v>2046</v>
      </c>
      <c r="B479" s="8" t="s">
        <v>2579</v>
      </c>
      <c r="C479" s="8" t="s">
        <v>2742</v>
      </c>
      <c r="D479" s="9" t="s">
        <v>41</v>
      </c>
      <c r="E479" s="9" t="s">
        <v>2388</v>
      </c>
      <c r="F479" s="10" t="s">
        <v>2961</v>
      </c>
      <c r="G479" s="9" t="s">
        <v>2429</v>
      </c>
      <c r="H479" s="16" t="s">
        <v>2570</v>
      </c>
      <c r="I479" s="32" t="s">
        <v>2993</v>
      </c>
      <c r="J479" s="26" t="s">
        <v>2994</v>
      </c>
      <c r="K479" s="16">
        <v>1</v>
      </c>
      <c r="L479" s="3" t="s">
        <v>2556</v>
      </c>
      <c r="M479" s="17" t="e">
        <f>INDEX(Validade!H:H,MATCH('Controle de Validade'!A479,Validade!C:C,0))</f>
        <v>#N/A</v>
      </c>
      <c r="N479" s="24" t="s">
        <v>2945</v>
      </c>
    </row>
    <row r="480" spans="1:14" ht="15" hidden="1" x14ac:dyDescent="0.2">
      <c r="A480" s="8" t="s">
        <v>2075</v>
      </c>
      <c r="B480" s="8" t="s">
        <v>2579</v>
      </c>
      <c r="C480" s="8" t="s">
        <v>2743</v>
      </c>
      <c r="D480" s="9" t="s">
        <v>41</v>
      </c>
      <c r="E480" s="9" t="s">
        <v>2388</v>
      </c>
      <c r="F480" s="10" t="s">
        <v>2961</v>
      </c>
      <c r="G480" s="9" t="s">
        <v>2410</v>
      </c>
      <c r="H480" s="16" t="s">
        <v>2570</v>
      </c>
      <c r="I480" s="32" t="s">
        <v>2993</v>
      </c>
      <c r="J480" s="26" t="s">
        <v>2994</v>
      </c>
      <c r="K480" s="16">
        <v>1</v>
      </c>
      <c r="L480" s="3" t="s">
        <v>2556</v>
      </c>
      <c r="M480" s="17" t="e">
        <f>INDEX(Validade!H:H,MATCH('Controle de Validade'!A480,Validade!C:C,0))</f>
        <v>#N/A</v>
      </c>
      <c r="N480" s="18"/>
    </row>
    <row r="481" spans="1:14" ht="15" hidden="1" x14ac:dyDescent="0.2">
      <c r="A481" s="8" t="s">
        <v>2057</v>
      </c>
      <c r="B481" s="8" t="s">
        <v>2579</v>
      </c>
      <c r="C481" s="8" t="s">
        <v>2744</v>
      </c>
      <c r="D481" s="9" t="s">
        <v>177</v>
      </c>
      <c r="E481" s="9" t="s">
        <v>2388</v>
      </c>
      <c r="F481" s="10" t="s">
        <v>2387</v>
      </c>
      <c r="G481" s="9" t="s">
        <v>2433</v>
      </c>
      <c r="H481" s="16" t="s">
        <v>2571</v>
      </c>
      <c r="I481" s="25" t="s">
        <v>2412</v>
      </c>
      <c r="J481" s="25" t="s">
        <v>2412</v>
      </c>
      <c r="K481" s="16">
        <v>0</v>
      </c>
      <c r="L481" s="3" t="s">
        <v>2558</v>
      </c>
      <c r="M481" s="17" t="e">
        <f>INDEX(Validade!H:H,MATCH('Controle de Validade'!A481,Validade!C:C,0))</f>
        <v>#N/A</v>
      </c>
      <c r="N481" s="18"/>
    </row>
    <row r="482" spans="1:14" ht="15" hidden="1" x14ac:dyDescent="0.2">
      <c r="A482" s="8" t="s">
        <v>2034</v>
      </c>
      <c r="B482" s="8" t="s">
        <v>2579</v>
      </c>
      <c r="C482" s="8" t="s">
        <v>2745</v>
      </c>
      <c r="D482" s="9" t="s">
        <v>86</v>
      </c>
      <c r="E482" s="9" t="s">
        <v>2388</v>
      </c>
      <c r="F482" s="10" t="s">
        <v>2961</v>
      </c>
      <c r="G482" s="9" t="s">
        <v>2423</v>
      </c>
      <c r="H482" s="16" t="s">
        <v>2571</v>
      </c>
      <c r="I482" s="25" t="s">
        <v>2412</v>
      </c>
      <c r="J482" s="25" t="s">
        <v>2412</v>
      </c>
      <c r="K482" s="16">
        <v>0</v>
      </c>
      <c r="L482" s="3" t="s">
        <v>2558</v>
      </c>
      <c r="M482" s="17" t="e">
        <f>INDEX(Validade!H:H,MATCH('Controle de Validade'!A482,Validade!C:C,0))</f>
        <v>#N/A</v>
      </c>
      <c r="N482" s="18"/>
    </row>
    <row r="483" spans="1:14" ht="15" hidden="1" x14ac:dyDescent="0.2">
      <c r="A483" s="8" t="s">
        <v>2023</v>
      </c>
      <c r="B483" s="8" t="s">
        <v>2579</v>
      </c>
      <c r="C483" s="8" t="s">
        <v>2746</v>
      </c>
      <c r="D483" s="9" t="s">
        <v>86</v>
      </c>
      <c r="E483" s="9" t="s">
        <v>2388</v>
      </c>
      <c r="F483" s="10" t="s">
        <v>2961</v>
      </c>
      <c r="G483" s="9" t="s">
        <v>2423</v>
      </c>
      <c r="H483" s="16" t="s">
        <v>2571</v>
      </c>
      <c r="I483" s="25" t="s">
        <v>2412</v>
      </c>
      <c r="J483" s="25" t="s">
        <v>2412</v>
      </c>
      <c r="K483" s="16">
        <v>0</v>
      </c>
      <c r="L483" s="3" t="s">
        <v>2558</v>
      </c>
      <c r="M483" s="17" t="e">
        <f>INDEX(Validade!H:H,MATCH('Controle de Validade'!A483,Validade!C:C,0))</f>
        <v>#N/A</v>
      </c>
      <c r="N483" s="18"/>
    </row>
    <row r="484" spans="1:14" ht="15" hidden="1" x14ac:dyDescent="0.2">
      <c r="A484" s="8" t="s">
        <v>2045</v>
      </c>
      <c r="B484" s="8" t="s">
        <v>2579</v>
      </c>
      <c r="C484" s="8" t="s">
        <v>2747</v>
      </c>
      <c r="D484" s="9" t="s">
        <v>86</v>
      </c>
      <c r="E484" s="9" t="s">
        <v>2388</v>
      </c>
      <c r="F484" s="10" t="s">
        <v>2961</v>
      </c>
      <c r="G484" s="9" t="s">
        <v>2423</v>
      </c>
      <c r="H484" s="16" t="s">
        <v>2571</v>
      </c>
      <c r="I484" s="25" t="s">
        <v>2412</v>
      </c>
      <c r="J484" s="25" t="s">
        <v>2412</v>
      </c>
      <c r="K484" s="16">
        <v>0</v>
      </c>
      <c r="L484" s="3" t="s">
        <v>2558</v>
      </c>
      <c r="M484" s="17" t="e">
        <f>INDEX(Validade!H:H,MATCH('Controle de Validade'!A484,Validade!C:C,0))</f>
        <v>#N/A</v>
      </c>
      <c r="N484" s="18"/>
    </row>
    <row r="485" spans="1:14" ht="15" hidden="1" x14ac:dyDescent="0.2">
      <c r="A485" s="8" t="s">
        <v>2036</v>
      </c>
      <c r="B485" s="8" t="s">
        <v>2579</v>
      </c>
      <c r="C485" s="8" t="s">
        <v>2748</v>
      </c>
      <c r="D485" s="9" t="s">
        <v>86</v>
      </c>
      <c r="E485" s="9" t="s">
        <v>2388</v>
      </c>
      <c r="F485" s="10" t="s">
        <v>2961</v>
      </c>
      <c r="G485" s="9" t="s">
        <v>2423</v>
      </c>
      <c r="H485" s="16" t="s">
        <v>2571</v>
      </c>
      <c r="I485" s="25" t="s">
        <v>2412</v>
      </c>
      <c r="J485" s="25" t="s">
        <v>2412</v>
      </c>
      <c r="K485" s="16">
        <v>0</v>
      </c>
      <c r="L485" s="3" t="s">
        <v>2558</v>
      </c>
      <c r="M485" s="17" t="e">
        <f>INDEX(Validade!H:H,MATCH('Controle de Validade'!A485,Validade!C:C,0))</f>
        <v>#N/A</v>
      </c>
      <c r="N485" s="18"/>
    </row>
    <row r="486" spans="1:14" ht="15" hidden="1" x14ac:dyDescent="0.2">
      <c r="A486" s="8" t="s">
        <v>2026</v>
      </c>
      <c r="B486" s="8" t="s">
        <v>2579</v>
      </c>
      <c r="C486" s="8" t="s">
        <v>2749</v>
      </c>
      <c r="D486" s="9" t="s">
        <v>86</v>
      </c>
      <c r="E486" s="9" t="s">
        <v>2388</v>
      </c>
      <c r="F486" s="10" t="s">
        <v>2961</v>
      </c>
      <c r="G486" s="9" t="s">
        <v>2423</v>
      </c>
      <c r="H486" s="16" t="s">
        <v>2571</v>
      </c>
      <c r="I486" s="25" t="s">
        <v>2412</v>
      </c>
      <c r="J486" s="25" t="s">
        <v>2412</v>
      </c>
      <c r="K486" s="16">
        <v>0</v>
      </c>
      <c r="L486" s="3" t="s">
        <v>2558</v>
      </c>
      <c r="M486" s="17" t="e">
        <f>INDEX(Validade!H:H,MATCH('Controle de Validade'!A486,Validade!C:C,0))</f>
        <v>#N/A</v>
      </c>
      <c r="N486" s="18"/>
    </row>
    <row r="487" spans="1:14" ht="15" hidden="1" x14ac:dyDescent="0.2">
      <c r="A487" s="28" t="s">
        <v>1639</v>
      </c>
      <c r="B487" s="8" t="s">
        <v>2583</v>
      </c>
      <c r="C487" s="8" t="s">
        <v>1640</v>
      </c>
      <c r="D487" s="9" t="s">
        <v>947</v>
      </c>
      <c r="E487" s="9" t="s">
        <v>2393</v>
      </c>
      <c r="F487" s="10" t="s">
        <v>2392</v>
      </c>
      <c r="G487" s="9" t="s">
        <v>2506</v>
      </c>
      <c r="H487" s="16" t="s">
        <v>2570</v>
      </c>
      <c r="I487" s="39"/>
      <c r="J487" s="43"/>
      <c r="K487" s="16">
        <v>1</v>
      </c>
      <c r="L487" s="3" t="s">
        <v>2556</v>
      </c>
      <c r="M487" s="17">
        <f>INDEX(Validade!H:H,MATCH('Controle de Validade'!A487,Validade!C:C,0))</f>
        <v>45777</v>
      </c>
      <c r="N487" s="55" t="s">
        <v>3201</v>
      </c>
    </row>
    <row r="488" spans="1:14" ht="15" hidden="1" x14ac:dyDescent="0.2">
      <c r="A488" s="8" t="s">
        <v>1524</v>
      </c>
      <c r="B488" s="8" t="s">
        <v>2579</v>
      </c>
      <c r="C488" s="8" t="s">
        <v>1525</v>
      </c>
      <c r="D488" s="9" t="s">
        <v>714</v>
      </c>
      <c r="E488" s="9" t="s">
        <v>2388</v>
      </c>
      <c r="F488" s="10" t="s">
        <v>2961</v>
      </c>
      <c r="G488" s="9" t="s">
        <v>2431</v>
      </c>
      <c r="H488" s="16" t="s">
        <v>2570</v>
      </c>
      <c r="I488" s="40" t="s">
        <v>3187</v>
      </c>
      <c r="J488" s="26" t="s">
        <v>2999</v>
      </c>
      <c r="K488" s="16">
        <v>1</v>
      </c>
      <c r="L488" s="3" t="s">
        <v>2556</v>
      </c>
      <c r="M488" s="17">
        <f>INDEX(Validade!H:H,MATCH('Controle de Validade'!A488,Validade!C:C,0))</f>
        <v>46477</v>
      </c>
      <c r="N488" s="18"/>
    </row>
    <row r="489" spans="1:14" ht="15" hidden="1" x14ac:dyDescent="0.2">
      <c r="A489" s="8" t="s">
        <v>1463</v>
      </c>
      <c r="B489" s="8" t="s">
        <v>2579</v>
      </c>
      <c r="C489" s="8" t="s">
        <v>1464</v>
      </c>
      <c r="D489" s="9" t="s">
        <v>922</v>
      </c>
      <c r="E489" s="9" t="s">
        <v>2388</v>
      </c>
      <c r="F489" s="10" t="s">
        <v>2392</v>
      </c>
      <c r="G489" s="9" t="s">
        <v>2451</v>
      </c>
      <c r="H489" s="16" t="s">
        <v>2571</v>
      </c>
      <c r="I489" s="25" t="s">
        <v>2412</v>
      </c>
      <c r="J489" s="25" t="s">
        <v>2412</v>
      </c>
      <c r="K489" s="16">
        <v>0</v>
      </c>
      <c r="L489" s="3" t="s">
        <v>2556</v>
      </c>
      <c r="M489" s="17">
        <f>INDEX(Validade!H:H,MATCH('Controle de Validade'!A489,Validade!C:C,0))</f>
        <v>62458</v>
      </c>
      <c r="N489" s="18"/>
    </row>
    <row r="490" spans="1:14" ht="15" hidden="1" x14ac:dyDescent="0.2">
      <c r="A490" s="8" t="s">
        <v>1377</v>
      </c>
      <c r="B490" s="8" t="s">
        <v>2580</v>
      </c>
      <c r="C490" s="8" t="s">
        <v>1378</v>
      </c>
      <c r="D490" s="9" t="s">
        <v>1019</v>
      </c>
      <c r="E490" s="9" t="s">
        <v>2388</v>
      </c>
      <c r="F490" s="10" t="s">
        <v>2387</v>
      </c>
      <c r="G490" s="9" t="s">
        <v>2400</v>
      </c>
      <c r="H490" s="29" t="s">
        <v>2571</v>
      </c>
      <c r="I490" s="25" t="s">
        <v>2412</v>
      </c>
      <c r="J490" s="25" t="s">
        <v>2412</v>
      </c>
      <c r="K490" s="16">
        <v>0</v>
      </c>
      <c r="L490" s="3" t="s">
        <v>2556</v>
      </c>
      <c r="M490" s="17">
        <f>INDEX(Validade!H:H,MATCH('Controle de Validade'!A490,Validade!C:C,0))</f>
        <v>62458</v>
      </c>
      <c r="N490" s="18"/>
    </row>
    <row r="491" spans="1:14" ht="15" hidden="1" x14ac:dyDescent="0.2">
      <c r="A491" s="8" t="s">
        <v>1291</v>
      </c>
      <c r="B491" s="8" t="s">
        <v>2579</v>
      </c>
      <c r="C491" s="8" t="s">
        <v>1292</v>
      </c>
      <c r="D491" s="9" t="s">
        <v>933</v>
      </c>
      <c r="E491" s="9" t="s">
        <v>2388</v>
      </c>
      <c r="F491" s="10" t="s">
        <v>2387</v>
      </c>
      <c r="G491" s="9" t="s">
        <v>2453</v>
      </c>
      <c r="H491" s="16" t="s">
        <v>2571</v>
      </c>
      <c r="I491" s="25" t="s">
        <v>2412</v>
      </c>
      <c r="J491" s="25" t="s">
        <v>2412</v>
      </c>
      <c r="K491" s="16">
        <v>0</v>
      </c>
      <c r="L491" s="3" t="s">
        <v>2556</v>
      </c>
      <c r="M491" s="17">
        <f>INDEX(Validade!H:H,MATCH('Controle de Validade'!A491,Validade!C:C,0))</f>
        <v>62458</v>
      </c>
      <c r="N491" s="18"/>
    </row>
    <row r="492" spans="1:14" ht="15" hidden="1" x14ac:dyDescent="0.2">
      <c r="A492" s="8" t="s">
        <v>2038</v>
      </c>
      <c r="B492" s="8" t="s">
        <v>2579</v>
      </c>
      <c r="C492" s="8" t="s">
        <v>2750</v>
      </c>
      <c r="D492" s="9" t="s">
        <v>998</v>
      </c>
      <c r="E492" s="9" t="s">
        <v>2388</v>
      </c>
      <c r="F492" s="10" t="s">
        <v>2961</v>
      </c>
      <c r="G492" s="9" t="s">
        <v>2431</v>
      </c>
      <c r="H492" s="16" t="s">
        <v>2571</v>
      </c>
      <c r="I492" s="25" t="s">
        <v>2412</v>
      </c>
      <c r="J492" s="25" t="s">
        <v>2412</v>
      </c>
      <c r="K492" s="16">
        <v>1</v>
      </c>
      <c r="L492" s="3" t="s">
        <v>2558</v>
      </c>
      <c r="M492" s="17" t="e">
        <f>INDEX(Validade!H:H,MATCH('Controle de Validade'!A492,Validade!C:C,0))</f>
        <v>#N/A</v>
      </c>
      <c r="N492" s="18" t="s">
        <v>2576</v>
      </c>
    </row>
    <row r="493" spans="1:14" ht="15" hidden="1" x14ac:dyDescent="0.2">
      <c r="A493" s="8" t="s">
        <v>2017</v>
      </c>
      <c r="B493" s="8" t="s">
        <v>2579</v>
      </c>
      <c r="C493" s="8" t="s">
        <v>2751</v>
      </c>
      <c r="D493" s="9" t="s">
        <v>998</v>
      </c>
      <c r="E493" s="9" t="s">
        <v>2388</v>
      </c>
      <c r="F493" s="10" t="s">
        <v>2961</v>
      </c>
      <c r="G493" s="9" t="s">
        <v>2431</v>
      </c>
      <c r="H493" s="16" t="s">
        <v>2571</v>
      </c>
      <c r="I493" s="25" t="s">
        <v>2412</v>
      </c>
      <c r="J493" s="25" t="s">
        <v>2412</v>
      </c>
      <c r="K493" s="16">
        <v>1</v>
      </c>
      <c r="L493" s="3" t="s">
        <v>2558</v>
      </c>
      <c r="M493" s="17" t="e">
        <f>INDEX(Validade!H:H,MATCH('Controle de Validade'!A493,Validade!C:C,0))</f>
        <v>#N/A</v>
      </c>
      <c r="N493" s="18" t="s">
        <v>2576</v>
      </c>
    </row>
    <row r="494" spans="1:14" ht="15" hidden="1" x14ac:dyDescent="0.2">
      <c r="A494" s="8" t="s">
        <v>2043</v>
      </c>
      <c r="B494" s="8" t="s">
        <v>2579</v>
      </c>
      <c r="C494" s="8" t="s">
        <v>2752</v>
      </c>
      <c r="D494" s="9" t="s">
        <v>998</v>
      </c>
      <c r="E494" s="9" t="s">
        <v>2388</v>
      </c>
      <c r="F494" s="10" t="s">
        <v>2961</v>
      </c>
      <c r="G494" s="9" t="s">
        <v>2431</v>
      </c>
      <c r="H494" s="16" t="s">
        <v>2571</v>
      </c>
      <c r="I494" s="25" t="s">
        <v>2412</v>
      </c>
      <c r="J494" s="25" t="s">
        <v>2412</v>
      </c>
      <c r="K494" s="16">
        <v>1</v>
      </c>
      <c r="L494" s="3" t="s">
        <v>2558</v>
      </c>
      <c r="M494" s="17" t="e">
        <f>INDEX(Validade!H:H,MATCH('Controle de Validade'!A494,Validade!C:C,0))</f>
        <v>#N/A</v>
      </c>
      <c r="N494" s="18" t="s">
        <v>2576</v>
      </c>
    </row>
    <row r="495" spans="1:14" ht="15" hidden="1" x14ac:dyDescent="0.2">
      <c r="A495" s="8" t="s">
        <v>2014</v>
      </c>
      <c r="B495" s="8" t="s">
        <v>2579</v>
      </c>
      <c r="C495" s="8" t="s">
        <v>2753</v>
      </c>
      <c r="D495" s="9" t="s">
        <v>998</v>
      </c>
      <c r="E495" s="9" t="s">
        <v>2388</v>
      </c>
      <c r="F495" s="10" t="s">
        <v>2961</v>
      </c>
      <c r="G495" s="9" t="s">
        <v>2431</v>
      </c>
      <c r="H495" s="16" t="s">
        <v>2571</v>
      </c>
      <c r="I495" s="25" t="s">
        <v>2412</v>
      </c>
      <c r="J495" s="25" t="s">
        <v>2412</v>
      </c>
      <c r="K495" s="16">
        <v>1</v>
      </c>
      <c r="L495" s="3" t="s">
        <v>2558</v>
      </c>
      <c r="M495" s="17" t="e">
        <f>INDEX(Validade!H:H,MATCH('Controle de Validade'!A495,Validade!C:C,0))</f>
        <v>#N/A</v>
      </c>
      <c r="N495" s="18" t="s">
        <v>2576</v>
      </c>
    </row>
    <row r="496" spans="1:14" ht="15" hidden="1" x14ac:dyDescent="0.2">
      <c r="A496" s="28" t="s">
        <v>987</v>
      </c>
      <c r="B496" s="8" t="s">
        <v>2647</v>
      </c>
      <c r="C496" s="8" t="s">
        <v>988</v>
      </c>
      <c r="D496" s="9" t="s">
        <v>990</v>
      </c>
      <c r="E496" s="9" t="s">
        <v>2388</v>
      </c>
      <c r="F496" s="10" t="s">
        <v>2392</v>
      </c>
      <c r="G496" s="9" t="s">
        <v>2447</v>
      </c>
      <c r="H496" s="16" t="s">
        <v>2570</v>
      </c>
      <c r="I496" s="58" t="s">
        <v>3186</v>
      </c>
      <c r="J496" s="43"/>
      <c r="K496" s="16">
        <v>1</v>
      </c>
      <c r="L496" s="3" t="s">
        <v>2556</v>
      </c>
      <c r="M496" s="17">
        <f>INDEX(Validade!H:H,MATCH('Controle de Validade'!A496,Validade!C:C,0))</f>
        <v>62458</v>
      </c>
      <c r="N496" s="18"/>
    </row>
    <row r="497" spans="1:14" ht="15" hidden="1" x14ac:dyDescent="0.2">
      <c r="A497" s="28" t="s">
        <v>968</v>
      </c>
      <c r="B497" s="8" t="s">
        <v>2579</v>
      </c>
      <c r="C497" s="8" t="s">
        <v>969</v>
      </c>
      <c r="D497" s="9" t="s">
        <v>947</v>
      </c>
      <c r="E497" s="9" t="s">
        <v>2393</v>
      </c>
      <c r="F497" s="10" t="s">
        <v>2392</v>
      </c>
      <c r="G497" s="9" t="s">
        <v>2506</v>
      </c>
      <c r="H497" s="16" t="s">
        <v>2570</v>
      </c>
      <c r="I497" s="39"/>
      <c r="J497" s="43"/>
      <c r="K497" s="16">
        <v>1</v>
      </c>
      <c r="L497" s="3" t="s">
        <v>2556</v>
      </c>
      <c r="M497" s="17">
        <f>INDEX(Validade!H:H,MATCH('Controle de Validade'!A497,Validade!C:C,0))</f>
        <v>45838</v>
      </c>
      <c r="N497" s="55" t="s">
        <v>3201</v>
      </c>
    </row>
    <row r="498" spans="1:14" ht="15" hidden="1" x14ac:dyDescent="0.2">
      <c r="A498" s="28" t="s">
        <v>965</v>
      </c>
      <c r="B498" s="8" t="s">
        <v>2579</v>
      </c>
      <c r="C498" s="8" t="s">
        <v>966</v>
      </c>
      <c r="D498" s="9" t="s">
        <v>947</v>
      </c>
      <c r="E498" s="9" t="s">
        <v>2393</v>
      </c>
      <c r="F498" s="10" t="s">
        <v>2392</v>
      </c>
      <c r="G498" s="9" t="s">
        <v>2506</v>
      </c>
      <c r="H498" s="16" t="s">
        <v>2570</v>
      </c>
      <c r="I498" s="39"/>
      <c r="J498" s="43"/>
      <c r="K498" s="16">
        <v>1</v>
      </c>
      <c r="L498" s="3" t="s">
        <v>2556</v>
      </c>
      <c r="M498" s="17">
        <f>INDEX(Validade!H:H,MATCH('Controle de Validade'!A498,Validade!C:C,0))</f>
        <v>45777</v>
      </c>
      <c r="N498" s="55" t="s">
        <v>3201</v>
      </c>
    </row>
    <row r="499" spans="1:14" ht="15" hidden="1" x14ac:dyDescent="0.2">
      <c r="A499" s="8" t="s">
        <v>84</v>
      </c>
      <c r="B499" s="8" t="s">
        <v>2579</v>
      </c>
      <c r="C499" s="8" t="s">
        <v>85</v>
      </c>
      <c r="D499" s="9" t="s">
        <v>86</v>
      </c>
      <c r="E499" s="9" t="s">
        <v>2388</v>
      </c>
      <c r="F499" s="10" t="s">
        <v>2961</v>
      </c>
      <c r="G499" s="9" t="s">
        <v>2431</v>
      </c>
      <c r="H499" s="16" t="s">
        <v>2571</v>
      </c>
      <c r="I499" s="25" t="s">
        <v>2412</v>
      </c>
      <c r="J499" s="25" t="s">
        <v>2412</v>
      </c>
      <c r="K499" s="16">
        <v>0</v>
      </c>
      <c r="L499" s="15" t="s">
        <v>2556</v>
      </c>
      <c r="M499" s="17">
        <f>INDEX(Validade!H:H,MATCH('Controle de Validade'!A499,Validade!C:C,0))</f>
        <v>0</v>
      </c>
      <c r="N499" s="18"/>
    </row>
    <row r="500" spans="1:14" ht="15" hidden="1" x14ac:dyDescent="0.2">
      <c r="A500" s="8" t="s">
        <v>958</v>
      </c>
      <c r="B500" s="8" t="s">
        <v>2579</v>
      </c>
      <c r="C500" s="8" t="s">
        <v>959</v>
      </c>
      <c r="D500" s="9" t="s">
        <v>41</v>
      </c>
      <c r="E500" s="9" t="s">
        <v>2388</v>
      </c>
      <c r="F500" s="10" t="s">
        <v>2961</v>
      </c>
      <c r="G500" s="9" t="s">
        <v>2429</v>
      </c>
      <c r="H500" s="16" t="s">
        <v>2570</v>
      </c>
      <c r="I500" s="32" t="s">
        <v>2993</v>
      </c>
      <c r="J500" s="26" t="s">
        <v>2994</v>
      </c>
      <c r="K500" s="16">
        <v>1</v>
      </c>
      <c r="L500" s="3" t="s">
        <v>2556</v>
      </c>
      <c r="M500" s="17">
        <f>INDEX(Validade!H:H,MATCH('Controle de Validade'!A500,Validade!C:C,0))</f>
        <v>45925</v>
      </c>
      <c r="N500" s="18"/>
    </row>
    <row r="501" spans="1:14" ht="15" hidden="1" x14ac:dyDescent="0.2">
      <c r="A501" s="28" t="s">
        <v>955</v>
      </c>
      <c r="B501" s="8" t="s">
        <v>2579</v>
      </c>
      <c r="C501" s="8" t="s">
        <v>956</v>
      </c>
      <c r="D501" s="9" t="s">
        <v>947</v>
      </c>
      <c r="E501" s="9" t="s">
        <v>2393</v>
      </c>
      <c r="F501" s="10" t="s">
        <v>2392</v>
      </c>
      <c r="G501" s="9" t="s">
        <v>2506</v>
      </c>
      <c r="H501" s="16" t="s">
        <v>2570</v>
      </c>
      <c r="I501" s="39"/>
      <c r="J501" s="43"/>
      <c r="K501" s="16">
        <v>1</v>
      </c>
      <c r="L501" s="3" t="s">
        <v>2556</v>
      </c>
      <c r="M501" s="17">
        <f>INDEX(Validade!H:H,MATCH('Controle de Validade'!A501,Validade!C:C,0))</f>
        <v>45716</v>
      </c>
      <c r="N501" s="55" t="s">
        <v>3201</v>
      </c>
    </row>
    <row r="502" spans="1:14" ht="15" hidden="1" x14ac:dyDescent="0.2">
      <c r="A502" s="28" t="s">
        <v>952</v>
      </c>
      <c r="B502" s="8" t="s">
        <v>2579</v>
      </c>
      <c r="C502" s="8" t="s">
        <v>953</v>
      </c>
      <c r="D502" s="9" t="s">
        <v>947</v>
      </c>
      <c r="E502" s="9" t="s">
        <v>2393</v>
      </c>
      <c r="F502" s="10" t="s">
        <v>2392</v>
      </c>
      <c r="G502" s="9" t="s">
        <v>2506</v>
      </c>
      <c r="H502" s="16" t="s">
        <v>2570</v>
      </c>
      <c r="I502" s="39"/>
      <c r="J502" s="43"/>
      <c r="K502" s="16">
        <v>1</v>
      </c>
      <c r="L502" s="3" t="s">
        <v>2556</v>
      </c>
      <c r="M502" s="17">
        <f>INDEX(Validade!H:H,MATCH('Controle de Validade'!A502,Validade!C:C,0))</f>
        <v>45838</v>
      </c>
      <c r="N502" s="55" t="s">
        <v>3201</v>
      </c>
    </row>
    <row r="503" spans="1:14" ht="15" hidden="1" x14ac:dyDescent="0.2">
      <c r="A503" s="30" t="s">
        <v>926</v>
      </c>
      <c r="B503" s="8" t="s">
        <v>2579</v>
      </c>
      <c r="C503" s="8" t="s">
        <v>927</v>
      </c>
      <c r="D503" s="9" t="s">
        <v>929</v>
      </c>
      <c r="E503" s="9" t="s">
        <v>2388</v>
      </c>
      <c r="F503" s="10" t="s">
        <v>2961</v>
      </c>
      <c r="G503" s="9" t="s">
        <v>2423</v>
      </c>
      <c r="H503" s="16" t="s">
        <v>2570</v>
      </c>
      <c r="I503" s="32" t="s">
        <v>2993</v>
      </c>
      <c r="K503" s="16">
        <v>1</v>
      </c>
      <c r="L503" s="3" t="s">
        <v>2556</v>
      </c>
      <c r="M503" s="17">
        <f>INDEX(Validade!H:H,MATCH('Controle de Validade'!A503,Validade!C:C,0))</f>
        <v>0</v>
      </c>
      <c r="N503" s="18" t="s">
        <v>2574</v>
      </c>
    </row>
    <row r="504" spans="1:14" ht="15" hidden="1" x14ac:dyDescent="0.2">
      <c r="A504" s="8" t="s">
        <v>10</v>
      </c>
      <c r="B504" s="8" t="s">
        <v>2581</v>
      </c>
      <c r="C504" s="8" t="s">
        <v>11</v>
      </c>
      <c r="D504" s="9" t="s">
        <v>12</v>
      </c>
      <c r="E504" s="9" t="s">
        <v>2388</v>
      </c>
      <c r="F504" s="10" t="s">
        <v>2387</v>
      </c>
      <c r="G504" s="9" t="s">
        <v>2431</v>
      </c>
      <c r="H504" s="16" t="s">
        <v>2570</v>
      </c>
      <c r="I504" s="36" t="s">
        <v>2997</v>
      </c>
      <c r="J504" s="26" t="s">
        <v>2998</v>
      </c>
      <c r="K504" s="16">
        <v>1</v>
      </c>
      <c r="L504" s="3" t="s">
        <v>2556</v>
      </c>
      <c r="M504" s="17">
        <f>INDEX(Validade!H:H,MATCH('Controle de Validade'!A504,Validade!C:C,0))</f>
        <v>46033</v>
      </c>
      <c r="N504" s="18"/>
    </row>
    <row r="505" spans="1:14" ht="15" hidden="1" x14ac:dyDescent="0.2">
      <c r="A505" s="8" t="s">
        <v>1735</v>
      </c>
      <c r="B505" s="8" t="s">
        <v>2687</v>
      </c>
      <c r="C505" s="8" t="s">
        <v>1736</v>
      </c>
      <c r="D505" s="9" t="s">
        <v>714</v>
      </c>
      <c r="E505" s="9" t="s">
        <v>2388</v>
      </c>
      <c r="F505" s="10" t="s">
        <v>2961</v>
      </c>
      <c r="G505" s="9" t="s">
        <v>2441</v>
      </c>
      <c r="H505" s="16" t="s">
        <v>2570</v>
      </c>
      <c r="I505" s="38" t="s">
        <v>3186</v>
      </c>
      <c r="J505" s="26" t="s">
        <v>2999</v>
      </c>
      <c r="K505" s="16">
        <v>1</v>
      </c>
      <c r="L505" s="3" t="s">
        <v>2556</v>
      </c>
      <c r="M505" s="17">
        <f>INDEX(Validade!H:H,MATCH('Controle de Validade'!A505,Validade!C:C,0))</f>
        <v>46325</v>
      </c>
      <c r="N505" s="18"/>
    </row>
    <row r="506" spans="1:14" ht="15" hidden="1" x14ac:dyDescent="0.2">
      <c r="A506" s="8" t="s">
        <v>2210</v>
      </c>
      <c r="B506" s="8" t="s">
        <v>2579</v>
      </c>
      <c r="C506" s="8" t="s">
        <v>2754</v>
      </c>
      <c r="D506" s="9" t="s">
        <v>2465</v>
      </c>
      <c r="E506" s="9" t="s">
        <v>2388</v>
      </c>
      <c r="F506" s="10" t="s">
        <v>2392</v>
      </c>
      <c r="G506" s="9" t="s">
        <v>2463</v>
      </c>
      <c r="H506" s="16" t="s">
        <v>2571</v>
      </c>
      <c r="I506" s="25" t="s">
        <v>2412</v>
      </c>
      <c r="J506" s="25" t="s">
        <v>2412</v>
      </c>
      <c r="K506" s="16">
        <v>1</v>
      </c>
      <c r="L506" s="3" t="s">
        <v>2556</v>
      </c>
      <c r="M506" s="17" t="e">
        <f>INDEX(Validade!H:H,MATCH('Controle de Validade'!A506,Validade!C:C,0))</f>
        <v>#N/A</v>
      </c>
      <c r="N506" s="18" t="s">
        <v>2576</v>
      </c>
    </row>
    <row r="507" spans="1:14" ht="15" hidden="1" x14ac:dyDescent="0.2">
      <c r="A507" s="8" t="s">
        <v>334</v>
      </c>
      <c r="B507" s="8" t="s">
        <v>2579</v>
      </c>
      <c r="C507" s="8" t="s">
        <v>335</v>
      </c>
      <c r="D507" s="9" t="s">
        <v>2548</v>
      </c>
      <c r="E507" s="9" t="s">
        <v>2388</v>
      </c>
      <c r="F507" s="10" t="s">
        <v>2392</v>
      </c>
      <c r="G507" s="9" t="s">
        <v>2463</v>
      </c>
      <c r="H507" s="16" t="s">
        <v>2571</v>
      </c>
      <c r="I507" s="25" t="s">
        <v>2412</v>
      </c>
      <c r="J507" s="25" t="s">
        <v>2412</v>
      </c>
      <c r="K507" s="16">
        <v>0</v>
      </c>
      <c r="L507" s="3" t="s">
        <v>2556</v>
      </c>
      <c r="M507" s="17">
        <f>INDEX(Validade!H:H,MATCH('Controle de Validade'!A507,Validade!C:C,0))</f>
        <v>0</v>
      </c>
      <c r="N507" s="18"/>
    </row>
    <row r="508" spans="1:14" ht="15" hidden="1" x14ac:dyDescent="0.2">
      <c r="A508" s="8" t="s">
        <v>331</v>
      </c>
      <c r="B508" s="8" t="s">
        <v>2579</v>
      </c>
      <c r="C508" s="8" t="s">
        <v>332</v>
      </c>
      <c r="D508" s="9" t="s">
        <v>144</v>
      </c>
      <c r="E508" s="9" t="s">
        <v>2388</v>
      </c>
      <c r="F508" s="10" t="s">
        <v>2392</v>
      </c>
      <c r="G508" s="9" t="s">
        <v>2463</v>
      </c>
      <c r="H508" s="16" t="s">
        <v>2571</v>
      </c>
      <c r="I508" s="25" t="s">
        <v>2412</v>
      </c>
      <c r="J508" s="25" t="s">
        <v>2412</v>
      </c>
      <c r="K508" s="16">
        <v>1</v>
      </c>
      <c r="L508" s="3" t="s">
        <v>2556</v>
      </c>
      <c r="M508" s="17">
        <f>INDEX(Validade!H:H,MATCH('Controle de Validade'!A508,Validade!C:C,0))</f>
        <v>62458</v>
      </c>
      <c r="N508" s="18" t="s">
        <v>2576</v>
      </c>
    </row>
    <row r="509" spans="1:14" ht="15" hidden="1" x14ac:dyDescent="0.2">
      <c r="A509" s="8" t="s">
        <v>364</v>
      </c>
      <c r="B509" s="8" t="s">
        <v>2579</v>
      </c>
      <c r="C509" s="8" t="s">
        <v>365</v>
      </c>
      <c r="D509" s="9" t="s">
        <v>2499</v>
      </c>
      <c r="E509" s="9" t="s">
        <v>2388</v>
      </c>
      <c r="F509" s="10" t="s">
        <v>2392</v>
      </c>
      <c r="G509" s="9" t="s">
        <v>2463</v>
      </c>
      <c r="H509" s="16" t="s">
        <v>2571</v>
      </c>
      <c r="I509" s="25" t="s">
        <v>2412</v>
      </c>
      <c r="J509" s="25" t="s">
        <v>2412</v>
      </c>
      <c r="K509" s="16">
        <v>1</v>
      </c>
      <c r="L509" s="3" t="s">
        <v>2556</v>
      </c>
      <c r="M509" s="17">
        <f>INDEX(Validade!H:H,MATCH('Controle de Validade'!A509,Validade!C:C,0))</f>
        <v>62458</v>
      </c>
      <c r="N509" s="18" t="s">
        <v>2576</v>
      </c>
    </row>
    <row r="510" spans="1:14" ht="15" hidden="1" x14ac:dyDescent="0.2">
      <c r="A510" s="8" t="s">
        <v>301</v>
      </c>
      <c r="B510" s="8" t="s">
        <v>2579</v>
      </c>
      <c r="C510" s="8" t="s">
        <v>302</v>
      </c>
      <c r="D510" s="9" t="s">
        <v>144</v>
      </c>
      <c r="E510" s="9" t="s">
        <v>2388</v>
      </c>
      <c r="F510" s="10" t="s">
        <v>2392</v>
      </c>
      <c r="G510" s="9" t="s">
        <v>2463</v>
      </c>
      <c r="H510" s="16" t="s">
        <v>2571</v>
      </c>
      <c r="I510" s="25" t="s">
        <v>2412</v>
      </c>
      <c r="J510" s="25" t="s">
        <v>2412</v>
      </c>
      <c r="K510" s="16">
        <v>0</v>
      </c>
      <c r="L510" s="3" t="s">
        <v>2556</v>
      </c>
      <c r="M510" s="17">
        <f>INDEX(Validade!H:H,MATCH('Controle de Validade'!A510,Validade!C:C,0))</f>
        <v>62458</v>
      </c>
      <c r="N510" s="18"/>
    </row>
    <row r="511" spans="1:14" ht="15" hidden="1" x14ac:dyDescent="0.2">
      <c r="A511" s="8" t="s">
        <v>352</v>
      </c>
      <c r="B511" s="8" t="s">
        <v>2579</v>
      </c>
      <c r="C511" s="8" t="s">
        <v>353</v>
      </c>
      <c r="D511" s="9" t="s">
        <v>144</v>
      </c>
      <c r="E511" s="9" t="s">
        <v>2388</v>
      </c>
      <c r="F511" s="10" t="s">
        <v>2392</v>
      </c>
      <c r="G511" s="9" t="s">
        <v>2463</v>
      </c>
      <c r="H511" s="16" t="s">
        <v>2571</v>
      </c>
      <c r="I511" s="25" t="s">
        <v>2412</v>
      </c>
      <c r="J511" s="25" t="s">
        <v>2412</v>
      </c>
      <c r="K511" s="16">
        <v>1</v>
      </c>
      <c r="L511" s="3" t="s">
        <v>2556</v>
      </c>
      <c r="M511" s="17">
        <f>INDEX(Validade!H:H,MATCH('Controle de Validade'!A511,Validade!C:C,0))</f>
        <v>62458</v>
      </c>
      <c r="N511" s="18" t="s">
        <v>2576</v>
      </c>
    </row>
    <row r="512" spans="1:14" ht="15" hidden="1" x14ac:dyDescent="0.2">
      <c r="A512" s="8" t="s">
        <v>1347</v>
      </c>
      <c r="B512" s="8" t="s">
        <v>2580</v>
      </c>
      <c r="C512" s="8" t="s">
        <v>1348</v>
      </c>
      <c r="D512" s="9" t="s">
        <v>1019</v>
      </c>
      <c r="E512" s="9" t="s">
        <v>2388</v>
      </c>
      <c r="F512" s="10" t="s">
        <v>2387</v>
      </c>
      <c r="G512" s="9" t="s">
        <v>2400</v>
      </c>
      <c r="H512" s="29" t="s">
        <v>2571</v>
      </c>
      <c r="I512" s="25" t="s">
        <v>2412</v>
      </c>
      <c r="J512" s="25" t="s">
        <v>2412</v>
      </c>
      <c r="K512" s="16">
        <v>0</v>
      </c>
      <c r="L512" s="3" t="s">
        <v>2556</v>
      </c>
      <c r="M512" s="17">
        <f>INDEX(Validade!H:H,MATCH('Controle de Validade'!A512,Validade!C:C,0))</f>
        <v>0</v>
      </c>
      <c r="N512" s="18"/>
    </row>
    <row r="513" spans="1:14" ht="15" hidden="1" x14ac:dyDescent="0.2">
      <c r="A513" s="8" t="s">
        <v>358</v>
      </c>
      <c r="B513" s="8" t="s">
        <v>2579</v>
      </c>
      <c r="C513" s="8" t="s">
        <v>359</v>
      </c>
      <c r="D513" s="9" t="s">
        <v>144</v>
      </c>
      <c r="E513" s="9" t="s">
        <v>2388</v>
      </c>
      <c r="F513" s="10" t="s">
        <v>2392</v>
      </c>
      <c r="G513" s="9" t="s">
        <v>2463</v>
      </c>
      <c r="H513" s="16" t="s">
        <v>2571</v>
      </c>
      <c r="I513" s="25" t="s">
        <v>2412</v>
      </c>
      <c r="J513" s="25" t="s">
        <v>2412</v>
      </c>
      <c r="K513" s="16">
        <v>1</v>
      </c>
      <c r="L513" s="3" t="s">
        <v>2556</v>
      </c>
      <c r="M513" s="17">
        <f>INDEX(Validade!H:H,MATCH('Controle de Validade'!A513,Validade!C:C,0))</f>
        <v>62458</v>
      </c>
      <c r="N513" s="18" t="s">
        <v>2576</v>
      </c>
    </row>
    <row r="514" spans="1:14" ht="15" hidden="1" x14ac:dyDescent="0.2">
      <c r="A514" s="8" t="s">
        <v>1383</v>
      </c>
      <c r="B514" s="8" t="s">
        <v>2580</v>
      </c>
      <c r="C514" s="8" t="s">
        <v>1384</v>
      </c>
      <c r="D514" s="9" t="s">
        <v>1019</v>
      </c>
      <c r="E514" s="9" t="s">
        <v>2388</v>
      </c>
      <c r="F514" s="10" t="s">
        <v>2387</v>
      </c>
      <c r="G514" s="9" t="s">
        <v>2400</v>
      </c>
      <c r="H514" s="29" t="s">
        <v>2571</v>
      </c>
      <c r="I514" s="25" t="s">
        <v>2412</v>
      </c>
      <c r="J514" s="25" t="s">
        <v>2412</v>
      </c>
      <c r="K514" s="16">
        <v>0</v>
      </c>
      <c r="L514" s="3" t="s">
        <v>2556</v>
      </c>
      <c r="M514" s="17">
        <f>INDEX(Validade!H:H,MATCH('Controle de Validade'!A514,Validade!C:C,0))</f>
        <v>0</v>
      </c>
      <c r="N514" s="18"/>
    </row>
    <row r="515" spans="1:14" ht="15" hidden="1" x14ac:dyDescent="0.2">
      <c r="A515" s="8" t="s">
        <v>320</v>
      </c>
      <c r="B515" s="8" t="s">
        <v>2579</v>
      </c>
      <c r="C515" s="8" t="s">
        <v>321</v>
      </c>
      <c r="D515" s="9" t="s">
        <v>144</v>
      </c>
      <c r="E515" s="9" t="s">
        <v>2388</v>
      </c>
      <c r="F515" s="10" t="s">
        <v>2392</v>
      </c>
      <c r="G515" s="9" t="s">
        <v>2410</v>
      </c>
      <c r="H515" s="16" t="s">
        <v>2571</v>
      </c>
      <c r="I515" s="25" t="s">
        <v>2412</v>
      </c>
      <c r="J515" s="25" t="s">
        <v>2412</v>
      </c>
      <c r="K515" s="16">
        <v>0</v>
      </c>
      <c r="L515" s="3" t="s">
        <v>2556</v>
      </c>
      <c r="M515" s="17">
        <f>INDEX(Validade!H:H,MATCH('Controle de Validade'!A515,Validade!C:C,0))</f>
        <v>62458</v>
      </c>
      <c r="N515" s="18"/>
    </row>
    <row r="516" spans="1:14" ht="15" hidden="1" x14ac:dyDescent="0.2">
      <c r="A516" s="8" t="s">
        <v>337</v>
      </c>
      <c r="B516" s="8" t="s">
        <v>2579</v>
      </c>
      <c r="C516" s="8" t="s">
        <v>338</v>
      </c>
      <c r="D516" s="9" t="s">
        <v>2518</v>
      </c>
      <c r="E516" s="9">
        <v>0</v>
      </c>
      <c r="F516" s="10" t="s">
        <v>2392</v>
      </c>
      <c r="G516" s="9" t="s">
        <v>2410</v>
      </c>
      <c r="H516" s="16" t="s">
        <v>2571</v>
      </c>
      <c r="I516" s="25" t="s">
        <v>2412</v>
      </c>
      <c r="J516" s="25" t="s">
        <v>2412</v>
      </c>
      <c r="K516" s="16">
        <v>1</v>
      </c>
      <c r="L516" s="3" t="s">
        <v>2556</v>
      </c>
      <c r="M516" s="17">
        <f>INDEX(Validade!H:H,MATCH('Controle de Validade'!A516,Validade!C:C,0))</f>
        <v>62458</v>
      </c>
      <c r="N516" s="18" t="s">
        <v>2576</v>
      </c>
    </row>
    <row r="517" spans="1:14" ht="15" hidden="1" x14ac:dyDescent="0.2">
      <c r="A517" s="8" t="s">
        <v>361</v>
      </c>
      <c r="B517" s="8" t="s">
        <v>2579</v>
      </c>
      <c r="C517" s="8" t="s">
        <v>362</v>
      </c>
      <c r="D517" s="9" t="s">
        <v>144</v>
      </c>
      <c r="E517" s="9" t="s">
        <v>2388</v>
      </c>
      <c r="F517" s="10" t="s">
        <v>2392</v>
      </c>
      <c r="G517" s="9" t="s">
        <v>2463</v>
      </c>
      <c r="H517" s="16" t="s">
        <v>2571</v>
      </c>
      <c r="I517" s="25" t="s">
        <v>2412</v>
      </c>
      <c r="J517" s="25" t="s">
        <v>2412</v>
      </c>
      <c r="K517" s="16">
        <v>1</v>
      </c>
      <c r="L517" s="3" t="s">
        <v>2556</v>
      </c>
      <c r="M517" s="17">
        <f>INDEX(Validade!H:H,MATCH('Controle de Validade'!A517,Validade!C:C,0))</f>
        <v>62458</v>
      </c>
      <c r="N517" s="18" t="s">
        <v>2576</v>
      </c>
    </row>
    <row r="518" spans="1:14" ht="15" hidden="1" x14ac:dyDescent="0.2">
      <c r="A518" s="8" t="s">
        <v>727</v>
      </c>
      <c r="B518" s="8" t="s">
        <v>2579</v>
      </c>
      <c r="C518" s="8" t="s">
        <v>307</v>
      </c>
      <c r="D518" s="9" t="s">
        <v>144</v>
      </c>
      <c r="E518" s="9" t="s">
        <v>2388</v>
      </c>
      <c r="F518" s="10" t="s">
        <v>2392</v>
      </c>
      <c r="G518" s="9" t="s">
        <v>2463</v>
      </c>
      <c r="H518" s="16" t="s">
        <v>2571</v>
      </c>
      <c r="I518" s="25" t="s">
        <v>2412</v>
      </c>
      <c r="J518" s="25" t="s">
        <v>2412</v>
      </c>
      <c r="K518" s="16">
        <v>0</v>
      </c>
      <c r="L518" s="3" t="s">
        <v>2556</v>
      </c>
      <c r="M518" s="17">
        <f>INDEX(Validade!H:H,MATCH('Controle de Validade'!A518,Validade!C:C,0))</f>
        <v>62458</v>
      </c>
      <c r="N518" s="18"/>
    </row>
    <row r="519" spans="1:14" ht="15" hidden="1" x14ac:dyDescent="0.2">
      <c r="A519" s="8" t="s">
        <v>314</v>
      </c>
      <c r="B519" s="8" t="s">
        <v>2579</v>
      </c>
      <c r="C519" s="8" t="s">
        <v>315</v>
      </c>
      <c r="D519" s="9" t="s">
        <v>2499</v>
      </c>
      <c r="E519" s="9" t="s">
        <v>2388</v>
      </c>
      <c r="F519" s="10" t="s">
        <v>2392</v>
      </c>
      <c r="G519" s="9" t="s">
        <v>2463</v>
      </c>
      <c r="H519" s="16" t="s">
        <v>2571</v>
      </c>
      <c r="I519" s="25" t="s">
        <v>2412</v>
      </c>
      <c r="J519" s="25" t="s">
        <v>2412</v>
      </c>
      <c r="K519" s="16">
        <v>0</v>
      </c>
      <c r="L519" s="3" t="s">
        <v>2556</v>
      </c>
      <c r="M519" s="17">
        <f>INDEX(Validade!H:H,MATCH('Controle de Validade'!A519,Validade!C:C,0))</f>
        <v>62458</v>
      </c>
      <c r="N519" s="18"/>
    </row>
    <row r="520" spans="1:14" ht="15" hidden="1" x14ac:dyDescent="0.2">
      <c r="A520" s="8" t="s">
        <v>346</v>
      </c>
      <c r="B520" s="8" t="s">
        <v>2579</v>
      </c>
      <c r="C520" s="8" t="s">
        <v>347</v>
      </c>
      <c r="D520" s="9" t="s">
        <v>144</v>
      </c>
      <c r="E520" s="9" t="s">
        <v>2388</v>
      </c>
      <c r="F520" s="10" t="s">
        <v>2392</v>
      </c>
      <c r="G520" s="9" t="s">
        <v>2463</v>
      </c>
      <c r="H520" s="16" t="s">
        <v>2571</v>
      </c>
      <c r="I520" s="25" t="s">
        <v>2412</v>
      </c>
      <c r="J520" s="25" t="s">
        <v>2412</v>
      </c>
      <c r="K520" s="16">
        <v>1</v>
      </c>
      <c r="L520" s="3" t="s">
        <v>2556</v>
      </c>
      <c r="M520" s="17">
        <f>INDEX(Validade!H:H,MATCH('Controle de Validade'!A520,Validade!C:C,0))</f>
        <v>62458</v>
      </c>
      <c r="N520" s="18" t="s">
        <v>2576</v>
      </c>
    </row>
    <row r="521" spans="1:14" ht="15" hidden="1" x14ac:dyDescent="0.2">
      <c r="A521" s="8" t="s">
        <v>355</v>
      </c>
      <c r="B521" s="8" t="s">
        <v>2579</v>
      </c>
      <c r="C521" s="8" t="s">
        <v>356</v>
      </c>
      <c r="D521" s="9" t="s">
        <v>144</v>
      </c>
      <c r="E521" s="9" t="s">
        <v>2388</v>
      </c>
      <c r="F521" s="10" t="s">
        <v>2392</v>
      </c>
      <c r="G521" s="9" t="s">
        <v>2463</v>
      </c>
      <c r="H521" s="16" t="s">
        <v>2571</v>
      </c>
      <c r="I521" s="25" t="s">
        <v>2412</v>
      </c>
      <c r="J521" s="25" t="s">
        <v>2412</v>
      </c>
      <c r="K521" s="16">
        <v>1</v>
      </c>
      <c r="L521" s="3" t="s">
        <v>2556</v>
      </c>
      <c r="M521" s="17">
        <f>INDEX(Validade!H:H,MATCH('Controle de Validade'!A521,Validade!C:C,0))</f>
        <v>62458</v>
      </c>
      <c r="N521" s="18" t="s">
        <v>2576</v>
      </c>
    </row>
    <row r="522" spans="1:14" ht="15" hidden="1" x14ac:dyDescent="0.2">
      <c r="A522" s="8" t="s">
        <v>373</v>
      </c>
      <c r="B522" s="8" t="s">
        <v>2579</v>
      </c>
      <c r="C522" s="8" t="s">
        <v>374</v>
      </c>
      <c r="D522" s="9" t="s">
        <v>144</v>
      </c>
      <c r="E522" s="9" t="s">
        <v>2388</v>
      </c>
      <c r="F522" s="10" t="s">
        <v>2392</v>
      </c>
      <c r="G522" s="9" t="s">
        <v>2463</v>
      </c>
      <c r="H522" s="16" t="s">
        <v>2571</v>
      </c>
      <c r="I522" s="25" t="s">
        <v>2412</v>
      </c>
      <c r="J522" s="25" t="s">
        <v>2412</v>
      </c>
      <c r="K522" s="16">
        <v>1</v>
      </c>
      <c r="L522" s="3" t="s">
        <v>2556</v>
      </c>
      <c r="M522" s="17">
        <f>INDEX(Validade!H:H,MATCH('Controle de Validade'!A522,Validade!C:C,0))</f>
        <v>62458</v>
      </c>
      <c r="N522" s="18" t="s">
        <v>2576</v>
      </c>
    </row>
    <row r="523" spans="1:14" ht="15" hidden="1" x14ac:dyDescent="0.2">
      <c r="A523" s="8" t="s">
        <v>370</v>
      </c>
      <c r="B523" s="8" t="s">
        <v>2579</v>
      </c>
      <c r="C523" s="8" t="s">
        <v>371</v>
      </c>
      <c r="D523" s="9" t="s">
        <v>3239</v>
      </c>
      <c r="E523" s="9">
        <v>0</v>
      </c>
      <c r="F523" s="10" t="s">
        <v>2392</v>
      </c>
      <c r="G523" s="9" t="s">
        <v>2463</v>
      </c>
      <c r="H523" s="16" t="s">
        <v>2571</v>
      </c>
      <c r="I523" s="25" t="s">
        <v>2412</v>
      </c>
      <c r="J523" s="25" t="s">
        <v>2412</v>
      </c>
      <c r="K523" s="16">
        <v>1</v>
      </c>
      <c r="L523" s="3" t="s">
        <v>2556</v>
      </c>
      <c r="M523" s="17">
        <f>INDEX(Validade!H:H,MATCH('Controle de Validade'!A523,Validade!C:C,0))</f>
        <v>62458</v>
      </c>
      <c r="N523" s="18" t="s">
        <v>2576</v>
      </c>
    </row>
    <row r="524" spans="1:14" ht="15" hidden="1" x14ac:dyDescent="0.2">
      <c r="A524" s="8" t="s">
        <v>1999</v>
      </c>
      <c r="B524" s="8" t="s">
        <v>2579</v>
      </c>
      <c r="C524" s="8" t="s">
        <v>2755</v>
      </c>
      <c r="D524" s="9" t="s">
        <v>714</v>
      </c>
      <c r="E524" s="9" t="s">
        <v>2388</v>
      </c>
      <c r="F524" s="10" t="s">
        <v>2961</v>
      </c>
      <c r="G524" s="9" t="s">
        <v>2431</v>
      </c>
      <c r="H524" s="16" t="s">
        <v>2571</v>
      </c>
      <c r="I524" s="25" t="s">
        <v>2412</v>
      </c>
      <c r="J524" s="25" t="s">
        <v>2412</v>
      </c>
      <c r="K524" s="16">
        <v>0</v>
      </c>
      <c r="L524" s="3" t="s">
        <v>2558</v>
      </c>
      <c r="M524" s="17" t="e">
        <f>INDEX(Validade!H:H,MATCH('Controle de Validade'!A524,Validade!C:C,0))</f>
        <v>#N/A</v>
      </c>
      <c r="N524" s="18"/>
    </row>
    <row r="525" spans="1:14" ht="15" hidden="1" x14ac:dyDescent="0.2">
      <c r="A525" s="8" t="s">
        <v>318</v>
      </c>
      <c r="B525" s="8" t="s">
        <v>2579</v>
      </c>
      <c r="C525" s="8" t="s">
        <v>319</v>
      </c>
      <c r="D525" s="9" t="s">
        <v>144</v>
      </c>
      <c r="E525" s="9" t="s">
        <v>2388</v>
      </c>
      <c r="F525" s="10" t="s">
        <v>2392</v>
      </c>
      <c r="G525" s="9" t="s">
        <v>2463</v>
      </c>
      <c r="H525" s="16" t="s">
        <v>2571</v>
      </c>
      <c r="I525" s="25" t="s">
        <v>2412</v>
      </c>
      <c r="J525" s="25" t="s">
        <v>2412</v>
      </c>
      <c r="K525" s="16">
        <v>0</v>
      </c>
      <c r="L525" s="3" t="s">
        <v>2556</v>
      </c>
      <c r="M525" s="17">
        <f>INDEX(Validade!H:H,MATCH('Controle de Validade'!A525,Validade!C:C,0))</f>
        <v>62458</v>
      </c>
      <c r="N525" s="18"/>
    </row>
    <row r="526" spans="1:14" ht="15" hidden="1" x14ac:dyDescent="0.2">
      <c r="A526" s="8" t="s">
        <v>367</v>
      </c>
      <c r="B526" s="8" t="s">
        <v>2579</v>
      </c>
      <c r="C526" s="8" t="s">
        <v>368</v>
      </c>
      <c r="D526" s="9" t="s">
        <v>2499</v>
      </c>
      <c r="E526" s="9" t="s">
        <v>2388</v>
      </c>
      <c r="F526" s="10" t="s">
        <v>2392</v>
      </c>
      <c r="G526" s="9" t="s">
        <v>2463</v>
      </c>
      <c r="H526" s="16" t="s">
        <v>2571</v>
      </c>
      <c r="I526" s="25" t="s">
        <v>2412</v>
      </c>
      <c r="J526" s="25" t="s">
        <v>2412</v>
      </c>
      <c r="K526" s="16">
        <v>1</v>
      </c>
      <c r="L526" s="3" t="s">
        <v>2556</v>
      </c>
      <c r="M526" s="17">
        <f>INDEX(Validade!H:H,MATCH('Controle de Validade'!A526,Validade!C:C,0))</f>
        <v>62458</v>
      </c>
      <c r="N526" s="18" t="s">
        <v>2576</v>
      </c>
    </row>
    <row r="527" spans="1:14" ht="15" hidden="1" x14ac:dyDescent="0.2">
      <c r="A527" s="8" t="s">
        <v>1929</v>
      </c>
      <c r="B527" s="8" t="s">
        <v>2579</v>
      </c>
      <c r="C527" s="8" t="s">
        <v>1930</v>
      </c>
      <c r="D527" s="9" t="s">
        <v>1006</v>
      </c>
      <c r="E527" s="9" t="s">
        <v>2393</v>
      </c>
      <c r="F527" s="10" t="s">
        <v>2392</v>
      </c>
      <c r="G527" s="9" t="s">
        <v>2394</v>
      </c>
      <c r="H527" s="16" t="s">
        <v>2570</v>
      </c>
      <c r="I527" s="40" t="s">
        <v>3187</v>
      </c>
      <c r="K527" s="16">
        <v>1</v>
      </c>
      <c r="L527" s="3" t="s">
        <v>2556</v>
      </c>
      <c r="M527" s="17">
        <f>INDEX(Validade!H:H,MATCH('Controle de Validade'!A527,Validade!C:C,0))</f>
        <v>47011</v>
      </c>
      <c r="N527" s="18"/>
    </row>
    <row r="528" spans="1:14" ht="15" hidden="1" x14ac:dyDescent="0.2">
      <c r="A528" s="8" t="s">
        <v>1007</v>
      </c>
      <c r="B528" s="8" t="s">
        <v>2580</v>
      </c>
      <c r="C528" s="8" t="s">
        <v>1008</v>
      </c>
      <c r="D528" s="9" t="s">
        <v>2540</v>
      </c>
      <c r="E528" s="9" t="s">
        <v>2393</v>
      </c>
      <c r="F528" s="10" t="s">
        <v>2392</v>
      </c>
      <c r="G528" s="9" t="s">
        <v>2447</v>
      </c>
      <c r="H528" s="16" t="s">
        <v>2570</v>
      </c>
      <c r="I528" s="40" t="s">
        <v>3187</v>
      </c>
      <c r="J528" s="29" t="s">
        <v>2412</v>
      </c>
      <c r="K528" s="16">
        <v>1</v>
      </c>
      <c r="L528" s="3" t="s">
        <v>2556</v>
      </c>
      <c r="M528" s="17">
        <f>INDEX(Validade!H:H,MATCH('Controle de Validade'!A528,Validade!C:C,0))</f>
        <v>46607</v>
      </c>
      <c r="N528" s="18"/>
    </row>
    <row r="529" spans="1:14" ht="15" hidden="1" x14ac:dyDescent="0.2">
      <c r="A529" s="8" t="s">
        <v>2</v>
      </c>
      <c r="B529" s="8" t="s">
        <v>2579</v>
      </c>
      <c r="C529" s="8" t="s">
        <v>3</v>
      </c>
      <c r="D529" s="9" t="s">
        <v>1753</v>
      </c>
      <c r="E529" s="9" t="s">
        <v>2388</v>
      </c>
      <c r="F529" s="10" t="s">
        <v>2392</v>
      </c>
      <c r="G529" s="9" t="s">
        <v>2463</v>
      </c>
      <c r="H529" s="16" t="s">
        <v>2571</v>
      </c>
      <c r="I529" s="25" t="s">
        <v>2412</v>
      </c>
      <c r="J529" s="25" t="s">
        <v>2412</v>
      </c>
      <c r="K529" s="16">
        <v>0</v>
      </c>
      <c r="L529" s="3" t="s">
        <v>2556</v>
      </c>
      <c r="M529" s="17">
        <f>INDEX(Validade!H:H,MATCH('Controle de Validade'!A529,Validade!C:C,0))</f>
        <v>0</v>
      </c>
      <c r="N529" s="18"/>
    </row>
    <row r="530" spans="1:14" ht="15" hidden="1" x14ac:dyDescent="0.2">
      <c r="A530" s="8" t="s">
        <v>2365</v>
      </c>
      <c r="B530" s="8" t="s">
        <v>2687</v>
      </c>
      <c r="C530" s="8" t="s">
        <v>2756</v>
      </c>
      <c r="D530" s="9" t="s">
        <v>2507</v>
      </c>
      <c r="E530" s="9">
        <v>0</v>
      </c>
      <c r="F530" s="10" t="s">
        <v>2387</v>
      </c>
      <c r="G530" s="9" t="s">
        <v>2410</v>
      </c>
      <c r="H530" s="16" t="s">
        <v>2571</v>
      </c>
      <c r="I530" s="25" t="s">
        <v>2412</v>
      </c>
      <c r="J530" s="25" t="s">
        <v>2412</v>
      </c>
      <c r="K530" s="16">
        <v>0</v>
      </c>
      <c r="L530" s="3" t="s">
        <v>2556</v>
      </c>
      <c r="M530" s="17" t="e">
        <f>INDEX(Validade!H:H,MATCH('Controle de Validade'!A530,Validade!C:C,0))</f>
        <v>#N/A</v>
      </c>
      <c r="N530" s="18"/>
    </row>
    <row r="531" spans="1:14" ht="15" hidden="1" x14ac:dyDescent="0.2">
      <c r="A531" s="8" t="s">
        <v>1922</v>
      </c>
      <c r="B531" s="8" t="s">
        <v>2579</v>
      </c>
      <c r="C531" s="8" t="s">
        <v>1923</v>
      </c>
      <c r="D531" s="9" t="s">
        <v>41</v>
      </c>
      <c r="E531" s="9" t="s">
        <v>2388</v>
      </c>
      <c r="F531" s="10" t="s">
        <v>2961</v>
      </c>
      <c r="G531" s="9" t="s">
        <v>2429</v>
      </c>
      <c r="H531" s="16" t="s">
        <v>2570</v>
      </c>
      <c r="I531" s="32" t="s">
        <v>2993</v>
      </c>
      <c r="J531" s="26" t="s">
        <v>2994</v>
      </c>
      <c r="K531" s="16">
        <v>1</v>
      </c>
      <c r="L531" s="3" t="s">
        <v>2556</v>
      </c>
      <c r="M531" s="17">
        <f>INDEX(Validade!H:H,MATCH('Controle de Validade'!A531,Validade!C:C,0))</f>
        <v>45997</v>
      </c>
      <c r="N531" s="18"/>
    </row>
    <row r="532" spans="1:14" ht="15" hidden="1" x14ac:dyDescent="0.2">
      <c r="A532" s="8" t="s">
        <v>1916</v>
      </c>
      <c r="B532" s="8" t="s">
        <v>2579</v>
      </c>
      <c r="C532" s="8" t="s">
        <v>1917</v>
      </c>
      <c r="D532" s="9" t="s">
        <v>41</v>
      </c>
      <c r="E532" s="9" t="s">
        <v>2388</v>
      </c>
      <c r="F532" s="10" t="s">
        <v>2961</v>
      </c>
      <c r="G532" s="9" t="s">
        <v>2429</v>
      </c>
      <c r="H532" s="16" t="s">
        <v>2570</v>
      </c>
      <c r="I532" s="32" t="s">
        <v>2993</v>
      </c>
      <c r="J532" s="26" t="s">
        <v>2994</v>
      </c>
      <c r="K532" s="16">
        <v>1</v>
      </c>
      <c r="L532" s="3" t="s">
        <v>2556</v>
      </c>
      <c r="M532" s="17">
        <f>INDEX(Validade!H:H,MATCH('Controle de Validade'!A532,Validade!C:C,0))</f>
        <v>45843</v>
      </c>
      <c r="N532" s="18"/>
    </row>
    <row r="533" spans="1:14" ht="15" hidden="1" x14ac:dyDescent="0.2">
      <c r="A533" s="8" t="s">
        <v>2198</v>
      </c>
      <c r="B533" s="8" t="s">
        <v>2579</v>
      </c>
      <c r="C533" s="8" t="s">
        <v>2757</v>
      </c>
      <c r="D533" s="9" t="s">
        <v>2374</v>
      </c>
      <c r="E533" s="9" t="s">
        <v>2388</v>
      </c>
      <c r="F533" s="10" t="s">
        <v>2961</v>
      </c>
      <c r="G533" s="9" t="s">
        <v>2429</v>
      </c>
      <c r="H533" s="16" t="s">
        <v>2570</v>
      </c>
      <c r="I533" s="32" t="s">
        <v>2993</v>
      </c>
      <c r="J533" s="26" t="s">
        <v>3000</v>
      </c>
      <c r="K533" s="16">
        <v>1</v>
      </c>
      <c r="L533" s="3" t="s">
        <v>2556</v>
      </c>
      <c r="M533" s="17" t="e">
        <f>INDEX(Validade!H:H,MATCH('Controle de Validade'!A533,Validade!C:C,0))</f>
        <v>#N/A</v>
      </c>
      <c r="N533" s="18"/>
    </row>
    <row r="534" spans="1:14" ht="15" hidden="1" x14ac:dyDescent="0.2">
      <c r="A534" s="8" t="s">
        <v>2166</v>
      </c>
      <c r="B534" s="8" t="s">
        <v>2579</v>
      </c>
      <c r="C534" s="8" t="s">
        <v>2758</v>
      </c>
      <c r="D534" s="9" t="s">
        <v>41</v>
      </c>
      <c r="E534" s="9" t="s">
        <v>2388</v>
      </c>
      <c r="F534" s="10" t="s">
        <v>2961</v>
      </c>
      <c r="G534" s="9" t="s">
        <v>2429</v>
      </c>
      <c r="H534" s="16" t="s">
        <v>2570</v>
      </c>
      <c r="I534" s="32" t="s">
        <v>2993</v>
      </c>
      <c r="J534" s="26" t="s">
        <v>2994</v>
      </c>
      <c r="K534" s="16">
        <v>1</v>
      </c>
      <c r="L534" s="3" t="s">
        <v>2556</v>
      </c>
      <c r="M534" s="17" t="e">
        <f>INDEX(Validade!H:H,MATCH('Controle de Validade'!A534,Validade!C:C,0))</f>
        <v>#N/A</v>
      </c>
      <c r="N534" s="18"/>
    </row>
    <row r="535" spans="1:14" ht="15" hidden="1" x14ac:dyDescent="0.2">
      <c r="A535" s="8" t="s">
        <v>1919</v>
      </c>
      <c r="B535" s="8" t="s">
        <v>2579</v>
      </c>
      <c r="C535" s="8" t="s">
        <v>1920</v>
      </c>
      <c r="D535" s="9" t="s">
        <v>41</v>
      </c>
      <c r="E535" s="9" t="s">
        <v>2388</v>
      </c>
      <c r="F535" s="10" t="s">
        <v>2961</v>
      </c>
      <c r="G535" s="9" t="s">
        <v>2429</v>
      </c>
      <c r="H535" s="16" t="s">
        <v>2570</v>
      </c>
      <c r="I535" s="32" t="s">
        <v>2993</v>
      </c>
      <c r="J535" s="26" t="s">
        <v>2994</v>
      </c>
      <c r="K535" s="16">
        <v>1</v>
      </c>
      <c r="L535" s="3" t="s">
        <v>2556</v>
      </c>
      <c r="M535" s="17">
        <f>INDEX(Validade!H:H,MATCH('Controle de Validade'!A535,Validade!C:C,0))</f>
        <v>45730</v>
      </c>
      <c r="N535" s="18"/>
    </row>
    <row r="536" spans="1:14" ht="15" hidden="1" x14ac:dyDescent="0.2">
      <c r="A536" s="8" t="s">
        <v>1754</v>
      </c>
      <c r="B536" s="8" t="s">
        <v>2579</v>
      </c>
      <c r="C536" s="8" t="s">
        <v>1755</v>
      </c>
      <c r="D536" s="9" t="s">
        <v>2487</v>
      </c>
      <c r="E536" s="9" t="s">
        <v>2388</v>
      </c>
      <c r="F536" s="10" t="s">
        <v>2392</v>
      </c>
      <c r="G536" s="9" t="s">
        <v>2463</v>
      </c>
      <c r="H536" s="16" t="s">
        <v>2571</v>
      </c>
      <c r="I536" s="25" t="s">
        <v>2412</v>
      </c>
      <c r="J536" s="25" t="s">
        <v>2412</v>
      </c>
      <c r="K536" s="16">
        <v>0</v>
      </c>
      <c r="L536" s="3" t="s">
        <v>2556</v>
      </c>
      <c r="M536" s="17">
        <f>INDEX(Validade!H:H,MATCH('Controle de Validade'!A536,Validade!C:C,0))</f>
        <v>62458</v>
      </c>
      <c r="N536" s="18"/>
    </row>
    <row r="537" spans="1:14" ht="15" hidden="1" x14ac:dyDescent="0.2">
      <c r="A537" s="8" t="s">
        <v>1842</v>
      </c>
      <c r="B537" s="8" t="s">
        <v>2579</v>
      </c>
      <c r="C537" s="8" t="s">
        <v>1843</v>
      </c>
      <c r="D537" s="9" t="s">
        <v>2443</v>
      </c>
      <c r="E537" s="9" t="s">
        <v>2388</v>
      </c>
      <c r="F537" s="10" t="s">
        <v>2392</v>
      </c>
      <c r="G537" s="9" t="s">
        <v>2410</v>
      </c>
      <c r="H537" s="16" t="s">
        <v>2571</v>
      </c>
      <c r="I537" s="25" t="s">
        <v>2412</v>
      </c>
      <c r="J537" s="25" t="s">
        <v>2412</v>
      </c>
      <c r="K537" s="16">
        <v>0</v>
      </c>
      <c r="L537" s="3" t="s">
        <v>2556</v>
      </c>
      <c r="M537" s="17">
        <f>INDEX(Validade!H:H,MATCH('Controle de Validade'!A537,Validade!C:C,0))</f>
        <v>62458</v>
      </c>
      <c r="N537" s="18"/>
    </row>
    <row r="538" spans="1:14" ht="15" hidden="1" x14ac:dyDescent="0.2">
      <c r="A538" s="11" t="s">
        <v>1756</v>
      </c>
      <c r="B538" s="8" t="s">
        <v>2579</v>
      </c>
      <c r="C538" s="8" t="s">
        <v>1757</v>
      </c>
      <c r="D538" s="9" t="s">
        <v>2519</v>
      </c>
      <c r="E538" s="9" t="s">
        <v>2388</v>
      </c>
      <c r="F538" s="10" t="s">
        <v>2392</v>
      </c>
      <c r="G538" s="9" t="s">
        <v>2463</v>
      </c>
      <c r="H538" s="16" t="s">
        <v>2571</v>
      </c>
      <c r="I538" s="25" t="s">
        <v>2412</v>
      </c>
      <c r="J538" s="25" t="s">
        <v>2412</v>
      </c>
      <c r="K538" s="16">
        <v>0</v>
      </c>
      <c r="L538" s="3" t="s">
        <v>2556</v>
      </c>
      <c r="M538" s="17">
        <f>INDEX(Validade!H:H,MATCH('Controle de Validade'!A538,Validade!C:C,0))</f>
        <v>0</v>
      </c>
      <c r="N538" s="18"/>
    </row>
    <row r="539" spans="1:14" ht="15" hidden="1" x14ac:dyDescent="0.2">
      <c r="A539" s="8" t="s">
        <v>2003</v>
      </c>
      <c r="B539" s="8" t="e">
        <v>#N/A</v>
      </c>
      <c r="C539" s="8" t="e">
        <v>#N/A</v>
      </c>
      <c r="D539" s="9" t="e">
        <v>#N/A</v>
      </c>
      <c r="E539" s="9" t="s">
        <v>2388</v>
      </c>
      <c r="F539" s="10" t="s">
        <v>2387</v>
      </c>
      <c r="G539" s="9" t="s">
        <v>2410</v>
      </c>
      <c r="H539" s="16" t="s">
        <v>2571</v>
      </c>
      <c r="I539" s="25" t="s">
        <v>2412</v>
      </c>
      <c r="J539" s="25" t="s">
        <v>2412</v>
      </c>
      <c r="K539" s="16">
        <v>0</v>
      </c>
      <c r="L539" s="3" t="s">
        <v>2556</v>
      </c>
      <c r="M539" s="17" t="e">
        <f>INDEX(Validade!H:H,MATCH('Controle de Validade'!A539,Validade!C:C,0))</f>
        <v>#N/A</v>
      </c>
      <c r="N539" s="18"/>
    </row>
    <row r="540" spans="1:14" ht="15" hidden="1" x14ac:dyDescent="0.2">
      <c r="A540" s="8" t="s">
        <v>1926</v>
      </c>
      <c r="B540" s="8" t="s">
        <v>2579</v>
      </c>
      <c r="C540" s="8" t="s">
        <v>1927</v>
      </c>
      <c r="D540" s="9" t="s">
        <v>41</v>
      </c>
      <c r="E540" s="9" t="s">
        <v>2388</v>
      </c>
      <c r="F540" s="10" t="s">
        <v>2961</v>
      </c>
      <c r="G540" s="9" t="s">
        <v>2429</v>
      </c>
      <c r="H540" s="16" t="s">
        <v>2570</v>
      </c>
      <c r="I540" s="32" t="s">
        <v>2993</v>
      </c>
      <c r="J540" s="26" t="s">
        <v>2994</v>
      </c>
      <c r="K540" s="16">
        <v>1</v>
      </c>
      <c r="L540" s="3" t="s">
        <v>2556</v>
      </c>
      <c r="M540" s="17">
        <f>INDEX(Validade!H:H,MATCH('Controle de Validade'!A540,Validade!C:C,0))</f>
        <v>45923</v>
      </c>
      <c r="N540" s="18"/>
    </row>
    <row r="541" spans="1:14" ht="15" hidden="1" x14ac:dyDescent="0.2">
      <c r="A541" s="8" t="s">
        <v>1829</v>
      </c>
      <c r="B541" s="8" t="s">
        <v>2579</v>
      </c>
      <c r="C541" s="8" t="s">
        <v>1830</v>
      </c>
      <c r="D541" s="9" t="s">
        <v>15</v>
      </c>
      <c r="E541" s="9" t="s">
        <v>2388</v>
      </c>
      <c r="F541" s="10" t="s">
        <v>2387</v>
      </c>
      <c r="G541" s="9" t="s">
        <v>2407</v>
      </c>
      <c r="H541" s="16" t="s">
        <v>2571</v>
      </c>
      <c r="I541" s="25" t="s">
        <v>2412</v>
      </c>
      <c r="J541" s="25" t="s">
        <v>2412</v>
      </c>
      <c r="K541" s="16">
        <v>0</v>
      </c>
      <c r="L541" s="3" t="s">
        <v>2556</v>
      </c>
      <c r="M541" s="17">
        <f>INDEX(Validade!H:H,MATCH('Controle de Validade'!A541,Validade!C:C,0))</f>
        <v>62458</v>
      </c>
      <c r="N541" s="18"/>
    </row>
    <row r="542" spans="1:14" ht="15" hidden="1" x14ac:dyDescent="0.2">
      <c r="A542" s="8" t="s">
        <v>2341</v>
      </c>
      <c r="B542" s="8" t="s">
        <v>2579</v>
      </c>
      <c r="C542" s="8" t="s">
        <v>2759</v>
      </c>
      <c r="D542" s="9" t="s">
        <v>15</v>
      </c>
      <c r="E542" s="9" t="s">
        <v>2388</v>
      </c>
      <c r="F542" s="10" t="s">
        <v>2387</v>
      </c>
      <c r="G542" s="9" t="s">
        <v>2410</v>
      </c>
      <c r="H542" s="16" t="s">
        <v>2571</v>
      </c>
      <c r="I542" s="25" t="s">
        <v>2412</v>
      </c>
      <c r="J542" s="25" t="s">
        <v>2412</v>
      </c>
      <c r="K542" s="16">
        <v>0</v>
      </c>
      <c r="L542" s="3" t="s">
        <v>2556</v>
      </c>
      <c r="M542" s="17" t="e">
        <f>INDEX(Validade!H:H,MATCH('Controle de Validade'!A542,Validade!C:C,0))</f>
        <v>#N/A</v>
      </c>
      <c r="N542" s="18"/>
    </row>
    <row r="543" spans="1:14" ht="15" hidden="1" x14ac:dyDescent="0.2">
      <c r="A543" s="8" t="s">
        <v>1905</v>
      </c>
      <c r="B543" s="8" t="s">
        <v>2579</v>
      </c>
      <c r="C543" s="8" t="s">
        <v>1906</v>
      </c>
      <c r="D543" s="9">
        <v>0</v>
      </c>
      <c r="E543" s="9" t="s">
        <v>2388</v>
      </c>
      <c r="F543" s="10" t="s">
        <v>2387</v>
      </c>
      <c r="G543" s="9" t="s">
        <v>2407</v>
      </c>
      <c r="H543" s="16" t="s">
        <v>2571</v>
      </c>
      <c r="I543" s="25" t="s">
        <v>2412</v>
      </c>
      <c r="J543" s="25" t="s">
        <v>2412</v>
      </c>
      <c r="K543" s="16">
        <v>0</v>
      </c>
      <c r="L543" s="3" t="s">
        <v>2556</v>
      </c>
      <c r="M543" s="17">
        <f>INDEX(Validade!H:H,MATCH('Controle de Validade'!A543,Validade!C:C,0))</f>
        <v>62458</v>
      </c>
      <c r="N543" s="18"/>
    </row>
    <row r="544" spans="1:14" ht="15" hidden="1" x14ac:dyDescent="0.2">
      <c r="A544" s="8" t="s">
        <v>1827</v>
      </c>
      <c r="B544" s="8" t="s">
        <v>2579</v>
      </c>
      <c r="C544" s="8" t="s">
        <v>1828</v>
      </c>
      <c r="D544" s="9" t="s">
        <v>15</v>
      </c>
      <c r="E544" s="9" t="s">
        <v>2388</v>
      </c>
      <c r="F544" s="10" t="s">
        <v>2387</v>
      </c>
      <c r="G544" s="9" t="s">
        <v>2407</v>
      </c>
      <c r="H544" s="16" t="s">
        <v>2571</v>
      </c>
      <c r="I544" s="25" t="s">
        <v>2412</v>
      </c>
      <c r="J544" s="25" t="s">
        <v>2412</v>
      </c>
      <c r="K544" s="16">
        <v>0</v>
      </c>
      <c r="L544" s="3" t="s">
        <v>2556</v>
      </c>
      <c r="M544" s="17">
        <f>INDEX(Validade!H:H,MATCH('Controle de Validade'!A544,Validade!C:C,0))</f>
        <v>62458</v>
      </c>
      <c r="N544" s="18"/>
    </row>
    <row r="545" spans="1:14" ht="15" hidden="1" x14ac:dyDescent="0.2">
      <c r="A545" s="37" t="s">
        <v>149</v>
      </c>
      <c r="B545" s="8" t="s">
        <v>2581</v>
      </c>
      <c r="C545" s="8" t="s">
        <v>150</v>
      </c>
      <c r="D545" s="9" t="s">
        <v>2542</v>
      </c>
      <c r="E545" s="9" t="s">
        <v>2393</v>
      </c>
      <c r="F545" s="10" t="s">
        <v>2392</v>
      </c>
      <c r="G545" s="9" t="s">
        <v>2428</v>
      </c>
      <c r="H545" s="16" t="s">
        <v>2570</v>
      </c>
      <c r="I545" s="39"/>
      <c r="J545" s="43"/>
      <c r="K545" s="16">
        <v>1</v>
      </c>
      <c r="L545" s="3" t="s">
        <v>2556</v>
      </c>
      <c r="M545" s="17">
        <f>INDEX(Validade!H:H,MATCH('Controle de Validade'!A545,Validade!C:C,0))</f>
        <v>45974</v>
      </c>
      <c r="N545" s="18"/>
    </row>
    <row r="546" spans="1:14" ht="15" hidden="1" x14ac:dyDescent="0.2">
      <c r="A546" s="8" t="s">
        <v>1848</v>
      </c>
      <c r="B546" s="8" t="s">
        <v>2579</v>
      </c>
      <c r="C546" s="8" t="s">
        <v>1849</v>
      </c>
      <c r="D546" s="9" t="s">
        <v>3156</v>
      </c>
      <c r="E546" s="9" t="s">
        <v>2388</v>
      </c>
      <c r="F546" s="10" t="s">
        <v>2392</v>
      </c>
      <c r="G546" s="9" t="s">
        <v>2463</v>
      </c>
      <c r="H546" s="16" t="s">
        <v>2571</v>
      </c>
      <c r="I546" s="25" t="s">
        <v>2412</v>
      </c>
      <c r="J546" s="25" t="s">
        <v>2412</v>
      </c>
      <c r="K546" s="16">
        <v>0</v>
      </c>
      <c r="L546" s="3" t="s">
        <v>2556</v>
      </c>
      <c r="M546" s="17">
        <f>INDEX(Validade!H:H,MATCH('Controle de Validade'!A546,Validade!C:C,0))</f>
        <v>0</v>
      </c>
      <c r="N546" s="18"/>
    </row>
    <row r="547" spans="1:14" ht="15" hidden="1" x14ac:dyDescent="0.2">
      <c r="A547" s="8" t="s">
        <v>2008</v>
      </c>
      <c r="B547" s="8" t="s">
        <v>2579</v>
      </c>
      <c r="C547" s="8" t="s">
        <v>2760</v>
      </c>
      <c r="D547" s="9" t="s">
        <v>15</v>
      </c>
      <c r="E547" s="9" t="s">
        <v>2388</v>
      </c>
      <c r="F547" s="10" t="s">
        <v>2387</v>
      </c>
      <c r="G547" s="9" t="s">
        <v>2410</v>
      </c>
      <c r="H547" s="16" t="s">
        <v>2571</v>
      </c>
      <c r="I547" s="25" t="s">
        <v>2412</v>
      </c>
      <c r="J547" s="25" t="s">
        <v>2412</v>
      </c>
      <c r="K547" s="16">
        <v>0</v>
      </c>
      <c r="L547" s="3" t="s">
        <v>2556</v>
      </c>
      <c r="M547" s="17" t="e">
        <f>INDEX(Validade!H:H,MATCH('Controle de Validade'!A547,Validade!C:C,0))</f>
        <v>#N/A</v>
      </c>
      <c r="N547" s="18"/>
    </row>
    <row r="548" spans="1:14" ht="15" hidden="1" x14ac:dyDescent="0.2">
      <c r="A548" s="8" t="s">
        <v>1868</v>
      </c>
      <c r="B548" s="8" t="s">
        <v>2687</v>
      </c>
      <c r="C548" s="8" t="s">
        <v>1869</v>
      </c>
      <c r="D548" s="9" t="s">
        <v>2440</v>
      </c>
      <c r="E548" s="9" t="s">
        <v>2388</v>
      </c>
      <c r="F548" s="10" t="s">
        <v>2387</v>
      </c>
      <c r="G548" s="9" t="s">
        <v>2410</v>
      </c>
      <c r="H548" s="16" t="s">
        <v>2570</v>
      </c>
      <c r="I548" s="52" t="s">
        <v>3189</v>
      </c>
      <c r="J548" s="53" t="s">
        <v>2412</v>
      </c>
      <c r="K548" s="16">
        <v>1</v>
      </c>
      <c r="L548" s="3" t="s">
        <v>2556</v>
      </c>
      <c r="M548" s="17">
        <f>INDEX(Validade!H:H,MATCH('Controle de Validade'!A548,Validade!C:C,0))</f>
        <v>45753</v>
      </c>
      <c r="N548" s="18"/>
    </row>
    <row r="549" spans="1:14" ht="15" hidden="1" x14ac:dyDescent="0.2">
      <c r="A549" s="8" t="s">
        <v>1864</v>
      </c>
      <c r="B549" s="8" t="s">
        <v>2579</v>
      </c>
      <c r="C549" s="8" t="s">
        <v>1865</v>
      </c>
      <c r="D549" s="9" t="s">
        <v>1859</v>
      </c>
      <c r="E549" s="9" t="s">
        <v>2393</v>
      </c>
      <c r="F549" s="10" t="s">
        <v>2387</v>
      </c>
      <c r="G549" s="9" t="s">
        <v>2446</v>
      </c>
      <c r="H549" s="16" t="s">
        <v>2571</v>
      </c>
      <c r="I549" s="25" t="s">
        <v>2412</v>
      </c>
      <c r="J549" s="25" t="s">
        <v>2412</v>
      </c>
      <c r="K549" s="16">
        <v>0</v>
      </c>
      <c r="L549" s="3" t="s">
        <v>2556</v>
      </c>
      <c r="M549" s="17">
        <f>INDEX(Validade!H:H,MATCH('Controle de Validade'!A549,Validade!C:C,0))</f>
        <v>0</v>
      </c>
      <c r="N549" s="18"/>
    </row>
    <row r="550" spans="1:14" ht="15" hidden="1" x14ac:dyDescent="0.2">
      <c r="A550" s="8" t="s">
        <v>1861</v>
      </c>
      <c r="B550" s="8" t="s">
        <v>2579</v>
      </c>
      <c r="C550" s="8" t="s">
        <v>1862</v>
      </c>
      <c r="D550" s="9" t="s">
        <v>1859</v>
      </c>
      <c r="E550" s="9" t="s">
        <v>2393</v>
      </c>
      <c r="F550" s="10" t="s">
        <v>2387</v>
      </c>
      <c r="G550" s="9" t="s">
        <v>2446</v>
      </c>
      <c r="H550" s="16" t="s">
        <v>2571</v>
      </c>
      <c r="I550" s="25" t="s">
        <v>2412</v>
      </c>
      <c r="J550" s="25" t="s">
        <v>2412</v>
      </c>
      <c r="K550" s="16">
        <v>0</v>
      </c>
      <c r="L550" s="3" t="s">
        <v>2556</v>
      </c>
      <c r="M550" s="17">
        <f>INDEX(Validade!H:H,MATCH('Controle de Validade'!A550,Validade!C:C,0))</f>
        <v>0</v>
      </c>
      <c r="N550" s="18"/>
    </row>
    <row r="551" spans="1:14" ht="15" hidden="1" x14ac:dyDescent="0.2">
      <c r="A551" s="8" t="s">
        <v>1857</v>
      </c>
      <c r="B551" s="8" t="s">
        <v>2579</v>
      </c>
      <c r="C551" s="8" t="s">
        <v>1858</v>
      </c>
      <c r="D551" s="9" t="e">
        <v>#N/A</v>
      </c>
      <c r="E551" s="9" t="s">
        <v>2393</v>
      </c>
      <c r="F551" s="10" t="s">
        <v>2387</v>
      </c>
      <c r="G551" s="9" t="s">
        <v>2446</v>
      </c>
      <c r="H551" s="16" t="s">
        <v>2571</v>
      </c>
      <c r="I551" s="25" t="s">
        <v>2412</v>
      </c>
      <c r="J551" s="25" t="s">
        <v>2412</v>
      </c>
      <c r="K551" s="16">
        <v>0</v>
      </c>
      <c r="L551" s="3" t="s">
        <v>2556</v>
      </c>
      <c r="M551" s="17">
        <f>INDEX(Validade!H:H,MATCH('Controle de Validade'!A551,Validade!C:C,0))</f>
        <v>0</v>
      </c>
      <c r="N551" s="18"/>
    </row>
    <row r="552" spans="1:14" ht="15" hidden="1" x14ac:dyDescent="0.2">
      <c r="A552" s="8" t="s">
        <v>1743</v>
      </c>
      <c r="B552" s="8" t="s">
        <v>2579</v>
      </c>
      <c r="C552" s="8" t="s">
        <v>1744</v>
      </c>
      <c r="D552" s="9" t="s">
        <v>1766</v>
      </c>
      <c r="E552" s="9" t="s">
        <v>2388</v>
      </c>
      <c r="F552" s="10" t="s">
        <v>2387</v>
      </c>
      <c r="G552" s="9" t="s">
        <v>2428</v>
      </c>
      <c r="H552" s="16" t="s">
        <v>2570</v>
      </c>
      <c r="I552" s="32" t="s">
        <v>2993</v>
      </c>
      <c r="J552" s="38" t="s">
        <v>2412</v>
      </c>
      <c r="K552" s="16">
        <v>1</v>
      </c>
      <c r="L552" s="3" t="s">
        <v>2556</v>
      </c>
      <c r="M552" s="17">
        <f>INDEX(Validade!H:H,MATCH('Controle de Validade'!A552,Validade!C:C,0))</f>
        <v>45941</v>
      </c>
      <c r="N552" s="18"/>
    </row>
    <row r="553" spans="1:14" ht="15" hidden="1" x14ac:dyDescent="0.2">
      <c r="A553" s="8" t="s">
        <v>2105</v>
      </c>
      <c r="B553" s="8" t="s">
        <v>2579</v>
      </c>
      <c r="C553" s="8" t="s">
        <v>2761</v>
      </c>
      <c r="D553" s="9" t="s">
        <v>2508</v>
      </c>
      <c r="E553" s="9" t="s">
        <v>2388</v>
      </c>
      <c r="F553" s="10" t="s">
        <v>2961</v>
      </c>
      <c r="G553" s="9" t="s">
        <v>2394</v>
      </c>
      <c r="H553" s="16" t="s">
        <v>2570</v>
      </c>
      <c r="I553" s="32" t="s">
        <v>2993</v>
      </c>
      <c r="J553" s="38" t="s">
        <v>2412</v>
      </c>
      <c r="K553" s="16">
        <v>1</v>
      </c>
      <c r="L553" s="3" t="s">
        <v>2556</v>
      </c>
      <c r="M553" s="17" t="e">
        <f>INDEX(Validade!H:H,MATCH('Controle de Validade'!A553,Validade!C:C,0))</f>
        <v>#N/A</v>
      </c>
      <c r="N553" s="18"/>
    </row>
    <row r="554" spans="1:14" ht="15" hidden="1" x14ac:dyDescent="0.2">
      <c r="A554" s="8" t="s">
        <v>1745</v>
      </c>
      <c r="B554" s="8" t="s">
        <v>2579</v>
      </c>
      <c r="C554" s="8" t="s">
        <v>1746</v>
      </c>
      <c r="D554" s="9" t="s">
        <v>1766</v>
      </c>
      <c r="E554" s="9" t="s">
        <v>2388</v>
      </c>
      <c r="F554" s="10" t="s">
        <v>2387</v>
      </c>
      <c r="G554" s="9" t="s">
        <v>2394</v>
      </c>
      <c r="H554" s="16" t="s">
        <v>2570</v>
      </c>
      <c r="I554" s="32" t="s">
        <v>2993</v>
      </c>
      <c r="J554" s="38" t="s">
        <v>2412</v>
      </c>
      <c r="K554" s="16">
        <v>1</v>
      </c>
      <c r="L554" s="3" t="s">
        <v>2556</v>
      </c>
      <c r="M554" s="17">
        <f>INDEX(Validade!H:H,MATCH('Controle de Validade'!A554,Validade!C:C,0))</f>
        <v>45941</v>
      </c>
      <c r="N554" s="18"/>
    </row>
    <row r="555" spans="1:14" ht="15" hidden="1" x14ac:dyDescent="0.2">
      <c r="A555" s="8" t="s">
        <v>2110</v>
      </c>
      <c r="B555" s="8" t="s">
        <v>2579</v>
      </c>
      <c r="C555" s="8" t="s">
        <v>2762</v>
      </c>
      <c r="D555" s="9" t="s">
        <v>2508</v>
      </c>
      <c r="E555" s="9" t="s">
        <v>2388</v>
      </c>
      <c r="F555" s="10" t="s">
        <v>2961</v>
      </c>
      <c r="G555" s="9" t="s">
        <v>2429</v>
      </c>
      <c r="H555" s="16" t="s">
        <v>2570</v>
      </c>
      <c r="I555" s="32" t="s">
        <v>2993</v>
      </c>
      <c r="J555" s="38" t="s">
        <v>2412</v>
      </c>
      <c r="K555" s="16">
        <v>1</v>
      </c>
      <c r="L555" s="3" t="s">
        <v>2556</v>
      </c>
      <c r="M555" s="17" t="e">
        <f>INDEX(Validade!H:H,MATCH('Controle de Validade'!A555,Validade!C:C,0))</f>
        <v>#N/A</v>
      </c>
      <c r="N555" s="18"/>
    </row>
    <row r="556" spans="1:14" ht="15" hidden="1" x14ac:dyDescent="0.2">
      <c r="A556" s="8" t="s">
        <v>2128</v>
      </c>
      <c r="B556" s="8" t="s">
        <v>2579</v>
      </c>
      <c r="C556" s="8" t="s">
        <v>2763</v>
      </c>
      <c r="D556" s="9" t="s">
        <v>2508</v>
      </c>
      <c r="E556" s="9" t="s">
        <v>2388</v>
      </c>
      <c r="F556" s="10" t="s">
        <v>2961</v>
      </c>
      <c r="G556" s="9" t="s">
        <v>2429</v>
      </c>
      <c r="H556" s="16" t="s">
        <v>2570</v>
      </c>
      <c r="I556" s="32" t="s">
        <v>2993</v>
      </c>
      <c r="J556" s="38" t="s">
        <v>2412</v>
      </c>
      <c r="K556" s="16">
        <v>1</v>
      </c>
      <c r="L556" s="3" t="s">
        <v>2556</v>
      </c>
      <c r="M556" s="17" t="e">
        <f>INDEX(Validade!H:H,MATCH('Controle de Validade'!A556,Validade!C:C,0))</f>
        <v>#N/A</v>
      </c>
      <c r="N556" s="18"/>
    </row>
    <row r="557" spans="1:14" ht="15" hidden="1" x14ac:dyDescent="0.2">
      <c r="A557" s="8" t="s">
        <v>88</v>
      </c>
      <c r="B557" s="8" t="s">
        <v>2579</v>
      </c>
      <c r="C557" s="8" t="s">
        <v>89</v>
      </c>
      <c r="D557" s="9" t="s">
        <v>177</v>
      </c>
      <c r="E557" s="9" t="s">
        <v>2388</v>
      </c>
      <c r="F557" s="10" t="s">
        <v>2387</v>
      </c>
      <c r="G557" s="9" t="s">
        <v>2433</v>
      </c>
      <c r="H557" s="16" t="s">
        <v>2571</v>
      </c>
      <c r="I557" s="25" t="s">
        <v>2412</v>
      </c>
      <c r="J557" s="25" t="s">
        <v>2412</v>
      </c>
      <c r="K557" s="16">
        <v>0</v>
      </c>
      <c r="L557" s="3" t="s">
        <v>2556</v>
      </c>
      <c r="M557" s="17">
        <f>INDEX(Validade!H:H,MATCH('Controle de Validade'!A557,Validade!C:C,0))</f>
        <v>62458</v>
      </c>
      <c r="N557" s="18"/>
    </row>
    <row r="558" spans="1:14" ht="15" hidden="1" x14ac:dyDescent="0.2">
      <c r="A558" s="8" t="s">
        <v>2112</v>
      </c>
      <c r="B558" s="8" t="s">
        <v>2579</v>
      </c>
      <c r="C558" s="8" t="s">
        <v>2764</v>
      </c>
      <c r="D558" s="9" t="s">
        <v>177</v>
      </c>
      <c r="E558" s="9" t="s">
        <v>2388</v>
      </c>
      <c r="F558" s="10" t="s">
        <v>2387</v>
      </c>
      <c r="G558" s="9" t="s">
        <v>2433</v>
      </c>
      <c r="H558" s="16" t="s">
        <v>2571</v>
      </c>
      <c r="I558" s="25" t="s">
        <v>2412</v>
      </c>
      <c r="J558" s="25" t="s">
        <v>2412</v>
      </c>
      <c r="K558" s="16">
        <v>0</v>
      </c>
      <c r="L558" s="3" t="s">
        <v>2556</v>
      </c>
      <c r="M558" s="17" t="e">
        <f>INDEX(Validade!H:H,MATCH('Controle de Validade'!A558,Validade!C:C,0))</f>
        <v>#N/A</v>
      </c>
      <c r="N558" s="18"/>
    </row>
    <row r="559" spans="1:14" ht="15" hidden="1" x14ac:dyDescent="0.2">
      <c r="A559" s="8" t="s">
        <v>2111</v>
      </c>
      <c r="B559" s="8" t="s">
        <v>2579</v>
      </c>
      <c r="C559" s="8" t="s">
        <v>2765</v>
      </c>
      <c r="D559" s="9" t="s">
        <v>177</v>
      </c>
      <c r="E559" s="9" t="s">
        <v>2388</v>
      </c>
      <c r="F559" s="10" t="s">
        <v>2387</v>
      </c>
      <c r="G559" s="9" t="s">
        <v>2433</v>
      </c>
      <c r="H559" s="16" t="s">
        <v>2571</v>
      </c>
      <c r="I559" s="25" t="s">
        <v>2412</v>
      </c>
      <c r="J559" s="25" t="s">
        <v>2412</v>
      </c>
      <c r="K559" s="16">
        <v>0</v>
      </c>
      <c r="L559" s="3" t="s">
        <v>2558</v>
      </c>
      <c r="M559" s="17" t="e">
        <f>INDEX(Validade!H:H,MATCH('Controle de Validade'!A559,Validade!C:C,0))</f>
        <v>#N/A</v>
      </c>
      <c r="N559" s="18"/>
    </row>
    <row r="560" spans="1:14" ht="15" hidden="1" x14ac:dyDescent="0.2">
      <c r="A560" s="8" t="s">
        <v>2103</v>
      </c>
      <c r="B560" s="8" t="s">
        <v>2579</v>
      </c>
      <c r="C560" s="8" t="s">
        <v>2766</v>
      </c>
      <c r="D560" s="9" t="s">
        <v>2507</v>
      </c>
      <c r="E560" s="9">
        <v>0</v>
      </c>
      <c r="F560" s="10" t="s">
        <v>2387</v>
      </c>
      <c r="G560" s="9" t="s">
        <v>2433</v>
      </c>
      <c r="H560" s="16" t="s">
        <v>2571</v>
      </c>
      <c r="I560" s="25" t="s">
        <v>2412</v>
      </c>
      <c r="J560" s="25" t="s">
        <v>2412</v>
      </c>
      <c r="K560" s="16">
        <v>0</v>
      </c>
      <c r="L560" s="3" t="s">
        <v>2558</v>
      </c>
      <c r="M560" s="17" t="e">
        <f>INDEX(Validade!H:H,MATCH('Controle de Validade'!A560,Validade!C:C,0))</f>
        <v>#N/A</v>
      </c>
      <c r="N560" s="18"/>
    </row>
    <row r="561" spans="1:14" ht="15" hidden="1" x14ac:dyDescent="0.2">
      <c r="A561" s="8" t="s">
        <v>2135</v>
      </c>
      <c r="B561" s="8" t="s">
        <v>2579</v>
      </c>
      <c r="C561" s="8" t="s">
        <v>2767</v>
      </c>
      <c r="D561" s="9" t="s">
        <v>177</v>
      </c>
      <c r="E561" s="9" t="s">
        <v>2388</v>
      </c>
      <c r="F561" s="10" t="s">
        <v>2387</v>
      </c>
      <c r="G561" s="9" t="s">
        <v>2433</v>
      </c>
      <c r="H561" s="16" t="s">
        <v>2571</v>
      </c>
      <c r="I561" s="25" t="s">
        <v>2412</v>
      </c>
      <c r="J561" s="25" t="s">
        <v>2412</v>
      </c>
      <c r="K561" s="16">
        <v>0</v>
      </c>
      <c r="L561" s="3" t="s">
        <v>2558</v>
      </c>
      <c r="M561" s="17" t="e">
        <f>INDEX(Validade!H:H,MATCH('Controle de Validade'!A561,Validade!C:C,0))</f>
        <v>#N/A</v>
      </c>
      <c r="N561" s="18"/>
    </row>
    <row r="562" spans="1:14" ht="15" hidden="1" x14ac:dyDescent="0.2">
      <c r="A562" s="8" t="s">
        <v>1831</v>
      </c>
      <c r="B562" s="8" t="s">
        <v>2579</v>
      </c>
      <c r="C562" s="8" t="s">
        <v>1832</v>
      </c>
      <c r="D562" s="9" t="s">
        <v>28</v>
      </c>
      <c r="E562" s="9" t="s">
        <v>2388</v>
      </c>
      <c r="F562" s="10" t="s">
        <v>2387</v>
      </c>
      <c r="G562" s="9" t="s">
        <v>2407</v>
      </c>
      <c r="H562" s="16" t="s">
        <v>2570</v>
      </c>
      <c r="I562" s="40" t="s">
        <v>3187</v>
      </c>
      <c r="J562" s="39" t="s">
        <v>2948</v>
      </c>
      <c r="K562" s="16">
        <v>1</v>
      </c>
      <c r="L562" s="3" t="s">
        <v>2556</v>
      </c>
      <c r="M562" s="17">
        <f>INDEX(Validade!H:H,MATCH('Controle de Validade'!A562,Validade!C:C,0))</f>
        <v>46506</v>
      </c>
      <c r="N562" s="18"/>
    </row>
    <row r="563" spans="1:14" ht="15" hidden="1" x14ac:dyDescent="0.2">
      <c r="A563" s="8" t="s">
        <v>1882</v>
      </c>
      <c r="B563" s="8" t="s">
        <v>2579</v>
      </c>
      <c r="C563" s="8" t="s">
        <v>1883</v>
      </c>
      <c r="D563" s="9" t="s">
        <v>177</v>
      </c>
      <c r="E563" s="9" t="s">
        <v>2388</v>
      </c>
      <c r="F563" s="10" t="s">
        <v>2387</v>
      </c>
      <c r="G563" s="9" t="s">
        <v>2433</v>
      </c>
      <c r="H563" s="16" t="s">
        <v>2571</v>
      </c>
      <c r="I563" s="25" t="s">
        <v>2412</v>
      </c>
      <c r="J563" s="25" t="s">
        <v>2412</v>
      </c>
      <c r="K563" s="16">
        <v>0</v>
      </c>
      <c r="L563" s="3" t="s">
        <v>2556</v>
      </c>
      <c r="M563" s="17">
        <f>INDEX(Validade!H:H,MATCH('Controle de Validade'!A563,Validade!C:C,0))</f>
        <v>0</v>
      </c>
      <c r="N563" s="18"/>
    </row>
    <row r="564" spans="1:14" ht="15" hidden="1" x14ac:dyDescent="0.2">
      <c r="A564" s="8" t="s">
        <v>1770</v>
      </c>
      <c r="B564" s="8" t="s">
        <v>2579</v>
      </c>
      <c r="C564" s="8" t="s">
        <v>1771</v>
      </c>
      <c r="D564" s="9" t="s">
        <v>177</v>
      </c>
      <c r="E564" s="9" t="s">
        <v>2388</v>
      </c>
      <c r="F564" s="10" t="s">
        <v>2387</v>
      </c>
      <c r="G564" s="9" t="s">
        <v>2433</v>
      </c>
      <c r="H564" s="16" t="s">
        <v>2571</v>
      </c>
      <c r="I564" s="25" t="s">
        <v>2412</v>
      </c>
      <c r="J564" s="25" t="s">
        <v>2412</v>
      </c>
      <c r="K564" s="16">
        <v>0</v>
      </c>
      <c r="L564" s="3" t="s">
        <v>2556</v>
      </c>
      <c r="M564" s="17">
        <f>INDEX(Validade!H:H,MATCH('Controle de Validade'!A564,Validade!C:C,0))</f>
        <v>62458</v>
      </c>
      <c r="N564" s="18"/>
    </row>
    <row r="565" spans="1:14" ht="15" hidden="1" x14ac:dyDescent="0.2">
      <c r="A565" s="8" t="s">
        <v>2134</v>
      </c>
      <c r="B565" s="8" t="s">
        <v>2579</v>
      </c>
      <c r="C565" s="8" t="s">
        <v>2768</v>
      </c>
      <c r="D565" s="9" t="s">
        <v>177</v>
      </c>
      <c r="E565" s="9" t="s">
        <v>2388</v>
      </c>
      <c r="F565" s="10" t="s">
        <v>2387</v>
      </c>
      <c r="G565" s="9" t="s">
        <v>2433</v>
      </c>
      <c r="H565" s="16" t="s">
        <v>2571</v>
      </c>
      <c r="I565" s="25" t="s">
        <v>2412</v>
      </c>
      <c r="J565" s="25" t="s">
        <v>2412</v>
      </c>
      <c r="K565" s="16">
        <v>0</v>
      </c>
      <c r="L565" s="3" t="s">
        <v>2558</v>
      </c>
      <c r="M565" s="17" t="e">
        <f>INDEX(Validade!H:H,MATCH('Controle de Validade'!A565,Validade!C:C,0))</f>
        <v>#N/A</v>
      </c>
      <c r="N565" s="18"/>
    </row>
    <row r="566" spans="1:14" ht="15" hidden="1" x14ac:dyDescent="0.2">
      <c r="A566" s="8" t="s">
        <v>1767</v>
      </c>
      <c r="B566" s="8" t="s">
        <v>2579</v>
      </c>
      <c r="C566" s="8" t="s">
        <v>1768</v>
      </c>
      <c r="D566" s="9" t="s">
        <v>41</v>
      </c>
      <c r="E566" s="9" t="s">
        <v>2388</v>
      </c>
      <c r="F566" s="10" t="s">
        <v>2961</v>
      </c>
      <c r="G566" s="9" t="s">
        <v>2429</v>
      </c>
      <c r="H566" s="16" t="s">
        <v>2570</v>
      </c>
      <c r="I566" s="32" t="s">
        <v>2993</v>
      </c>
      <c r="J566" s="26" t="s">
        <v>2994</v>
      </c>
      <c r="K566" s="16">
        <v>1</v>
      </c>
      <c r="L566" s="3" t="s">
        <v>2556</v>
      </c>
      <c r="M566" s="17">
        <f>INDEX(Validade!H:H,MATCH('Controle de Validade'!A566,Validade!C:C,0))</f>
        <v>45995</v>
      </c>
      <c r="N566" s="18"/>
    </row>
    <row r="567" spans="1:14" ht="15" hidden="1" x14ac:dyDescent="0.2">
      <c r="A567" s="8" t="s">
        <v>2106</v>
      </c>
      <c r="B567" s="8" t="s">
        <v>2579</v>
      </c>
      <c r="C567" s="8" t="s">
        <v>2769</v>
      </c>
      <c r="D567" s="9" t="s">
        <v>2508</v>
      </c>
      <c r="E567" s="9" t="s">
        <v>2388</v>
      </c>
      <c r="F567" s="10" t="s">
        <v>2961</v>
      </c>
      <c r="G567" s="9" t="s">
        <v>2429</v>
      </c>
      <c r="H567" s="16" t="s">
        <v>2570</v>
      </c>
      <c r="I567" s="32" t="s">
        <v>2993</v>
      </c>
      <c r="J567" s="38" t="s">
        <v>2412</v>
      </c>
      <c r="K567" s="16">
        <v>1</v>
      </c>
      <c r="L567" s="3" t="s">
        <v>2556</v>
      </c>
      <c r="M567" s="17" t="e">
        <f>INDEX(Validade!H:H,MATCH('Controle de Validade'!A567,Validade!C:C,0))</f>
        <v>#N/A</v>
      </c>
      <c r="N567" s="18"/>
    </row>
    <row r="568" spans="1:14" ht="15" hidden="1" x14ac:dyDescent="0.2">
      <c r="A568" s="8" t="s">
        <v>2107</v>
      </c>
      <c r="B568" s="8" t="s">
        <v>2579</v>
      </c>
      <c r="C568" s="8" t="s">
        <v>2770</v>
      </c>
      <c r="D568" s="9" t="s">
        <v>2508</v>
      </c>
      <c r="E568" s="9" t="s">
        <v>2388</v>
      </c>
      <c r="F568" s="10" t="s">
        <v>2961</v>
      </c>
      <c r="G568" s="9" t="s">
        <v>2429</v>
      </c>
      <c r="H568" s="16" t="s">
        <v>2570</v>
      </c>
      <c r="I568" s="32" t="s">
        <v>2993</v>
      </c>
      <c r="J568" s="38" t="s">
        <v>2412</v>
      </c>
      <c r="K568" s="16">
        <v>1</v>
      </c>
      <c r="L568" s="3" t="s">
        <v>2556</v>
      </c>
      <c r="M568" s="17" t="e">
        <f>INDEX(Validade!H:H,MATCH('Controle de Validade'!A568,Validade!C:C,0))</f>
        <v>#N/A</v>
      </c>
      <c r="N568" s="18"/>
    </row>
    <row r="569" spans="1:14" ht="15" hidden="1" x14ac:dyDescent="0.2">
      <c r="A569" s="8" t="s">
        <v>2109</v>
      </c>
      <c r="B569" s="8" t="s">
        <v>2579</v>
      </c>
      <c r="C569" s="8" t="s">
        <v>2771</v>
      </c>
      <c r="D569" s="9" t="s">
        <v>2508</v>
      </c>
      <c r="E569" s="9" t="s">
        <v>2388</v>
      </c>
      <c r="F569" s="10" t="s">
        <v>2961</v>
      </c>
      <c r="G569" s="9" t="s">
        <v>2429</v>
      </c>
      <c r="H569" s="16" t="s">
        <v>2570</v>
      </c>
      <c r="I569" s="32" t="s">
        <v>2993</v>
      </c>
      <c r="J569" s="38" t="s">
        <v>2412</v>
      </c>
      <c r="K569" s="16">
        <v>1</v>
      </c>
      <c r="L569" s="3" t="s">
        <v>2556</v>
      </c>
      <c r="M569" s="17" t="e">
        <f>INDEX(Validade!H:H,MATCH('Controle de Validade'!A569,Validade!C:C,0))</f>
        <v>#N/A</v>
      </c>
      <c r="N569" s="18"/>
    </row>
    <row r="570" spans="1:14" ht="15" hidden="1" x14ac:dyDescent="0.2">
      <c r="A570" s="8" t="s">
        <v>2104</v>
      </c>
      <c r="B570" s="8" t="s">
        <v>2579</v>
      </c>
      <c r="C570" s="8" t="s">
        <v>2772</v>
      </c>
      <c r="D570" s="9" t="s">
        <v>2508</v>
      </c>
      <c r="E570" s="9" t="s">
        <v>2388</v>
      </c>
      <c r="F570" s="10" t="s">
        <v>2961</v>
      </c>
      <c r="G570" s="9" t="s">
        <v>2429</v>
      </c>
      <c r="H570" s="16" t="s">
        <v>2570</v>
      </c>
      <c r="I570" s="32" t="s">
        <v>2993</v>
      </c>
      <c r="J570" s="38" t="s">
        <v>2412</v>
      </c>
      <c r="K570" s="16">
        <v>1</v>
      </c>
      <c r="L570" s="3" t="s">
        <v>2556</v>
      </c>
      <c r="M570" s="17" t="e">
        <f>INDEX(Validade!H:H,MATCH('Controle de Validade'!A570,Validade!C:C,0))</f>
        <v>#N/A</v>
      </c>
      <c r="N570" s="18"/>
    </row>
    <row r="571" spans="1:14" ht="15" hidden="1" x14ac:dyDescent="0.2">
      <c r="A571" s="8" t="s">
        <v>2126</v>
      </c>
      <c r="B571" s="8" t="s">
        <v>2579</v>
      </c>
      <c r="C571" s="8" t="s">
        <v>2773</v>
      </c>
      <c r="D571" s="9" t="s">
        <v>2508</v>
      </c>
      <c r="E571" s="9" t="s">
        <v>2388</v>
      </c>
      <c r="F571" s="10" t="s">
        <v>2961</v>
      </c>
      <c r="G571" s="9" t="s">
        <v>2429</v>
      </c>
      <c r="H571" s="16" t="s">
        <v>2570</v>
      </c>
      <c r="I571" s="32" t="s">
        <v>2993</v>
      </c>
      <c r="J571" s="38" t="s">
        <v>2412</v>
      </c>
      <c r="K571" s="16">
        <v>1</v>
      </c>
      <c r="L571" s="3" t="s">
        <v>2556</v>
      </c>
      <c r="M571" s="17" t="e">
        <f>INDEX(Validade!H:H,MATCH('Controle de Validade'!A571,Validade!C:C,0))</f>
        <v>#N/A</v>
      </c>
      <c r="N571" s="18"/>
    </row>
    <row r="572" spans="1:14" ht="15" hidden="1" x14ac:dyDescent="0.2">
      <c r="A572" s="8" t="s">
        <v>2127</v>
      </c>
      <c r="B572" s="8" t="s">
        <v>2579</v>
      </c>
      <c r="C572" s="8" t="s">
        <v>2774</v>
      </c>
      <c r="D572" s="9" t="s">
        <v>2508</v>
      </c>
      <c r="E572" s="9" t="s">
        <v>2388</v>
      </c>
      <c r="F572" s="10" t="s">
        <v>2961</v>
      </c>
      <c r="G572" s="9" t="s">
        <v>2429</v>
      </c>
      <c r="H572" s="16" t="s">
        <v>2570</v>
      </c>
      <c r="I572" s="32" t="s">
        <v>2993</v>
      </c>
      <c r="J572" s="38" t="s">
        <v>2412</v>
      </c>
      <c r="K572" s="16">
        <v>1</v>
      </c>
      <c r="L572" s="3" t="s">
        <v>2556</v>
      </c>
      <c r="M572" s="17" t="e">
        <f>INDEX(Validade!H:H,MATCH('Controle de Validade'!A572,Validade!C:C,0))</f>
        <v>#N/A</v>
      </c>
      <c r="N572" s="18"/>
    </row>
    <row r="573" spans="1:14" ht="15" hidden="1" x14ac:dyDescent="0.2">
      <c r="A573" s="28" t="s">
        <v>2119</v>
      </c>
      <c r="B573" s="8" t="s">
        <v>2581</v>
      </c>
      <c r="C573" s="8" t="s">
        <v>2775</v>
      </c>
      <c r="D573" s="9" t="s">
        <v>1766</v>
      </c>
      <c r="E573" s="9" t="s">
        <v>2388</v>
      </c>
      <c r="F573" s="10" t="s">
        <v>2392</v>
      </c>
      <c r="G573" s="9" t="s">
        <v>2428</v>
      </c>
      <c r="H573" s="19" t="s">
        <v>2570</v>
      </c>
      <c r="I573" s="57"/>
      <c r="J573" s="39"/>
      <c r="K573" s="16">
        <v>1</v>
      </c>
      <c r="L573" s="3" t="s">
        <v>2556</v>
      </c>
      <c r="M573" s="17" t="e">
        <f>INDEX(Validade!H:H,MATCH('Controle de Validade'!A573,Validade!C:C,0))</f>
        <v>#N/A</v>
      </c>
      <c r="N573" s="18"/>
    </row>
    <row r="574" spans="1:14" ht="15" hidden="1" x14ac:dyDescent="0.2">
      <c r="A574" s="28" t="s">
        <v>2120</v>
      </c>
      <c r="B574" s="8" t="s">
        <v>2581</v>
      </c>
      <c r="C574" s="8" t="s">
        <v>2776</v>
      </c>
      <c r="D574" s="9" t="s">
        <v>1766</v>
      </c>
      <c r="E574" s="9" t="s">
        <v>2388</v>
      </c>
      <c r="F574" s="10" t="s">
        <v>2387</v>
      </c>
      <c r="G574" s="9" t="s">
        <v>2426</v>
      </c>
      <c r="H574" s="16" t="s">
        <v>2570</v>
      </c>
      <c r="I574" s="39"/>
      <c r="J574" s="39"/>
      <c r="K574" s="16">
        <v>1</v>
      </c>
      <c r="L574" s="3" t="s">
        <v>2556</v>
      </c>
      <c r="M574" s="17" t="e">
        <f>INDEX(Validade!H:H,MATCH('Controle de Validade'!A574,Validade!C:C,0))</f>
        <v>#N/A</v>
      </c>
      <c r="N574" s="18"/>
    </row>
    <row r="575" spans="1:14" ht="15" hidden="1" x14ac:dyDescent="0.2">
      <c r="A575" s="28" t="s">
        <v>2125</v>
      </c>
      <c r="B575" s="8" t="s">
        <v>2581</v>
      </c>
      <c r="C575" s="8" t="s">
        <v>2777</v>
      </c>
      <c r="D575" s="9" t="s">
        <v>2509</v>
      </c>
      <c r="E575" s="9">
        <v>0</v>
      </c>
      <c r="F575" s="10" t="s">
        <v>2392</v>
      </c>
      <c r="G575" s="9" t="s">
        <v>2428</v>
      </c>
      <c r="H575" s="19" t="s">
        <v>2570</v>
      </c>
      <c r="I575" s="39"/>
      <c r="J575" s="39"/>
      <c r="K575" s="16">
        <v>1</v>
      </c>
      <c r="L575" s="3" t="s">
        <v>2556</v>
      </c>
      <c r="M575" s="17" t="e">
        <f>INDEX(Validade!H:H,MATCH('Controle de Validade'!A575,Validade!C:C,0))</f>
        <v>#N/A</v>
      </c>
      <c r="N575" s="18"/>
    </row>
    <row r="576" spans="1:14" ht="15" hidden="1" x14ac:dyDescent="0.2">
      <c r="A576" s="28" t="s">
        <v>2124</v>
      </c>
      <c r="B576" s="8" t="s">
        <v>2581</v>
      </c>
      <c r="C576" s="8" t="s">
        <v>2778</v>
      </c>
      <c r="D576" s="9" t="s">
        <v>1807</v>
      </c>
      <c r="E576" s="9" t="s">
        <v>2388</v>
      </c>
      <c r="F576" s="10" t="s">
        <v>2392</v>
      </c>
      <c r="G576" s="9" t="s">
        <v>2426</v>
      </c>
      <c r="H576" s="16" t="s">
        <v>2570</v>
      </c>
      <c r="I576" s="39"/>
      <c r="J576" s="39"/>
      <c r="K576" s="16">
        <v>1</v>
      </c>
      <c r="L576" s="3" t="s">
        <v>2556</v>
      </c>
      <c r="M576" s="17" t="e">
        <f>INDEX(Validade!H:H,MATCH('Controle de Validade'!A576,Validade!C:C,0))</f>
        <v>#N/A</v>
      </c>
      <c r="N576" s="18"/>
    </row>
    <row r="577" spans="1:14" ht="15" hidden="1" x14ac:dyDescent="0.2">
      <c r="A577" s="28" t="s">
        <v>2123</v>
      </c>
      <c r="B577" s="8" t="s">
        <v>2581</v>
      </c>
      <c r="C577" s="8" t="s">
        <v>2779</v>
      </c>
      <c r="D577" s="9" t="s">
        <v>1807</v>
      </c>
      <c r="E577" s="9" t="s">
        <v>2388</v>
      </c>
      <c r="F577" s="10" t="s">
        <v>2392</v>
      </c>
      <c r="G577" s="9" t="s">
        <v>2426</v>
      </c>
      <c r="H577" s="16" t="s">
        <v>2570</v>
      </c>
      <c r="I577" s="39"/>
      <c r="J577" s="39"/>
      <c r="K577" s="16">
        <v>1</v>
      </c>
      <c r="L577" s="3" t="s">
        <v>2556</v>
      </c>
      <c r="M577" s="17" t="e">
        <f>INDEX(Validade!H:H,MATCH('Controle de Validade'!A577,Validade!C:C,0))</f>
        <v>#N/A</v>
      </c>
      <c r="N577" s="18"/>
    </row>
    <row r="578" spans="1:14" ht="15" hidden="1" x14ac:dyDescent="0.2">
      <c r="A578" s="28" t="s">
        <v>2122</v>
      </c>
      <c r="B578" s="8" t="s">
        <v>2581</v>
      </c>
      <c r="C578" s="8" t="s">
        <v>2780</v>
      </c>
      <c r="D578" s="9" t="s">
        <v>1807</v>
      </c>
      <c r="E578" s="9" t="s">
        <v>2388</v>
      </c>
      <c r="F578" s="10" t="s">
        <v>2392</v>
      </c>
      <c r="G578" s="9" t="s">
        <v>2426</v>
      </c>
      <c r="H578" s="16" t="s">
        <v>2570</v>
      </c>
      <c r="I578" s="39"/>
      <c r="J578" s="39"/>
      <c r="K578" s="16">
        <v>1</v>
      </c>
      <c r="L578" s="3" t="s">
        <v>2556</v>
      </c>
      <c r="M578" s="17" t="e">
        <f>INDEX(Validade!H:H,MATCH('Controle de Validade'!A578,Validade!C:C,0))</f>
        <v>#N/A</v>
      </c>
      <c r="N578" s="18"/>
    </row>
    <row r="579" spans="1:14" ht="15" hidden="1" x14ac:dyDescent="0.2">
      <c r="A579" s="30" t="s">
        <v>2138</v>
      </c>
      <c r="B579" s="8" t="s">
        <v>2581</v>
      </c>
      <c r="C579" s="8" t="s">
        <v>2781</v>
      </c>
      <c r="D579" s="9" t="s">
        <v>2507</v>
      </c>
      <c r="E579" s="9">
        <v>0</v>
      </c>
      <c r="F579" s="10" t="s">
        <v>2392</v>
      </c>
      <c r="G579" s="9" t="s">
        <v>2428</v>
      </c>
      <c r="H579" s="16" t="s">
        <v>2571</v>
      </c>
      <c r="I579" s="53" t="s">
        <v>2412</v>
      </c>
      <c r="J579" s="25" t="s">
        <v>2412</v>
      </c>
      <c r="K579" s="16">
        <v>1</v>
      </c>
      <c r="L579" s="3" t="s">
        <v>2556</v>
      </c>
      <c r="M579" s="17" t="e">
        <f>INDEX(Validade!H:H,MATCH('Controle de Validade'!A579,Validade!C:C,0))</f>
        <v>#N/A</v>
      </c>
      <c r="N579" s="18" t="s">
        <v>2576</v>
      </c>
    </row>
    <row r="580" spans="1:14" ht="15" hidden="1" x14ac:dyDescent="0.2">
      <c r="A580" s="30" t="s">
        <v>2185</v>
      </c>
      <c r="B580" s="8" t="s">
        <v>2581</v>
      </c>
      <c r="C580" s="8" t="s">
        <v>2782</v>
      </c>
      <c r="D580" s="9" t="s">
        <v>2507</v>
      </c>
      <c r="E580" s="9">
        <v>0</v>
      </c>
      <c r="F580" s="10" t="s">
        <v>2392</v>
      </c>
      <c r="G580" s="9" t="s">
        <v>2428</v>
      </c>
      <c r="H580" s="16" t="s">
        <v>2571</v>
      </c>
      <c r="I580" s="53" t="s">
        <v>2412</v>
      </c>
      <c r="J580" s="25" t="s">
        <v>2412</v>
      </c>
      <c r="K580" s="16">
        <v>1</v>
      </c>
      <c r="L580" s="3" t="s">
        <v>2556</v>
      </c>
      <c r="M580" s="17" t="e">
        <f>INDEX(Validade!H:H,MATCH('Controle de Validade'!A580,Validade!C:C,0))</f>
        <v>#N/A</v>
      </c>
      <c r="N580" s="18" t="s">
        <v>2576</v>
      </c>
    </row>
    <row r="581" spans="1:14" ht="15" hidden="1" x14ac:dyDescent="0.2">
      <c r="A581" s="30" t="s">
        <v>2183</v>
      </c>
      <c r="B581" s="8" t="s">
        <v>2581</v>
      </c>
      <c r="C581" s="8" t="s">
        <v>2783</v>
      </c>
      <c r="D581" s="9" t="s">
        <v>2507</v>
      </c>
      <c r="E581" s="9">
        <v>0</v>
      </c>
      <c r="F581" s="10" t="s">
        <v>2392</v>
      </c>
      <c r="G581" s="9" t="s">
        <v>2428</v>
      </c>
      <c r="H581" s="16" t="s">
        <v>2571</v>
      </c>
      <c r="I581" s="53" t="s">
        <v>2412</v>
      </c>
      <c r="J581" s="25" t="s">
        <v>2412</v>
      </c>
      <c r="K581" s="16">
        <v>1</v>
      </c>
      <c r="L581" s="3" t="s">
        <v>2556</v>
      </c>
      <c r="M581" s="17" t="e">
        <f>INDEX(Validade!H:H,MATCH('Controle de Validade'!A581,Validade!C:C,0))</f>
        <v>#N/A</v>
      </c>
      <c r="N581" s="18" t="s">
        <v>2576</v>
      </c>
    </row>
    <row r="582" spans="1:14" ht="15" hidden="1" x14ac:dyDescent="0.2">
      <c r="A582" s="30" t="s">
        <v>2193</v>
      </c>
      <c r="B582" s="8" t="s">
        <v>2581</v>
      </c>
      <c r="C582" s="8" t="s">
        <v>2784</v>
      </c>
      <c r="D582" s="9" t="s">
        <v>2507</v>
      </c>
      <c r="E582" s="9">
        <v>0</v>
      </c>
      <c r="F582" s="10" t="s">
        <v>2392</v>
      </c>
      <c r="G582" s="9" t="s">
        <v>2428</v>
      </c>
      <c r="H582" s="16" t="s">
        <v>2571</v>
      </c>
      <c r="I582" s="53" t="s">
        <v>2412</v>
      </c>
      <c r="J582" s="25" t="s">
        <v>2412</v>
      </c>
      <c r="K582" s="16">
        <v>1</v>
      </c>
      <c r="L582" s="3" t="s">
        <v>2556</v>
      </c>
      <c r="M582" s="17" t="e">
        <f>INDEX(Validade!H:H,MATCH('Controle de Validade'!A582,Validade!C:C,0))</f>
        <v>#N/A</v>
      </c>
      <c r="N582" s="18" t="s">
        <v>2576</v>
      </c>
    </row>
    <row r="583" spans="1:14" ht="15" hidden="1" x14ac:dyDescent="0.2">
      <c r="A583" s="30" t="s">
        <v>2195</v>
      </c>
      <c r="B583" s="8" t="s">
        <v>2581</v>
      </c>
      <c r="C583" s="8" t="s">
        <v>2785</v>
      </c>
      <c r="D583" s="9" t="s">
        <v>2507</v>
      </c>
      <c r="E583" s="9">
        <v>0</v>
      </c>
      <c r="F583" s="10" t="s">
        <v>2392</v>
      </c>
      <c r="G583" s="9" t="s">
        <v>2428</v>
      </c>
      <c r="H583" s="16" t="s">
        <v>2571</v>
      </c>
      <c r="I583" s="53" t="s">
        <v>2412</v>
      </c>
      <c r="J583" s="25" t="s">
        <v>2412</v>
      </c>
      <c r="K583" s="16">
        <v>1</v>
      </c>
      <c r="L583" s="3" t="s">
        <v>2556</v>
      </c>
      <c r="M583" s="17" t="e">
        <f>INDEX(Validade!H:H,MATCH('Controle de Validade'!A583,Validade!C:C,0))</f>
        <v>#N/A</v>
      </c>
      <c r="N583" s="18" t="s">
        <v>2576</v>
      </c>
    </row>
    <row r="584" spans="1:14" ht="15" hidden="1" x14ac:dyDescent="0.2">
      <c r="A584" s="30" t="s">
        <v>2343</v>
      </c>
      <c r="B584" s="8" t="s">
        <v>2581</v>
      </c>
      <c r="C584" s="8" t="s">
        <v>2786</v>
      </c>
      <c r="D584" s="9" t="s">
        <v>2394</v>
      </c>
      <c r="E584" s="9">
        <v>0</v>
      </c>
      <c r="F584" s="10" t="s">
        <v>2392</v>
      </c>
      <c r="G584" s="9" t="s">
        <v>2394</v>
      </c>
      <c r="H584" s="16" t="s">
        <v>2571</v>
      </c>
      <c r="I584" s="53" t="s">
        <v>2412</v>
      </c>
      <c r="J584" s="25" t="s">
        <v>2412</v>
      </c>
      <c r="K584" s="16">
        <v>0</v>
      </c>
      <c r="L584" s="3" t="s">
        <v>2556</v>
      </c>
      <c r="M584" s="17" t="e">
        <f>INDEX(Validade!H:H,MATCH('Controle de Validade'!A584,Validade!C:C,0))</f>
        <v>#N/A</v>
      </c>
      <c r="N584" s="18"/>
    </row>
    <row r="585" spans="1:14" ht="15" hidden="1" x14ac:dyDescent="0.2">
      <c r="A585" s="28" t="s">
        <v>2194</v>
      </c>
      <c r="B585" s="8" t="s">
        <v>2647</v>
      </c>
      <c r="C585" s="8" t="s">
        <v>2787</v>
      </c>
      <c r="D585" s="9" t="s">
        <v>2514</v>
      </c>
      <c r="E585" s="9" t="s">
        <v>2388</v>
      </c>
      <c r="F585" s="10" t="s">
        <v>2961</v>
      </c>
      <c r="G585" s="9" t="s">
        <v>2420</v>
      </c>
      <c r="H585" s="16" t="s">
        <v>2570</v>
      </c>
      <c r="I585" s="39"/>
      <c r="J585" s="39"/>
      <c r="K585" s="16">
        <v>1</v>
      </c>
      <c r="L585" s="3" t="s">
        <v>2556</v>
      </c>
      <c r="M585" s="17" t="e">
        <f>INDEX(Validade!H:H,MATCH('Controle de Validade'!A585,Validade!C:C,0))</f>
        <v>#N/A</v>
      </c>
      <c r="N585" s="18"/>
    </row>
    <row r="586" spans="1:14" ht="15" hidden="1" x14ac:dyDescent="0.2">
      <c r="A586" s="30" t="s">
        <v>2184</v>
      </c>
      <c r="B586" s="8" t="s">
        <v>2581</v>
      </c>
      <c r="C586" s="8" t="s">
        <v>2788</v>
      </c>
      <c r="D586" s="9" t="s">
        <v>1807</v>
      </c>
      <c r="E586" s="9" t="s">
        <v>2388</v>
      </c>
      <c r="F586" s="10" t="s">
        <v>2392</v>
      </c>
      <c r="G586" s="9" t="s">
        <v>2428</v>
      </c>
      <c r="H586" s="16" t="s">
        <v>2570</v>
      </c>
      <c r="I586" s="38" t="s">
        <v>3186</v>
      </c>
      <c r="J586" s="39" t="s">
        <v>2412</v>
      </c>
      <c r="K586" s="16">
        <v>1</v>
      </c>
      <c r="L586" s="3" t="s">
        <v>2556</v>
      </c>
      <c r="M586" s="17" t="e">
        <f>INDEX(Validade!H:H,MATCH('Controle de Validade'!A586,Validade!C:C,0))</f>
        <v>#N/A</v>
      </c>
      <c r="N586" s="18" t="s">
        <v>2577</v>
      </c>
    </row>
    <row r="587" spans="1:14" ht="15" hidden="1" x14ac:dyDescent="0.2">
      <c r="A587" s="28" t="s">
        <v>1825</v>
      </c>
      <c r="B587" s="8" t="s">
        <v>2579</v>
      </c>
      <c r="C587" s="8" t="s">
        <v>1826</v>
      </c>
      <c r="D587" s="9" t="s">
        <v>990</v>
      </c>
      <c r="E587" s="9" t="s">
        <v>2388</v>
      </c>
      <c r="F587" s="10" t="s">
        <v>2392</v>
      </c>
      <c r="G587" s="9" t="s">
        <v>2407</v>
      </c>
      <c r="H587" s="16" t="s">
        <v>2570</v>
      </c>
      <c r="I587" s="58" t="s">
        <v>3186</v>
      </c>
      <c r="J587" s="39"/>
      <c r="K587" s="16">
        <v>1</v>
      </c>
      <c r="L587" s="3" t="s">
        <v>2556</v>
      </c>
      <c r="M587" s="17">
        <f>INDEX(Validade!H:H,MATCH('Controle de Validade'!A587,Validade!C:C,0))</f>
        <v>0</v>
      </c>
      <c r="N587" s="18"/>
    </row>
    <row r="588" spans="1:14" ht="15" hidden="1" x14ac:dyDescent="0.2">
      <c r="A588" s="28" t="s">
        <v>1749</v>
      </c>
      <c r="B588" s="8" t="s">
        <v>2579</v>
      </c>
      <c r="C588" s="8" t="s">
        <v>1750</v>
      </c>
      <c r="D588" s="9" t="s">
        <v>2468</v>
      </c>
      <c r="E588" s="9" t="s">
        <v>2388</v>
      </c>
      <c r="F588" s="10" t="s">
        <v>2387</v>
      </c>
      <c r="G588" s="9" t="s">
        <v>2420</v>
      </c>
      <c r="H588" s="16" t="s">
        <v>2570</v>
      </c>
      <c r="I588" s="39"/>
      <c r="J588" s="39"/>
      <c r="K588" s="16">
        <v>1</v>
      </c>
      <c r="L588" s="3" t="s">
        <v>2556</v>
      </c>
      <c r="M588" s="17">
        <f>INDEX(Validade!H:H,MATCH('Controle de Validade'!A588,Validade!C:C,0))</f>
        <v>45576</v>
      </c>
      <c r="N588" s="18"/>
    </row>
    <row r="589" spans="1:14" ht="15" hidden="1" x14ac:dyDescent="0.2">
      <c r="A589" s="30" t="s">
        <v>1814</v>
      </c>
      <c r="B589" s="8" t="s">
        <v>2647</v>
      </c>
      <c r="C589" s="8" t="s">
        <v>1815</v>
      </c>
      <c r="D589" s="9" t="s">
        <v>2448</v>
      </c>
      <c r="E589" s="9" t="s">
        <v>2388</v>
      </c>
      <c r="F589" s="10" t="s">
        <v>2961</v>
      </c>
      <c r="G589" s="9" t="s">
        <v>2420</v>
      </c>
      <c r="H589" s="16" t="s">
        <v>2571</v>
      </c>
      <c r="I589" s="53" t="s">
        <v>2412</v>
      </c>
      <c r="J589" s="25" t="s">
        <v>2412</v>
      </c>
      <c r="K589" s="16">
        <v>0</v>
      </c>
      <c r="L589" s="3" t="s">
        <v>2556</v>
      </c>
      <c r="M589" s="17">
        <f>INDEX(Validade!H:H,MATCH('Controle de Validade'!A589,Validade!C:C,0))</f>
        <v>62458</v>
      </c>
      <c r="N589" s="18"/>
    </row>
    <row r="590" spans="1:14" ht="15" hidden="1" x14ac:dyDescent="0.2">
      <c r="A590" s="28" t="s">
        <v>1747</v>
      </c>
      <c r="B590" s="8" t="s">
        <v>2647</v>
      </c>
      <c r="C590" s="8" t="s">
        <v>1748</v>
      </c>
      <c r="D590" s="9" t="s">
        <v>2514</v>
      </c>
      <c r="E590" s="9" t="s">
        <v>2388</v>
      </c>
      <c r="F590" s="10" t="s">
        <v>2961</v>
      </c>
      <c r="G590" s="9" t="s">
        <v>2420</v>
      </c>
      <c r="H590" s="16" t="s">
        <v>2570</v>
      </c>
      <c r="I590" s="39"/>
      <c r="J590" s="39"/>
      <c r="K590" s="16">
        <v>1</v>
      </c>
      <c r="L590" s="3" t="s">
        <v>2556</v>
      </c>
      <c r="M590" s="17">
        <f>INDEX(Validade!H:H,MATCH('Controle de Validade'!A590,Validade!C:C,0))</f>
        <v>46053</v>
      </c>
      <c r="N590" s="18"/>
    </row>
    <row r="591" spans="1:14" ht="15" hidden="1" x14ac:dyDescent="0.2">
      <c r="A591" s="30" t="s">
        <v>1809</v>
      </c>
      <c r="B591" s="8" t="s">
        <v>2581</v>
      </c>
      <c r="C591" s="8" t="s">
        <v>1810</v>
      </c>
      <c r="D591" s="9" t="s">
        <v>1807</v>
      </c>
      <c r="E591" s="9" t="s">
        <v>2388</v>
      </c>
      <c r="F591" s="10" t="s">
        <v>2392</v>
      </c>
      <c r="G591" s="9" t="s">
        <v>2426</v>
      </c>
      <c r="H591" s="16" t="s">
        <v>2570</v>
      </c>
      <c r="I591" s="38" t="s">
        <v>3186</v>
      </c>
      <c r="J591" s="39" t="s">
        <v>2412</v>
      </c>
      <c r="K591" s="16">
        <v>1</v>
      </c>
      <c r="L591" s="3" t="s">
        <v>2556</v>
      </c>
      <c r="M591" s="17">
        <f>INDEX(Validade!H:H,MATCH('Controle de Validade'!A591,Validade!C:C,0))</f>
        <v>46022</v>
      </c>
      <c r="N591" s="18" t="s">
        <v>2576</v>
      </c>
    </row>
    <row r="592" spans="1:14" ht="15" hidden="1" x14ac:dyDescent="0.2">
      <c r="A592" s="30" t="s">
        <v>1805</v>
      </c>
      <c r="B592" s="8" t="s">
        <v>2581</v>
      </c>
      <c r="C592" s="8" t="s">
        <v>1806</v>
      </c>
      <c r="D592" s="9" t="s">
        <v>1807</v>
      </c>
      <c r="E592" s="9" t="s">
        <v>2388</v>
      </c>
      <c r="F592" s="10" t="s">
        <v>2392</v>
      </c>
      <c r="G592" s="9" t="s">
        <v>2426</v>
      </c>
      <c r="H592" s="16" t="s">
        <v>2570</v>
      </c>
      <c r="I592" s="38" t="s">
        <v>3186</v>
      </c>
      <c r="J592" s="39" t="s">
        <v>2412</v>
      </c>
      <c r="K592" s="16">
        <v>1</v>
      </c>
      <c r="L592" s="3" t="s">
        <v>2556</v>
      </c>
      <c r="M592" s="17">
        <f>INDEX(Validade!H:H,MATCH('Controle de Validade'!A592,Validade!C:C,0))</f>
        <v>45971</v>
      </c>
      <c r="N592" s="18" t="s">
        <v>2576</v>
      </c>
    </row>
    <row r="593" spans="1:14" ht="15" hidden="1" x14ac:dyDescent="0.2">
      <c r="A593" s="30" t="s">
        <v>1802</v>
      </c>
      <c r="B593" s="8" t="s">
        <v>2581</v>
      </c>
      <c r="C593" s="8" t="s">
        <v>1803</v>
      </c>
      <c r="D593" s="9" t="s">
        <v>1797</v>
      </c>
      <c r="E593" s="9" t="s">
        <v>2388</v>
      </c>
      <c r="F593" s="10" t="s">
        <v>2392</v>
      </c>
      <c r="G593" s="9" t="s">
        <v>2428</v>
      </c>
      <c r="H593" s="16" t="s">
        <v>2570</v>
      </c>
      <c r="I593" s="42" t="s">
        <v>3186</v>
      </c>
      <c r="J593" s="43" t="s">
        <v>3188</v>
      </c>
      <c r="K593" s="16">
        <v>1</v>
      </c>
      <c r="L593" s="3" t="s">
        <v>2556</v>
      </c>
      <c r="M593" s="17">
        <f>INDEX(Validade!H:H,MATCH('Controle de Validade'!A593,Validade!C:C,0))</f>
        <v>45825</v>
      </c>
      <c r="N593" s="18" t="s">
        <v>2576</v>
      </c>
    </row>
    <row r="594" spans="1:14" ht="15" hidden="1" x14ac:dyDescent="0.2">
      <c r="A594" s="28" t="s">
        <v>1799</v>
      </c>
      <c r="B594" s="8" t="s">
        <v>2581</v>
      </c>
      <c r="C594" s="8" t="s">
        <v>1800</v>
      </c>
      <c r="D594" s="9" t="s">
        <v>2454</v>
      </c>
      <c r="E594" s="9" t="s">
        <v>2388</v>
      </c>
      <c r="F594" s="10" t="s">
        <v>2387</v>
      </c>
      <c r="G594" s="9" t="s">
        <v>2426</v>
      </c>
      <c r="H594" s="16" t="s">
        <v>2570</v>
      </c>
      <c r="I594" s="39"/>
      <c r="J594" s="39"/>
      <c r="K594" s="16">
        <v>1</v>
      </c>
      <c r="L594" s="3" t="s">
        <v>2556</v>
      </c>
      <c r="M594" s="17">
        <f>INDEX(Validade!H:H,MATCH('Controle de Validade'!A594,Validade!C:C,0))</f>
        <v>46080</v>
      </c>
      <c r="N594" s="18"/>
    </row>
    <row r="595" spans="1:14" ht="15" hidden="1" x14ac:dyDescent="0.2">
      <c r="A595" s="30" t="s">
        <v>1785</v>
      </c>
      <c r="B595" s="8" t="s">
        <v>2579</v>
      </c>
      <c r="C595" s="8" t="s">
        <v>1786</v>
      </c>
      <c r="D595" s="9" t="s">
        <v>1781</v>
      </c>
      <c r="E595" s="9" t="s">
        <v>2388</v>
      </c>
      <c r="F595" s="10" t="s">
        <v>2961</v>
      </c>
      <c r="G595" s="9" t="s">
        <v>2420</v>
      </c>
      <c r="H595" s="16" t="s">
        <v>2570</v>
      </c>
      <c r="I595" s="38" t="s">
        <v>2996</v>
      </c>
      <c r="J595" s="39" t="s">
        <v>2412</v>
      </c>
      <c r="K595" s="16">
        <v>1</v>
      </c>
      <c r="L595" s="3" t="s">
        <v>2556</v>
      </c>
      <c r="M595" s="17">
        <f>INDEX(Validade!H:H,MATCH('Controle de Validade'!A595,Validade!C:C,0))</f>
        <v>45844</v>
      </c>
      <c r="N595" s="18"/>
    </row>
    <row r="596" spans="1:14" ht="15" hidden="1" x14ac:dyDescent="0.2">
      <c r="A596" s="28" t="s">
        <v>2117</v>
      </c>
      <c r="B596" s="8" t="s">
        <v>2581</v>
      </c>
      <c r="C596" s="8" t="s">
        <v>2789</v>
      </c>
      <c r="D596" s="9" t="s">
        <v>1766</v>
      </c>
      <c r="E596" s="9" t="s">
        <v>2388</v>
      </c>
      <c r="F596" s="10" t="s">
        <v>2392</v>
      </c>
      <c r="G596" s="9" t="s">
        <v>2394</v>
      </c>
      <c r="H596" s="16" t="s">
        <v>2570</v>
      </c>
      <c r="I596" s="39"/>
      <c r="J596" s="39"/>
      <c r="K596" s="16">
        <v>1</v>
      </c>
      <c r="L596" s="3" t="s">
        <v>2556</v>
      </c>
      <c r="M596" s="17" t="e">
        <f>INDEX(Validade!H:H,MATCH('Controle de Validade'!A596,Validade!C:C,0))</f>
        <v>#N/A</v>
      </c>
      <c r="N596" s="18"/>
    </row>
    <row r="597" spans="1:14" ht="15" hidden="1" x14ac:dyDescent="0.2">
      <c r="A597" s="28" t="s">
        <v>2181</v>
      </c>
      <c r="B597" s="8" t="s">
        <v>2581</v>
      </c>
      <c r="C597" s="8" t="s">
        <v>2790</v>
      </c>
      <c r="D597" s="9" t="s">
        <v>1766</v>
      </c>
      <c r="E597" s="9" t="s">
        <v>2388</v>
      </c>
      <c r="F597" s="10" t="s">
        <v>2392</v>
      </c>
      <c r="G597" s="9" t="s">
        <v>2394</v>
      </c>
      <c r="H597" s="16" t="s">
        <v>2570</v>
      </c>
      <c r="I597" s="39"/>
      <c r="J597" s="39"/>
      <c r="K597" s="16">
        <v>1</v>
      </c>
      <c r="L597" s="3" t="s">
        <v>2556</v>
      </c>
      <c r="M597" s="17" t="e">
        <f>INDEX(Validade!H:H,MATCH('Controle de Validade'!A597,Validade!C:C,0))</f>
        <v>#N/A</v>
      </c>
      <c r="N597" s="18"/>
    </row>
    <row r="598" spans="1:14" ht="15" hidden="1" x14ac:dyDescent="0.2">
      <c r="A598" s="28" t="s">
        <v>2196</v>
      </c>
      <c r="B598" s="8" t="s">
        <v>2581</v>
      </c>
      <c r="C598" s="8" t="s">
        <v>2791</v>
      </c>
      <c r="D598" s="9" t="s">
        <v>1766</v>
      </c>
      <c r="E598" s="9" t="s">
        <v>2388</v>
      </c>
      <c r="F598" s="10" t="s">
        <v>2392</v>
      </c>
      <c r="G598" s="9" t="s">
        <v>2394</v>
      </c>
      <c r="H598" s="16" t="s">
        <v>2570</v>
      </c>
      <c r="I598" s="39"/>
      <c r="J598" s="39"/>
      <c r="K598" s="16">
        <v>1</v>
      </c>
      <c r="L598" s="3" t="s">
        <v>2556</v>
      </c>
      <c r="M598" s="17" t="e">
        <f>INDEX(Validade!H:H,MATCH('Controle de Validade'!A598,Validade!C:C,0))</f>
        <v>#N/A</v>
      </c>
      <c r="N598" s="18"/>
    </row>
    <row r="599" spans="1:14" ht="15" hidden="1" x14ac:dyDescent="0.2">
      <c r="A599" s="28" t="s">
        <v>2199</v>
      </c>
      <c r="B599" s="8" t="s">
        <v>2581</v>
      </c>
      <c r="C599" s="8" t="s">
        <v>2792</v>
      </c>
      <c r="D599" s="9" t="s">
        <v>1766</v>
      </c>
      <c r="E599" s="9" t="s">
        <v>2388</v>
      </c>
      <c r="F599" s="10" t="s">
        <v>2392</v>
      </c>
      <c r="G599" s="9" t="s">
        <v>2394</v>
      </c>
      <c r="H599" s="16" t="s">
        <v>2570</v>
      </c>
      <c r="I599" s="39"/>
      <c r="J599" s="39"/>
      <c r="K599" s="16">
        <v>1</v>
      </c>
      <c r="L599" s="3" t="s">
        <v>2556</v>
      </c>
      <c r="M599" s="17" t="e">
        <f>INDEX(Validade!H:H,MATCH('Controle de Validade'!A599,Validade!C:C,0))</f>
        <v>#N/A</v>
      </c>
      <c r="N599" s="18"/>
    </row>
    <row r="600" spans="1:14" ht="15" hidden="1" x14ac:dyDescent="0.2">
      <c r="A600" s="28" t="s">
        <v>2200</v>
      </c>
      <c r="B600" s="8" t="s">
        <v>2581</v>
      </c>
      <c r="C600" s="8" t="s">
        <v>2793</v>
      </c>
      <c r="D600" s="9" t="s">
        <v>1766</v>
      </c>
      <c r="E600" s="9" t="s">
        <v>2388</v>
      </c>
      <c r="F600" s="10" t="s">
        <v>2392</v>
      </c>
      <c r="G600" s="9" t="s">
        <v>2394</v>
      </c>
      <c r="H600" s="16" t="s">
        <v>2570</v>
      </c>
      <c r="I600" s="39"/>
      <c r="J600" s="39"/>
      <c r="K600" s="16">
        <v>1</v>
      </c>
      <c r="L600" s="3" t="s">
        <v>2556</v>
      </c>
      <c r="M600" s="17" t="e">
        <f>INDEX(Validade!H:H,MATCH('Controle de Validade'!A600,Validade!C:C,0))</f>
        <v>#N/A</v>
      </c>
      <c r="N600" s="18"/>
    </row>
    <row r="601" spans="1:14" ht="15" hidden="1" x14ac:dyDescent="0.2">
      <c r="A601" s="28" t="s">
        <v>2132</v>
      </c>
      <c r="B601" s="8" t="s">
        <v>2581</v>
      </c>
      <c r="C601" s="8" t="s">
        <v>2794</v>
      </c>
      <c r="D601" s="9" t="s">
        <v>1766</v>
      </c>
      <c r="E601" s="9" t="s">
        <v>2388</v>
      </c>
      <c r="F601" s="10" t="s">
        <v>2392</v>
      </c>
      <c r="G601" s="9" t="s">
        <v>2394</v>
      </c>
      <c r="H601" s="19" t="s">
        <v>2570</v>
      </c>
      <c r="I601" s="57"/>
      <c r="J601" s="39"/>
      <c r="K601" s="16">
        <v>1</v>
      </c>
      <c r="L601" s="3" t="s">
        <v>2556</v>
      </c>
      <c r="M601" s="17" t="e">
        <f>INDEX(Validade!H:H,MATCH('Controle de Validade'!A601,Validade!C:C,0))</f>
        <v>#N/A</v>
      </c>
      <c r="N601" s="18"/>
    </row>
    <row r="602" spans="1:14" ht="15" hidden="1" x14ac:dyDescent="0.2">
      <c r="A602" s="28" t="s">
        <v>1818</v>
      </c>
      <c r="B602" s="8" t="s">
        <v>2581</v>
      </c>
      <c r="C602" s="8" t="s">
        <v>1819</v>
      </c>
      <c r="D602" s="9" t="s">
        <v>1766</v>
      </c>
      <c r="E602" s="9" t="s">
        <v>2388</v>
      </c>
      <c r="F602" s="10" t="s">
        <v>2392</v>
      </c>
      <c r="G602" s="9" t="s">
        <v>2428</v>
      </c>
      <c r="H602" s="16" t="s">
        <v>2570</v>
      </c>
      <c r="I602" s="39"/>
      <c r="J602" s="39"/>
      <c r="K602" s="16">
        <v>1</v>
      </c>
      <c r="L602" s="3" t="s">
        <v>2556</v>
      </c>
      <c r="M602" s="17">
        <f>INDEX(Validade!H:H,MATCH('Controle de Validade'!A602,Validade!C:C,0))</f>
        <v>47635</v>
      </c>
      <c r="N602" s="18"/>
    </row>
    <row r="603" spans="1:14" ht="15" hidden="1" x14ac:dyDescent="0.2">
      <c r="A603" s="28" t="s">
        <v>1821</v>
      </c>
      <c r="B603" s="8" t="s">
        <v>2581</v>
      </c>
      <c r="C603" s="8" t="s">
        <v>1822</v>
      </c>
      <c r="D603" s="9" t="s">
        <v>1766</v>
      </c>
      <c r="E603" s="9" t="s">
        <v>2388</v>
      </c>
      <c r="F603" s="10" t="s">
        <v>2392</v>
      </c>
      <c r="G603" s="9" t="s">
        <v>2394</v>
      </c>
      <c r="H603" s="16" t="s">
        <v>2570</v>
      </c>
      <c r="I603" s="39"/>
      <c r="J603" s="39"/>
      <c r="K603" s="16">
        <v>1</v>
      </c>
      <c r="L603" s="3" t="s">
        <v>2556</v>
      </c>
      <c r="M603" s="17">
        <f>INDEX(Validade!H:H,MATCH('Controle de Validade'!A603,Validade!C:C,0))</f>
        <v>45699</v>
      </c>
      <c r="N603" s="18"/>
    </row>
    <row r="604" spans="1:14" ht="15" hidden="1" x14ac:dyDescent="0.2">
      <c r="A604" s="28" t="s">
        <v>2133</v>
      </c>
      <c r="B604" s="8" t="s">
        <v>2581</v>
      </c>
      <c r="C604" s="8" t="s">
        <v>2795</v>
      </c>
      <c r="D604" s="9" t="s">
        <v>2516</v>
      </c>
      <c r="E604" s="9" t="s">
        <v>2388</v>
      </c>
      <c r="F604" s="10" t="s">
        <v>2392</v>
      </c>
      <c r="G604" s="9" t="s">
        <v>2428</v>
      </c>
      <c r="H604" s="16" t="s">
        <v>2570</v>
      </c>
      <c r="I604" s="39"/>
      <c r="J604" s="39"/>
      <c r="K604" s="16">
        <v>1</v>
      </c>
      <c r="L604" s="3" t="s">
        <v>2556</v>
      </c>
      <c r="M604" s="17" t="e">
        <f>INDEX(Validade!H:H,MATCH('Controle de Validade'!A604,Validade!C:C,0))</f>
        <v>#N/A</v>
      </c>
      <c r="N604" s="18"/>
    </row>
    <row r="605" spans="1:14" ht="15" hidden="1" x14ac:dyDescent="0.2">
      <c r="A605" s="30" t="s">
        <v>1779</v>
      </c>
      <c r="B605" s="8" t="s">
        <v>2579</v>
      </c>
      <c r="C605" s="8" t="s">
        <v>1780</v>
      </c>
      <c r="D605" s="9" t="s">
        <v>1781</v>
      </c>
      <c r="E605" s="9" t="s">
        <v>2388</v>
      </c>
      <c r="F605" s="10" t="s">
        <v>2961</v>
      </c>
      <c r="G605" s="9" t="s">
        <v>2420</v>
      </c>
      <c r="H605" s="16" t="s">
        <v>2570</v>
      </c>
      <c r="I605" s="38" t="s">
        <v>2996</v>
      </c>
      <c r="J605" s="39" t="s">
        <v>2412</v>
      </c>
      <c r="K605" s="16">
        <v>1</v>
      </c>
      <c r="L605" s="3" t="s">
        <v>2556</v>
      </c>
      <c r="M605" s="17">
        <f>INDEX(Validade!H:H,MATCH('Controle de Validade'!A605,Validade!C:C,0))</f>
        <v>46426</v>
      </c>
      <c r="N605" s="18"/>
    </row>
    <row r="606" spans="1:14" ht="15" hidden="1" x14ac:dyDescent="0.2">
      <c r="A606" s="28" t="s">
        <v>2182</v>
      </c>
      <c r="B606" s="8" t="s">
        <v>2581</v>
      </c>
      <c r="C606" s="8" t="s">
        <v>2796</v>
      </c>
      <c r="D606" s="9" t="s">
        <v>1766</v>
      </c>
      <c r="E606" s="9" t="s">
        <v>2388</v>
      </c>
      <c r="F606" s="10" t="s">
        <v>2392</v>
      </c>
      <c r="G606" s="9" t="s">
        <v>2394</v>
      </c>
      <c r="H606" s="16" t="s">
        <v>2570</v>
      </c>
      <c r="I606" s="39"/>
      <c r="J606" s="39"/>
      <c r="K606" s="16">
        <v>1</v>
      </c>
      <c r="L606" s="3" t="s">
        <v>2556</v>
      </c>
      <c r="M606" s="17" t="e">
        <f>INDEX(Validade!H:H,MATCH('Controle de Validade'!A606,Validade!C:C,0))</f>
        <v>#N/A</v>
      </c>
      <c r="N606" s="18"/>
    </row>
    <row r="607" spans="1:14" ht="15" hidden="1" x14ac:dyDescent="0.2">
      <c r="A607" s="30" t="s">
        <v>2121</v>
      </c>
      <c r="B607" s="8" t="s">
        <v>2579</v>
      </c>
      <c r="C607" s="8" t="s">
        <v>2797</v>
      </c>
      <c r="D607" s="9" t="s">
        <v>990</v>
      </c>
      <c r="E607" s="9" t="s">
        <v>2388</v>
      </c>
      <c r="F607" s="10" t="s">
        <v>2392</v>
      </c>
      <c r="G607" s="9" t="s">
        <v>2410</v>
      </c>
      <c r="H607" s="16" t="s">
        <v>2571</v>
      </c>
      <c r="I607" s="53" t="s">
        <v>2412</v>
      </c>
      <c r="J607" s="25" t="s">
        <v>2412</v>
      </c>
      <c r="K607" s="16">
        <v>0</v>
      </c>
      <c r="L607" s="3" t="s">
        <v>2556</v>
      </c>
      <c r="M607" s="17" t="e">
        <f>INDEX(Validade!H:H,MATCH('Controle de Validade'!A607,Validade!C:C,0))</f>
        <v>#N/A</v>
      </c>
      <c r="N607" s="18"/>
    </row>
    <row r="608" spans="1:14" ht="15" hidden="1" x14ac:dyDescent="0.2">
      <c r="A608" s="30" t="s">
        <v>1895</v>
      </c>
      <c r="B608" s="8" t="s">
        <v>2579</v>
      </c>
      <c r="C608" s="8" t="s">
        <v>1896</v>
      </c>
      <c r="D608" s="9" t="s">
        <v>2437</v>
      </c>
      <c r="E608" s="9" t="s">
        <v>2388</v>
      </c>
      <c r="F608" s="10" t="s">
        <v>2961</v>
      </c>
      <c r="G608" s="9" t="s">
        <v>2429</v>
      </c>
      <c r="H608" s="16" t="s">
        <v>2571</v>
      </c>
      <c r="I608" s="53" t="s">
        <v>2412</v>
      </c>
      <c r="J608" s="25" t="s">
        <v>2412</v>
      </c>
      <c r="K608" s="16">
        <v>0</v>
      </c>
      <c r="L608" s="3" t="s">
        <v>2556</v>
      </c>
      <c r="M608" s="17">
        <f>INDEX(Validade!H:H,MATCH('Controle de Validade'!A608,Validade!C:C,0))</f>
        <v>62458</v>
      </c>
      <c r="N608" s="18"/>
    </row>
    <row r="609" spans="1:14" ht="15" hidden="1" x14ac:dyDescent="0.2">
      <c r="A609" s="30" t="s">
        <v>1025</v>
      </c>
      <c r="B609" s="8" t="s">
        <v>2579</v>
      </c>
      <c r="C609" s="8" t="s">
        <v>1026</v>
      </c>
      <c r="D609" s="9" t="s">
        <v>1781</v>
      </c>
      <c r="E609" s="9" t="s">
        <v>2388</v>
      </c>
      <c r="F609" s="10" t="s">
        <v>2961</v>
      </c>
      <c r="G609" s="9" t="s">
        <v>2420</v>
      </c>
      <c r="H609" s="16" t="s">
        <v>2570</v>
      </c>
      <c r="I609" s="38" t="s">
        <v>2996</v>
      </c>
      <c r="J609" s="39" t="s">
        <v>2412</v>
      </c>
      <c r="K609" s="16">
        <v>1</v>
      </c>
      <c r="L609" s="3" t="s">
        <v>2556</v>
      </c>
      <c r="M609" s="17">
        <f>INDEX(Validade!H:H,MATCH('Controle de Validade'!A609,Validade!C:C,0))</f>
        <v>46378</v>
      </c>
      <c r="N609" s="18"/>
    </row>
    <row r="610" spans="1:14" ht="15" hidden="1" x14ac:dyDescent="0.2">
      <c r="A610" s="30" t="s">
        <v>1782</v>
      </c>
      <c r="B610" s="8" t="s">
        <v>2579</v>
      </c>
      <c r="C610" s="8" t="s">
        <v>1783</v>
      </c>
      <c r="D610" s="9" t="s">
        <v>1781</v>
      </c>
      <c r="E610" s="9" t="s">
        <v>2388</v>
      </c>
      <c r="F610" s="10" t="s">
        <v>2961</v>
      </c>
      <c r="G610" s="9" t="s">
        <v>2420</v>
      </c>
      <c r="H610" s="16" t="s">
        <v>2570</v>
      </c>
      <c r="I610" s="38" t="s">
        <v>2996</v>
      </c>
      <c r="J610" s="39" t="s">
        <v>2412</v>
      </c>
      <c r="K610" s="16">
        <v>1</v>
      </c>
      <c r="L610" s="3" t="s">
        <v>2556</v>
      </c>
      <c r="M610" s="17">
        <f>INDEX(Validade!H:H,MATCH('Controle de Validade'!A610,Validade!C:C,0))</f>
        <v>45924</v>
      </c>
      <c r="N610" s="18"/>
    </row>
    <row r="611" spans="1:14" ht="15" hidden="1" x14ac:dyDescent="0.2">
      <c r="A611" s="28" t="s">
        <v>1912</v>
      </c>
      <c r="B611" s="8" t="s">
        <v>2579</v>
      </c>
      <c r="C611" s="8" t="s">
        <v>1913</v>
      </c>
      <c r="D611" s="9" t="s">
        <v>1914</v>
      </c>
      <c r="E611" s="9" t="s">
        <v>2388</v>
      </c>
      <c r="F611" s="10" t="s">
        <v>2961</v>
      </c>
      <c r="G611" s="9" t="s">
        <v>2429</v>
      </c>
      <c r="H611" s="16" t="s">
        <v>2570</v>
      </c>
      <c r="I611" s="60" t="s">
        <v>2993</v>
      </c>
      <c r="J611" s="39"/>
      <c r="K611" s="16">
        <v>1</v>
      </c>
      <c r="L611" s="3" t="s">
        <v>2556</v>
      </c>
      <c r="M611" s="17">
        <f>INDEX(Validade!H:H,MATCH('Controle de Validade'!A611,Validade!C:C,0))</f>
        <v>45770</v>
      </c>
      <c r="N611" s="18"/>
    </row>
    <row r="612" spans="1:14" ht="15" hidden="1" x14ac:dyDescent="0.2">
      <c r="A612" s="28" t="s">
        <v>1403</v>
      </c>
      <c r="B612" s="8" t="s">
        <v>2579</v>
      </c>
      <c r="C612" s="8" t="s">
        <v>1404</v>
      </c>
      <c r="D612" s="9" t="s">
        <v>1405</v>
      </c>
      <c r="E612" s="9" t="s">
        <v>2388</v>
      </c>
      <c r="F612" s="10" t="s">
        <v>2392</v>
      </c>
      <c r="G612" s="9" t="s">
        <v>2410</v>
      </c>
      <c r="H612" s="16" t="s">
        <v>2570</v>
      </c>
      <c r="I612" s="60" t="s">
        <v>3196</v>
      </c>
      <c r="J612" s="39"/>
      <c r="K612" s="16">
        <v>1</v>
      </c>
      <c r="L612" s="3" t="s">
        <v>2556</v>
      </c>
      <c r="M612" s="17">
        <f>INDEX(Validade!H:H,MATCH('Controle de Validade'!A612,Validade!C:C,0))</f>
        <v>46798</v>
      </c>
      <c r="N612" s="18"/>
    </row>
    <row r="613" spans="1:14" ht="15" hidden="1" x14ac:dyDescent="0.2">
      <c r="A613" s="30" t="s">
        <v>131</v>
      </c>
      <c r="B613" s="8" t="s">
        <v>2687</v>
      </c>
      <c r="C613" s="8" t="s">
        <v>132</v>
      </c>
      <c r="D613" s="9" t="s">
        <v>714</v>
      </c>
      <c r="E613" s="9" t="s">
        <v>2388</v>
      </c>
      <c r="F613" s="10" t="s">
        <v>2961</v>
      </c>
      <c r="G613" s="9" t="s">
        <v>2431</v>
      </c>
      <c r="H613" s="16" t="s">
        <v>2570</v>
      </c>
      <c r="I613" s="38" t="s">
        <v>3186</v>
      </c>
      <c r="J613" s="39" t="s">
        <v>2999</v>
      </c>
      <c r="K613" s="16">
        <v>1</v>
      </c>
      <c r="L613" s="3" t="s">
        <v>2556</v>
      </c>
      <c r="M613" s="17">
        <f>INDEX(Validade!H:H,MATCH('Controle de Validade'!A613,Validade!C:C,0))</f>
        <v>45901</v>
      </c>
      <c r="N613" s="18"/>
    </row>
    <row r="614" spans="1:14" ht="15" hidden="1" x14ac:dyDescent="0.2">
      <c r="A614" s="28" t="s">
        <v>994</v>
      </c>
      <c r="B614" s="8" t="s">
        <v>2579</v>
      </c>
      <c r="C614" s="8" t="s">
        <v>995</v>
      </c>
      <c r="D614" s="9" t="s">
        <v>1878</v>
      </c>
      <c r="E614" s="9" t="s">
        <v>2393</v>
      </c>
      <c r="F614" s="10" t="s">
        <v>2387</v>
      </c>
      <c r="G614" s="9" t="s">
        <v>2431</v>
      </c>
      <c r="H614" s="16"/>
      <c r="I614" s="39"/>
      <c r="J614" s="39"/>
      <c r="K614" s="16">
        <v>1</v>
      </c>
      <c r="L614" s="3" t="s">
        <v>2556</v>
      </c>
      <c r="M614" s="17">
        <f>INDEX(Validade!H:H,MATCH('Controle de Validade'!A614,Validade!C:C,0))</f>
        <v>46395</v>
      </c>
      <c r="N614" s="18"/>
    </row>
    <row r="615" spans="1:14" ht="15" hidden="1" x14ac:dyDescent="0.2">
      <c r="A615" s="28" t="s">
        <v>2040</v>
      </c>
      <c r="B615" s="8" t="s">
        <v>2687</v>
      </c>
      <c r="C615" s="8" t="s">
        <v>2798</v>
      </c>
      <c r="D615" s="9" t="s">
        <v>2944</v>
      </c>
      <c r="E615" s="9" t="s">
        <v>2388</v>
      </c>
      <c r="F615" s="10" t="s">
        <v>2387</v>
      </c>
      <c r="G615" s="9" t="s">
        <v>2431</v>
      </c>
      <c r="H615" s="16" t="s">
        <v>2570</v>
      </c>
      <c r="I615" s="39"/>
      <c r="J615" s="39"/>
      <c r="K615" s="16">
        <v>1</v>
      </c>
      <c r="L615" s="3" t="s">
        <v>2556</v>
      </c>
      <c r="M615" s="17" t="e">
        <f>INDEX(Validade!H:H,MATCH('Controle de Validade'!A615,Validade!C:C,0))</f>
        <v>#N/A</v>
      </c>
      <c r="N615" s="18"/>
    </row>
    <row r="616" spans="1:14" ht="15" hidden="1" x14ac:dyDescent="0.2">
      <c r="A616" s="30" t="s">
        <v>1853</v>
      </c>
      <c r="B616" s="8" t="s">
        <v>2579</v>
      </c>
      <c r="C616" s="8" t="s">
        <v>1854</v>
      </c>
      <c r="D616" s="9" t="s">
        <v>1855</v>
      </c>
      <c r="E616" s="9" t="s">
        <v>2388</v>
      </c>
      <c r="F616" s="10" t="s">
        <v>2961</v>
      </c>
      <c r="G616" s="9" t="s">
        <v>2441</v>
      </c>
      <c r="H616" s="16" t="s">
        <v>2570</v>
      </c>
      <c r="I616" s="47" t="s">
        <v>2996</v>
      </c>
      <c r="J616" s="47" t="s">
        <v>2412</v>
      </c>
      <c r="K616" s="16">
        <v>1</v>
      </c>
      <c r="L616" s="3" t="s">
        <v>2556</v>
      </c>
      <c r="M616" s="17">
        <f>INDEX(Validade!H:H,MATCH('Controle de Validade'!A616,Validade!C:C,0))</f>
        <v>46542</v>
      </c>
      <c r="N616" s="18"/>
    </row>
    <row r="617" spans="1:14" ht="15" hidden="1" x14ac:dyDescent="0.2">
      <c r="A617" s="30" t="s">
        <v>2068</v>
      </c>
      <c r="B617" s="8" t="s">
        <v>2579</v>
      </c>
      <c r="C617" s="8" t="s">
        <v>2799</v>
      </c>
      <c r="D617" s="9" t="s">
        <v>15</v>
      </c>
      <c r="E617" s="9" t="s">
        <v>2388</v>
      </c>
      <c r="F617" s="10" t="s">
        <v>2387</v>
      </c>
      <c r="G617" s="9" t="s">
        <v>2410</v>
      </c>
      <c r="H617" s="16" t="s">
        <v>2571</v>
      </c>
      <c r="I617" s="53" t="s">
        <v>2412</v>
      </c>
      <c r="J617" s="25" t="s">
        <v>2412</v>
      </c>
      <c r="K617" s="16">
        <v>0</v>
      </c>
      <c r="L617" s="3" t="s">
        <v>2556</v>
      </c>
      <c r="M617" s="17" t="e">
        <f>INDEX(Validade!H:H,MATCH('Controle de Validade'!A617,Validade!C:C,0))</f>
        <v>#N/A</v>
      </c>
      <c r="N617" s="18"/>
    </row>
    <row r="618" spans="1:14" ht="15" hidden="1" x14ac:dyDescent="0.2">
      <c r="A618" s="30" t="s">
        <v>2342</v>
      </c>
      <c r="B618" s="8" t="s">
        <v>2579</v>
      </c>
      <c r="C618" s="8" t="s">
        <v>2800</v>
      </c>
      <c r="D618" s="9" t="s">
        <v>2425</v>
      </c>
      <c r="E618" s="9" t="s">
        <v>2388</v>
      </c>
      <c r="F618" s="10" t="s">
        <v>2387</v>
      </c>
      <c r="G618" s="9" t="s">
        <v>2410</v>
      </c>
      <c r="H618" s="16" t="s">
        <v>2571</v>
      </c>
      <c r="I618" s="53" t="s">
        <v>2412</v>
      </c>
      <c r="J618" s="25" t="s">
        <v>2412</v>
      </c>
      <c r="K618" s="16">
        <v>0</v>
      </c>
      <c r="L618" s="3" t="s">
        <v>2556</v>
      </c>
      <c r="M618" s="17" t="e">
        <f>INDEX(Validade!H:H,MATCH('Controle de Validade'!A618,Validade!C:C,0))</f>
        <v>#N/A</v>
      </c>
      <c r="N618" s="18"/>
    </row>
    <row r="619" spans="1:14" ht="15" hidden="1" x14ac:dyDescent="0.2">
      <c r="A619" s="30" t="s">
        <v>2063</v>
      </c>
      <c r="B619" s="8" t="s">
        <v>2579</v>
      </c>
      <c r="C619" s="8" t="s">
        <v>2801</v>
      </c>
      <c r="D619" s="9" t="s">
        <v>1878</v>
      </c>
      <c r="E619" s="9" t="s">
        <v>2393</v>
      </c>
      <c r="F619" s="10" t="s">
        <v>2387</v>
      </c>
      <c r="G619" s="9" t="s">
        <v>2431</v>
      </c>
      <c r="H619" s="16" t="s">
        <v>2571</v>
      </c>
      <c r="I619" s="53" t="s">
        <v>2412</v>
      </c>
      <c r="J619" s="25" t="s">
        <v>2412</v>
      </c>
      <c r="K619" s="16">
        <v>1</v>
      </c>
      <c r="L619" s="3" t="s">
        <v>2558</v>
      </c>
      <c r="M619" s="17" t="e">
        <f>INDEX(Validade!H:H,MATCH('Controle de Validade'!A619,Validade!C:C,0))</f>
        <v>#N/A</v>
      </c>
      <c r="N619" s="18" t="s">
        <v>2576</v>
      </c>
    </row>
    <row r="620" spans="1:14" ht="15" hidden="1" x14ac:dyDescent="0.2">
      <c r="A620" s="30" t="s">
        <v>1908</v>
      </c>
      <c r="B620" s="8" t="s">
        <v>2579</v>
      </c>
      <c r="C620" s="8" t="s">
        <v>1909</v>
      </c>
      <c r="D620" s="9" t="s">
        <v>1910</v>
      </c>
      <c r="E620" s="9" t="s">
        <v>2388</v>
      </c>
      <c r="F620" s="10" t="s">
        <v>2387</v>
      </c>
      <c r="G620" s="9" t="s">
        <v>2407</v>
      </c>
      <c r="H620" s="16" t="s">
        <v>2571</v>
      </c>
      <c r="I620" s="53" t="s">
        <v>2412</v>
      </c>
      <c r="J620" s="25" t="s">
        <v>2412</v>
      </c>
      <c r="K620" s="16">
        <v>0</v>
      </c>
      <c r="L620" s="3" t="s">
        <v>2556</v>
      </c>
      <c r="M620" s="17">
        <f>INDEX(Validade!H:H,MATCH('Controle de Validade'!A620,Validade!C:C,0))</f>
        <v>62458</v>
      </c>
      <c r="N620" s="18"/>
    </row>
    <row r="621" spans="1:14" ht="15" hidden="1" x14ac:dyDescent="0.2">
      <c r="A621" s="30" t="s">
        <v>1874</v>
      </c>
      <c r="B621" s="8" t="s">
        <v>2579</v>
      </c>
      <c r="C621" s="8" t="s">
        <v>1875</v>
      </c>
      <c r="D621" s="9" t="s">
        <v>2440</v>
      </c>
      <c r="E621" s="9" t="s">
        <v>2388</v>
      </c>
      <c r="F621" s="10" t="s">
        <v>2961</v>
      </c>
      <c r="G621" s="9" t="s">
        <v>2441</v>
      </c>
      <c r="H621" s="16" t="s">
        <v>2571</v>
      </c>
      <c r="I621" s="53" t="s">
        <v>2412</v>
      </c>
      <c r="J621" s="25" t="s">
        <v>2412</v>
      </c>
      <c r="K621" s="16">
        <v>0</v>
      </c>
      <c r="L621" s="3" t="s">
        <v>2556</v>
      </c>
      <c r="M621" s="17">
        <f>INDEX(Validade!H:H,MATCH('Controle de Validade'!A621,Validade!C:C,0))</f>
        <v>0</v>
      </c>
      <c r="N621" s="18"/>
    </row>
    <row r="622" spans="1:14" ht="15" hidden="1" x14ac:dyDescent="0.2">
      <c r="A622" s="28" t="s">
        <v>1965</v>
      </c>
      <c r="B622" s="8" t="s">
        <v>2579</v>
      </c>
      <c r="C622" s="8" t="s">
        <v>1966</v>
      </c>
      <c r="D622" s="9" t="s">
        <v>1910</v>
      </c>
      <c r="E622" s="9" t="s">
        <v>2388</v>
      </c>
      <c r="F622" s="10" t="s">
        <v>2387</v>
      </c>
      <c r="G622" s="9" t="s">
        <v>2407</v>
      </c>
      <c r="H622" s="16"/>
      <c r="I622" s="39"/>
      <c r="J622" s="39"/>
      <c r="K622" s="16">
        <v>1</v>
      </c>
      <c r="L622" s="3" t="s">
        <v>2556</v>
      </c>
      <c r="M622" s="17">
        <f>INDEX(Validade!H:H,MATCH('Controle de Validade'!A622,Validade!C:C,0))</f>
        <v>48243</v>
      </c>
      <c r="N622" s="18"/>
    </row>
    <row r="623" spans="1:14" ht="15" hidden="1" x14ac:dyDescent="0.2">
      <c r="A623" s="30" t="s">
        <v>1871</v>
      </c>
      <c r="B623" s="8" t="s">
        <v>2687</v>
      </c>
      <c r="C623" s="8" t="s">
        <v>1872</v>
      </c>
      <c r="D623" s="9" t="s">
        <v>2440</v>
      </c>
      <c r="E623" s="9" t="s">
        <v>2388</v>
      </c>
      <c r="F623" s="10" t="s">
        <v>2961</v>
      </c>
      <c r="G623" s="9" t="s">
        <v>2441</v>
      </c>
      <c r="H623" s="16" t="s">
        <v>2570</v>
      </c>
      <c r="I623" s="52" t="s">
        <v>3195</v>
      </c>
      <c r="J623" s="53" t="s">
        <v>2412</v>
      </c>
      <c r="K623" s="16">
        <v>1</v>
      </c>
      <c r="L623" s="3" t="s">
        <v>2556</v>
      </c>
      <c r="M623" s="17">
        <f>INDEX(Validade!H:H,MATCH('Controle de Validade'!A623,Validade!C:C,0))</f>
        <v>46565</v>
      </c>
      <c r="N623" s="18"/>
    </row>
    <row r="624" spans="1:14" ht="15" hidden="1" x14ac:dyDescent="0.2">
      <c r="A624" s="30" t="s">
        <v>1761</v>
      </c>
      <c r="B624" s="8" t="s">
        <v>2579</v>
      </c>
      <c r="C624" s="8" t="s">
        <v>1762</v>
      </c>
      <c r="D624" s="9" t="s">
        <v>1763</v>
      </c>
      <c r="E624" s="9" t="s">
        <v>2388</v>
      </c>
      <c r="F624" s="10" t="s">
        <v>2387</v>
      </c>
      <c r="G624" s="9" t="s">
        <v>2407</v>
      </c>
      <c r="H624" s="16" t="s">
        <v>2571</v>
      </c>
      <c r="I624" s="53" t="s">
        <v>2412</v>
      </c>
      <c r="J624" s="25" t="s">
        <v>2412</v>
      </c>
      <c r="K624" s="16">
        <v>0</v>
      </c>
      <c r="L624" s="3" t="s">
        <v>2556</v>
      </c>
      <c r="M624" s="17">
        <f>INDEX(Validade!H:H,MATCH('Controle de Validade'!A624,Validade!C:C,0))</f>
        <v>0</v>
      </c>
      <c r="N624" s="18"/>
    </row>
    <row r="625" spans="1:14" ht="15" hidden="1" x14ac:dyDescent="0.2">
      <c r="A625" s="30" t="s">
        <v>2009</v>
      </c>
      <c r="B625" s="8" t="s">
        <v>2579</v>
      </c>
      <c r="C625" s="8" t="s">
        <v>2802</v>
      </c>
      <c r="D625" s="9" t="s">
        <v>2452</v>
      </c>
      <c r="E625" s="9" t="s">
        <v>2388</v>
      </c>
      <c r="F625" s="10" t="s">
        <v>2387</v>
      </c>
      <c r="G625" s="9" t="s">
        <v>2407</v>
      </c>
      <c r="H625" s="16" t="s">
        <v>2571</v>
      </c>
      <c r="I625" s="53" t="s">
        <v>2412</v>
      </c>
      <c r="J625" s="25" t="s">
        <v>2412</v>
      </c>
      <c r="K625" s="16">
        <v>0</v>
      </c>
      <c r="L625" s="3" t="s">
        <v>2558</v>
      </c>
      <c r="M625" s="17" t="e">
        <f>INDEX(Validade!H:H,MATCH('Controle de Validade'!A625,Validade!C:C,0))</f>
        <v>#N/A</v>
      </c>
      <c r="N625" s="18"/>
    </row>
    <row r="626" spans="1:14" ht="15" hidden="1" x14ac:dyDescent="0.2">
      <c r="A626" s="30" t="s">
        <v>1670</v>
      </c>
      <c r="B626" s="8" t="s">
        <v>2579</v>
      </c>
      <c r="C626" s="8" t="s">
        <v>1833</v>
      </c>
      <c r="D626" s="9" t="s">
        <v>1834</v>
      </c>
      <c r="E626" s="9" t="s">
        <v>2388</v>
      </c>
      <c r="F626" s="10" t="s">
        <v>2387</v>
      </c>
      <c r="G626" s="9" t="s">
        <v>2407</v>
      </c>
      <c r="H626" s="16" t="s">
        <v>2571</v>
      </c>
      <c r="I626" s="53" t="s">
        <v>2412</v>
      </c>
      <c r="J626" s="25" t="s">
        <v>2412</v>
      </c>
      <c r="K626" s="16">
        <v>0</v>
      </c>
      <c r="L626" s="3" t="s">
        <v>2556</v>
      </c>
      <c r="M626" s="17">
        <f>INDEX(Validade!H:H,MATCH('Controle de Validade'!A626,Validade!C:C,0))</f>
        <v>62458</v>
      </c>
      <c r="N626" s="18"/>
    </row>
    <row r="627" spans="1:14" ht="15" hidden="1" x14ac:dyDescent="0.2">
      <c r="A627" s="30" t="s">
        <v>1933</v>
      </c>
      <c r="B627" s="8" t="s">
        <v>2579</v>
      </c>
      <c r="C627" s="8" t="s">
        <v>1934</v>
      </c>
      <c r="D627" s="9" t="s">
        <v>177</v>
      </c>
      <c r="E627" s="9" t="s">
        <v>2388</v>
      </c>
      <c r="F627" s="10" t="s">
        <v>2387</v>
      </c>
      <c r="G627" s="9" t="s">
        <v>2433</v>
      </c>
      <c r="H627" s="16" t="s">
        <v>2571</v>
      </c>
      <c r="I627" s="53" t="s">
        <v>2412</v>
      </c>
      <c r="J627" s="25" t="s">
        <v>2412</v>
      </c>
      <c r="K627" s="16">
        <v>0</v>
      </c>
      <c r="L627" s="3" t="s">
        <v>2556</v>
      </c>
      <c r="M627" s="17">
        <f>INDEX(Validade!H:H,MATCH('Controle de Validade'!A627,Validade!C:C,0))</f>
        <v>62458</v>
      </c>
      <c r="N627" s="18"/>
    </row>
    <row r="628" spans="1:14" ht="15" hidden="1" x14ac:dyDescent="0.2">
      <c r="A628" s="30" t="s">
        <v>240</v>
      </c>
      <c r="B628" s="8" t="s">
        <v>2579</v>
      </c>
      <c r="C628" s="8" t="s">
        <v>241</v>
      </c>
      <c r="D628" s="9" t="s">
        <v>28</v>
      </c>
      <c r="E628" s="9" t="s">
        <v>2388</v>
      </c>
      <c r="F628" s="10" t="s">
        <v>2387</v>
      </c>
      <c r="G628" s="9" t="s">
        <v>2471</v>
      </c>
      <c r="H628" s="16" t="s">
        <v>2570</v>
      </c>
      <c r="I628" s="38" t="s">
        <v>3187</v>
      </c>
      <c r="J628" s="39" t="s">
        <v>2948</v>
      </c>
      <c r="K628" s="16">
        <v>1</v>
      </c>
      <c r="L628" s="3" t="s">
        <v>2556</v>
      </c>
      <c r="M628" s="17">
        <f>INDEX(Validade!H:H,MATCH('Controle de Validade'!A628,Validade!C:C,0))</f>
        <v>46889</v>
      </c>
      <c r="N628" s="18"/>
    </row>
    <row r="629" spans="1:14" ht="15" hidden="1" x14ac:dyDescent="0.2">
      <c r="A629" s="30" t="s">
        <v>1415</v>
      </c>
      <c r="B629" s="8" t="s">
        <v>2580</v>
      </c>
      <c r="C629" s="8" t="s">
        <v>1416</v>
      </c>
      <c r="D629" s="9" t="s">
        <v>1215</v>
      </c>
      <c r="E629" s="9" t="s">
        <v>2388</v>
      </c>
      <c r="F629" s="10" t="s">
        <v>2392</v>
      </c>
      <c r="G629" s="9" t="s">
        <v>2451</v>
      </c>
      <c r="H629" s="16" t="s">
        <v>2571</v>
      </c>
      <c r="I629" s="53" t="s">
        <v>2412</v>
      </c>
      <c r="J629" s="25" t="s">
        <v>2412</v>
      </c>
      <c r="K629" s="16">
        <v>0</v>
      </c>
      <c r="L629" s="3" t="s">
        <v>2556</v>
      </c>
      <c r="M629" s="17">
        <f>INDEX(Validade!H:H,MATCH('Controle de Validade'!A629,Validade!C:C,0))</f>
        <v>62458</v>
      </c>
      <c r="N629" s="18"/>
    </row>
    <row r="630" spans="1:14" ht="15" hidden="1" x14ac:dyDescent="0.2">
      <c r="A630" s="30" t="s">
        <v>877</v>
      </c>
      <c r="B630" s="8" t="s">
        <v>2579</v>
      </c>
      <c r="C630" s="8" t="s">
        <v>878</v>
      </c>
      <c r="D630" s="9" t="s">
        <v>2522</v>
      </c>
      <c r="E630" s="9" t="s">
        <v>2388</v>
      </c>
      <c r="F630" s="10" t="s">
        <v>2387</v>
      </c>
      <c r="G630" s="9" t="s">
        <v>2414</v>
      </c>
      <c r="H630" s="16" t="s">
        <v>2571</v>
      </c>
      <c r="I630" s="53" t="s">
        <v>2412</v>
      </c>
      <c r="J630" s="25" t="s">
        <v>2412</v>
      </c>
      <c r="K630" s="16">
        <v>0</v>
      </c>
      <c r="L630" s="3" t="s">
        <v>2556</v>
      </c>
      <c r="M630" s="17">
        <f>INDEX(Validade!H:H,MATCH('Controle de Validade'!A630,Validade!C:C,0))</f>
        <v>0</v>
      </c>
      <c r="N630" s="18"/>
    </row>
    <row r="631" spans="1:14" ht="15" hidden="1" x14ac:dyDescent="0.2">
      <c r="A631" s="30" t="s">
        <v>887</v>
      </c>
      <c r="B631" s="8" t="s">
        <v>2579</v>
      </c>
      <c r="C631" s="8" t="s">
        <v>888</v>
      </c>
      <c r="D631" s="9" t="s">
        <v>2522</v>
      </c>
      <c r="E631" s="9" t="s">
        <v>2388</v>
      </c>
      <c r="F631" s="10" t="s">
        <v>2387</v>
      </c>
      <c r="G631" s="9" t="s">
        <v>2414</v>
      </c>
      <c r="H631" s="16" t="s">
        <v>2571</v>
      </c>
      <c r="I631" s="53" t="s">
        <v>2412</v>
      </c>
      <c r="J631" s="25" t="s">
        <v>2412</v>
      </c>
      <c r="K631" s="16">
        <v>0</v>
      </c>
      <c r="L631" s="3" t="s">
        <v>2556</v>
      </c>
      <c r="M631" s="17">
        <f>INDEX(Validade!H:H,MATCH('Controle de Validade'!A631,Validade!C:C,0))</f>
        <v>0</v>
      </c>
      <c r="N631" s="18"/>
    </row>
    <row r="632" spans="1:14" ht="15" hidden="1" x14ac:dyDescent="0.2">
      <c r="A632" s="30" t="s">
        <v>243</v>
      </c>
      <c r="B632" s="8" t="s">
        <v>2579</v>
      </c>
      <c r="C632" s="8" t="s">
        <v>244</v>
      </c>
      <c r="D632" s="9" t="s">
        <v>15</v>
      </c>
      <c r="E632" s="9" t="s">
        <v>2388</v>
      </c>
      <c r="F632" s="10" t="s">
        <v>2387</v>
      </c>
      <c r="G632" s="9" t="s">
        <v>2479</v>
      </c>
      <c r="H632" s="16" t="s">
        <v>2571</v>
      </c>
      <c r="I632" s="53" t="s">
        <v>2412</v>
      </c>
      <c r="J632" s="25" t="s">
        <v>2412</v>
      </c>
      <c r="K632" s="16">
        <v>0</v>
      </c>
      <c r="L632" s="3" t="s">
        <v>2556</v>
      </c>
      <c r="M632" s="17">
        <f>INDEX(Validade!H:H,MATCH('Controle de Validade'!A632,Validade!C:C,0))</f>
        <v>62458</v>
      </c>
      <c r="N632" s="18"/>
    </row>
    <row r="633" spans="1:14" ht="15" hidden="1" x14ac:dyDescent="0.2">
      <c r="A633" s="30" t="s">
        <v>1936</v>
      </c>
      <c r="B633" s="8" t="s">
        <v>2579</v>
      </c>
      <c r="C633" s="8" t="s">
        <v>1937</v>
      </c>
      <c r="D633" s="9">
        <v>0</v>
      </c>
      <c r="E633" s="9" t="s">
        <v>2388</v>
      </c>
      <c r="F633" s="10" t="s">
        <v>2387</v>
      </c>
      <c r="G633" s="9" t="s">
        <v>2407</v>
      </c>
      <c r="H633" s="16" t="s">
        <v>2571</v>
      </c>
      <c r="I633" s="53" t="s">
        <v>2412</v>
      </c>
      <c r="J633" s="25" t="s">
        <v>2412</v>
      </c>
      <c r="K633" s="16">
        <v>0</v>
      </c>
      <c r="L633" s="3" t="s">
        <v>2556</v>
      </c>
      <c r="M633" s="17">
        <f>INDEX(Validade!H:H,MATCH('Controle de Validade'!A633,Validade!C:C,0))</f>
        <v>62458</v>
      </c>
      <c r="N633" s="18"/>
    </row>
    <row r="634" spans="1:14" ht="15" hidden="1" x14ac:dyDescent="0.2">
      <c r="A634" s="30" t="s">
        <v>246</v>
      </c>
      <c r="B634" s="8" t="s">
        <v>2579</v>
      </c>
      <c r="C634" s="8" t="s">
        <v>247</v>
      </c>
      <c r="D634" s="9" t="s">
        <v>15</v>
      </c>
      <c r="E634" s="9" t="s">
        <v>2388</v>
      </c>
      <c r="F634" s="10" t="s">
        <v>2387</v>
      </c>
      <c r="G634" s="9" t="s">
        <v>2479</v>
      </c>
      <c r="H634" s="16" t="s">
        <v>2571</v>
      </c>
      <c r="I634" s="53" t="s">
        <v>2412</v>
      </c>
      <c r="J634" s="25" t="s">
        <v>2412</v>
      </c>
      <c r="K634" s="16">
        <v>0</v>
      </c>
      <c r="L634" s="3" t="s">
        <v>2556</v>
      </c>
      <c r="M634" s="17">
        <f>INDEX(Validade!H:H,MATCH('Controle de Validade'!A634,Validade!C:C,0))</f>
        <v>62458</v>
      </c>
      <c r="N634" s="18"/>
    </row>
    <row r="635" spans="1:14" ht="15" hidden="1" x14ac:dyDescent="0.2">
      <c r="A635" s="28" t="s">
        <v>1939</v>
      </c>
      <c r="B635" s="8" t="s">
        <v>2579</v>
      </c>
      <c r="C635" s="8" t="s">
        <v>1940</v>
      </c>
      <c r="D635" s="9" t="s">
        <v>1941</v>
      </c>
      <c r="E635" s="9" t="s">
        <v>2388</v>
      </c>
      <c r="F635" s="10" t="s">
        <v>2387</v>
      </c>
      <c r="G635" s="9" t="s">
        <v>2433</v>
      </c>
      <c r="H635" s="16" t="s">
        <v>2570</v>
      </c>
      <c r="I635" s="39"/>
      <c r="J635" s="39"/>
      <c r="K635" s="16">
        <v>1</v>
      </c>
      <c r="L635" s="3" t="s">
        <v>2556</v>
      </c>
      <c r="M635" s="17">
        <f>INDEX(Validade!H:H,MATCH('Controle de Validade'!A635,Validade!C:C,0))</f>
        <v>45732</v>
      </c>
      <c r="N635" s="18"/>
    </row>
    <row r="636" spans="1:14" ht="15" hidden="1" x14ac:dyDescent="0.2">
      <c r="A636" s="30" t="s">
        <v>861</v>
      </c>
      <c r="B636" s="8" t="s">
        <v>2579</v>
      </c>
      <c r="C636" s="8" t="s">
        <v>862</v>
      </c>
      <c r="D636" s="9" t="s">
        <v>749</v>
      </c>
      <c r="E636" s="9" t="s">
        <v>2476</v>
      </c>
      <c r="F636" s="10" t="s">
        <v>2387</v>
      </c>
      <c r="G636" s="9" t="s">
        <v>2456</v>
      </c>
      <c r="H636" s="16" t="s">
        <v>2571</v>
      </c>
      <c r="I636" s="53" t="s">
        <v>2412</v>
      </c>
      <c r="J636" s="25" t="s">
        <v>2412</v>
      </c>
      <c r="K636" s="16">
        <v>0</v>
      </c>
      <c r="L636" s="15" t="s">
        <v>2556</v>
      </c>
      <c r="M636" s="17">
        <f>INDEX(Validade!H:H,MATCH('Controle de Validade'!A636,Validade!C:C,0))</f>
        <v>0</v>
      </c>
      <c r="N636" s="18"/>
    </row>
    <row r="637" spans="1:14" ht="15" hidden="1" x14ac:dyDescent="0.2">
      <c r="A637" s="30" t="s">
        <v>864</v>
      </c>
      <c r="B637" s="8" t="s">
        <v>2579</v>
      </c>
      <c r="C637" s="8" t="s">
        <v>865</v>
      </c>
      <c r="D637" s="9" t="s">
        <v>749</v>
      </c>
      <c r="E637" s="9" t="s">
        <v>2476</v>
      </c>
      <c r="F637" s="10" t="s">
        <v>2387</v>
      </c>
      <c r="G637" s="9" t="s">
        <v>2456</v>
      </c>
      <c r="H637" s="16" t="s">
        <v>2571</v>
      </c>
      <c r="I637" s="53" t="s">
        <v>2412</v>
      </c>
      <c r="J637" s="25" t="s">
        <v>2412</v>
      </c>
      <c r="K637" s="16">
        <v>0</v>
      </c>
      <c r="L637" s="15" t="s">
        <v>2556</v>
      </c>
      <c r="M637" s="17">
        <f>INDEX(Validade!H:H,MATCH('Controle de Validade'!A637,Validade!C:C,0))</f>
        <v>0</v>
      </c>
      <c r="N637" s="18"/>
    </row>
    <row r="638" spans="1:14" ht="15" hidden="1" x14ac:dyDescent="0.2">
      <c r="A638" s="30" t="s">
        <v>2222</v>
      </c>
      <c r="B638" s="8" t="s">
        <v>2579</v>
      </c>
      <c r="C638" s="8" t="s">
        <v>2803</v>
      </c>
      <c r="D638" s="9" t="s">
        <v>749</v>
      </c>
      <c r="E638" s="9" t="s">
        <v>2476</v>
      </c>
      <c r="F638" s="10" t="s">
        <v>2387</v>
      </c>
      <c r="G638" s="9" t="s">
        <v>2456</v>
      </c>
      <c r="H638" s="16" t="s">
        <v>2571</v>
      </c>
      <c r="I638" s="53" t="s">
        <v>2412</v>
      </c>
      <c r="J638" s="25" t="s">
        <v>2412</v>
      </c>
      <c r="K638" s="16">
        <v>0</v>
      </c>
      <c r="L638" s="15" t="s">
        <v>2556</v>
      </c>
      <c r="M638" s="17" t="e">
        <f>INDEX(Validade!H:H,MATCH('Controle de Validade'!A638,Validade!C:C,0))</f>
        <v>#N/A</v>
      </c>
      <c r="N638" s="18"/>
    </row>
    <row r="639" spans="1:14" ht="15" hidden="1" x14ac:dyDescent="0.2">
      <c r="A639" s="30" t="s">
        <v>2285</v>
      </c>
      <c r="B639" s="8" t="s">
        <v>2579</v>
      </c>
      <c r="C639" s="8" t="s">
        <v>2804</v>
      </c>
      <c r="D639" s="9" t="s">
        <v>749</v>
      </c>
      <c r="E639" s="9" t="s">
        <v>2476</v>
      </c>
      <c r="F639" s="10" t="s">
        <v>2387</v>
      </c>
      <c r="G639" s="9" t="s">
        <v>2456</v>
      </c>
      <c r="H639" s="16" t="s">
        <v>2571</v>
      </c>
      <c r="I639" s="53" t="s">
        <v>2412</v>
      </c>
      <c r="J639" s="25" t="s">
        <v>2412</v>
      </c>
      <c r="K639" s="16">
        <v>0</v>
      </c>
      <c r="L639" s="15" t="s">
        <v>2556</v>
      </c>
      <c r="M639" s="17" t="e">
        <f>INDEX(Validade!H:H,MATCH('Controle de Validade'!A639,Validade!C:C,0))</f>
        <v>#N/A</v>
      </c>
      <c r="N639" s="18"/>
    </row>
    <row r="640" spans="1:14" ht="15" hidden="1" x14ac:dyDescent="0.2">
      <c r="A640" s="30" t="s">
        <v>867</v>
      </c>
      <c r="B640" s="8" t="s">
        <v>2579</v>
      </c>
      <c r="C640" s="8" t="s">
        <v>868</v>
      </c>
      <c r="D640" s="9" t="s">
        <v>749</v>
      </c>
      <c r="E640" s="9" t="s">
        <v>2476</v>
      </c>
      <c r="F640" s="10" t="s">
        <v>2387</v>
      </c>
      <c r="G640" s="9" t="s">
        <v>2456</v>
      </c>
      <c r="H640" s="16" t="s">
        <v>2571</v>
      </c>
      <c r="I640" s="53" t="s">
        <v>2412</v>
      </c>
      <c r="J640" s="25" t="s">
        <v>2412</v>
      </c>
      <c r="K640" s="16">
        <v>0</v>
      </c>
      <c r="L640" s="15" t="s">
        <v>2556</v>
      </c>
      <c r="M640" s="17">
        <f>INDEX(Validade!H:H,MATCH('Controle de Validade'!A640,Validade!C:C,0))</f>
        <v>0</v>
      </c>
      <c r="N640" s="18"/>
    </row>
    <row r="641" spans="1:14" ht="15" hidden="1" x14ac:dyDescent="0.2">
      <c r="A641" s="30" t="s">
        <v>858</v>
      </c>
      <c r="B641" s="8" t="s">
        <v>2579</v>
      </c>
      <c r="C641" s="8" t="s">
        <v>859</v>
      </c>
      <c r="D641" s="9" t="s">
        <v>749</v>
      </c>
      <c r="E641" s="9" t="s">
        <v>2476</v>
      </c>
      <c r="F641" s="10" t="s">
        <v>2387</v>
      </c>
      <c r="G641" s="9" t="s">
        <v>2456</v>
      </c>
      <c r="H641" s="16" t="s">
        <v>2571</v>
      </c>
      <c r="I641" s="53" t="s">
        <v>2412</v>
      </c>
      <c r="J641" s="25" t="s">
        <v>2412</v>
      </c>
      <c r="K641" s="16">
        <v>0</v>
      </c>
      <c r="L641" s="15" t="s">
        <v>2556</v>
      </c>
      <c r="M641" s="17">
        <f>INDEX(Validade!H:H,MATCH('Controle de Validade'!A641,Validade!C:C,0))</f>
        <v>0</v>
      </c>
      <c r="N641" s="18"/>
    </row>
    <row r="642" spans="1:14" ht="15" hidden="1" x14ac:dyDescent="0.2">
      <c r="A642" s="30" t="s">
        <v>881</v>
      </c>
      <c r="B642" s="8" t="s">
        <v>2579</v>
      </c>
      <c r="C642" s="8" t="s">
        <v>882</v>
      </c>
      <c r="D642" s="9" t="s">
        <v>2522</v>
      </c>
      <c r="E642" s="9" t="s">
        <v>2388</v>
      </c>
      <c r="F642" s="10" t="s">
        <v>2387</v>
      </c>
      <c r="G642" s="9" t="s">
        <v>2414</v>
      </c>
      <c r="H642" s="16" t="s">
        <v>2571</v>
      </c>
      <c r="I642" s="53" t="s">
        <v>2412</v>
      </c>
      <c r="J642" s="25" t="s">
        <v>2412</v>
      </c>
      <c r="K642" s="16">
        <v>0</v>
      </c>
      <c r="L642" s="3" t="s">
        <v>2556</v>
      </c>
      <c r="M642" s="17">
        <f>INDEX(Validade!H:H,MATCH('Controle de Validade'!A642,Validade!C:C,0))</f>
        <v>0</v>
      </c>
      <c r="N642" s="18"/>
    </row>
    <row r="643" spans="1:14" ht="15" hidden="1" x14ac:dyDescent="0.2">
      <c r="A643" s="30" t="s">
        <v>730</v>
      </c>
      <c r="B643" s="8" t="s">
        <v>2647</v>
      </c>
      <c r="C643" s="8" t="s">
        <v>731</v>
      </c>
      <c r="D643" s="9" t="s">
        <v>2440</v>
      </c>
      <c r="E643" s="9" t="s">
        <v>2388</v>
      </c>
      <c r="F643" s="10" t="s">
        <v>2961</v>
      </c>
      <c r="G643" s="9" t="s">
        <v>2442</v>
      </c>
      <c r="H643" s="16" t="s">
        <v>2570</v>
      </c>
      <c r="I643" s="63" t="s">
        <v>3189</v>
      </c>
      <c r="J643" s="53" t="s">
        <v>2412</v>
      </c>
      <c r="K643" s="16">
        <v>1</v>
      </c>
      <c r="L643" s="3" t="s">
        <v>2556</v>
      </c>
      <c r="M643" s="17">
        <f>INDEX(Validade!H:H,MATCH('Controle de Validade'!A643,Validade!C:C,0))</f>
        <v>46210</v>
      </c>
      <c r="N643" s="18"/>
    </row>
    <row r="644" spans="1:14" ht="15" hidden="1" x14ac:dyDescent="0.2">
      <c r="A644" s="30" t="s">
        <v>2238</v>
      </c>
      <c r="B644" s="8" t="s">
        <v>2579</v>
      </c>
      <c r="C644" s="8" t="s">
        <v>2805</v>
      </c>
      <c r="D644" s="9" t="s">
        <v>15</v>
      </c>
      <c r="E644" s="9" t="s">
        <v>2388</v>
      </c>
      <c r="F644" s="10" t="s">
        <v>2387</v>
      </c>
      <c r="G644" s="9" t="s">
        <v>2479</v>
      </c>
      <c r="H644" s="16" t="s">
        <v>2571</v>
      </c>
      <c r="I644" s="53" t="s">
        <v>2412</v>
      </c>
      <c r="J644" s="25" t="s">
        <v>2412</v>
      </c>
      <c r="K644" s="16">
        <v>0</v>
      </c>
      <c r="L644" s="3" t="s">
        <v>2556</v>
      </c>
      <c r="M644" s="17" t="e">
        <f>INDEX(Validade!H:H,MATCH('Controle de Validade'!A644,Validade!C:C,0))</f>
        <v>#N/A</v>
      </c>
      <c r="N644" s="18"/>
    </row>
    <row r="645" spans="1:14" ht="15" hidden="1" x14ac:dyDescent="0.2">
      <c r="A645" s="30" t="s">
        <v>2227</v>
      </c>
      <c r="B645" s="8" t="s">
        <v>2579</v>
      </c>
      <c r="C645" s="8" t="s">
        <v>2806</v>
      </c>
      <c r="D645" s="9" t="s">
        <v>15</v>
      </c>
      <c r="E645" s="9" t="s">
        <v>2388</v>
      </c>
      <c r="F645" s="10" t="s">
        <v>2387</v>
      </c>
      <c r="G645" s="9" t="s">
        <v>2479</v>
      </c>
      <c r="H645" s="16" t="s">
        <v>2571</v>
      </c>
      <c r="I645" s="53" t="s">
        <v>2412</v>
      </c>
      <c r="J645" s="25" t="s">
        <v>2412</v>
      </c>
      <c r="K645" s="16">
        <v>0</v>
      </c>
      <c r="L645" s="3" t="s">
        <v>2556</v>
      </c>
      <c r="M645" s="17" t="e">
        <f>INDEX(Validade!H:H,MATCH('Controle de Validade'!A645,Validade!C:C,0))</f>
        <v>#N/A</v>
      </c>
      <c r="N645" s="18"/>
    </row>
    <row r="646" spans="1:14" ht="15" hidden="1" x14ac:dyDescent="0.2">
      <c r="A646" s="30" t="s">
        <v>267</v>
      </c>
      <c r="B646" s="8" t="s">
        <v>2579</v>
      </c>
      <c r="C646" s="8" t="s">
        <v>268</v>
      </c>
      <c r="D646" s="9" t="s">
        <v>15</v>
      </c>
      <c r="E646" s="9" t="s">
        <v>2388</v>
      </c>
      <c r="F646" s="10" t="s">
        <v>2387</v>
      </c>
      <c r="G646" s="9" t="s">
        <v>2479</v>
      </c>
      <c r="H646" s="16" t="s">
        <v>2571</v>
      </c>
      <c r="I646" s="53" t="s">
        <v>2412</v>
      </c>
      <c r="J646" s="25" t="s">
        <v>2412</v>
      </c>
      <c r="K646" s="16">
        <v>0</v>
      </c>
      <c r="L646" s="3" t="s">
        <v>2556</v>
      </c>
      <c r="M646" s="17">
        <f>INDEX(Validade!H:H,MATCH('Controle de Validade'!A646,Validade!C:C,0))</f>
        <v>62458</v>
      </c>
      <c r="N646" s="18"/>
    </row>
    <row r="647" spans="1:14" ht="15" hidden="1" x14ac:dyDescent="0.2">
      <c r="A647" s="30" t="s">
        <v>264</v>
      </c>
      <c r="B647" s="8" t="s">
        <v>2579</v>
      </c>
      <c r="C647" s="8" t="s">
        <v>265</v>
      </c>
      <c r="D647" s="9" t="s">
        <v>15</v>
      </c>
      <c r="E647" s="9" t="s">
        <v>2388</v>
      </c>
      <c r="F647" s="10" t="s">
        <v>2387</v>
      </c>
      <c r="G647" s="9" t="s">
        <v>2479</v>
      </c>
      <c r="H647" s="16" t="s">
        <v>2571</v>
      </c>
      <c r="I647" s="53" t="s">
        <v>2412</v>
      </c>
      <c r="J647" s="25" t="s">
        <v>2412</v>
      </c>
      <c r="K647" s="16">
        <v>0</v>
      </c>
      <c r="L647" s="3" t="s">
        <v>2556</v>
      </c>
      <c r="M647" s="17">
        <f>INDEX(Validade!H:H,MATCH('Controle de Validade'!A647,Validade!C:C,0))</f>
        <v>62458</v>
      </c>
      <c r="N647" s="18"/>
    </row>
    <row r="648" spans="1:14" ht="15" hidden="1" x14ac:dyDescent="0.2">
      <c r="A648" s="30" t="s">
        <v>255</v>
      </c>
      <c r="B648" s="8" t="s">
        <v>2579</v>
      </c>
      <c r="C648" s="8" t="s">
        <v>256</v>
      </c>
      <c r="D648" s="9" t="s">
        <v>15</v>
      </c>
      <c r="E648" s="9" t="s">
        <v>2388</v>
      </c>
      <c r="F648" s="10" t="s">
        <v>2387</v>
      </c>
      <c r="G648" s="9" t="s">
        <v>2410</v>
      </c>
      <c r="H648" s="16" t="s">
        <v>2571</v>
      </c>
      <c r="I648" s="53" t="s">
        <v>2412</v>
      </c>
      <c r="J648" s="25" t="s">
        <v>2412</v>
      </c>
      <c r="K648" s="16">
        <v>0</v>
      </c>
      <c r="L648" s="3" t="s">
        <v>2556</v>
      </c>
      <c r="M648" s="17">
        <f>INDEX(Validade!H:H,MATCH('Controle de Validade'!A648,Validade!C:C,0))</f>
        <v>62458</v>
      </c>
      <c r="N648" s="18"/>
    </row>
    <row r="649" spans="1:14" ht="15" hidden="1" x14ac:dyDescent="0.2">
      <c r="A649" s="30" t="s">
        <v>252</v>
      </c>
      <c r="B649" s="8" t="s">
        <v>2579</v>
      </c>
      <c r="C649" s="8" t="s">
        <v>253</v>
      </c>
      <c r="D649" s="9" t="s">
        <v>15</v>
      </c>
      <c r="E649" s="9" t="s">
        <v>2388</v>
      </c>
      <c r="F649" s="10" t="s">
        <v>2387</v>
      </c>
      <c r="G649" s="9" t="s">
        <v>2410</v>
      </c>
      <c r="H649" s="16" t="s">
        <v>2571</v>
      </c>
      <c r="I649" s="53" t="s">
        <v>2412</v>
      </c>
      <c r="J649" s="25" t="s">
        <v>2412</v>
      </c>
      <c r="K649" s="16">
        <v>0</v>
      </c>
      <c r="L649" s="3" t="s">
        <v>2556</v>
      </c>
      <c r="M649" s="17">
        <f>INDEX(Validade!H:H,MATCH('Controle de Validade'!A649,Validade!C:C,0))</f>
        <v>62458</v>
      </c>
      <c r="N649" s="18"/>
    </row>
    <row r="650" spans="1:14" ht="15" hidden="1" x14ac:dyDescent="0.2">
      <c r="A650" s="30" t="s">
        <v>249</v>
      </c>
      <c r="B650" s="8" t="s">
        <v>2579</v>
      </c>
      <c r="C650" s="8" t="s">
        <v>250</v>
      </c>
      <c r="D650" s="9" t="s">
        <v>3238</v>
      </c>
      <c r="E650" s="9" t="s">
        <v>2388</v>
      </c>
      <c r="F650" s="10" t="s">
        <v>2387</v>
      </c>
      <c r="G650" s="9" t="s">
        <v>2479</v>
      </c>
      <c r="H650" s="16" t="s">
        <v>2571</v>
      </c>
      <c r="I650" s="53" t="s">
        <v>2412</v>
      </c>
      <c r="J650" s="25" t="s">
        <v>2412</v>
      </c>
      <c r="K650" s="16">
        <v>0</v>
      </c>
      <c r="L650" s="3" t="s">
        <v>2556</v>
      </c>
      <c r="M650" s="17">
        <f>INDEX(Validade!H:H,MATCH('Controle de Validade'!A650,Validade!C:C,0))</f>
        <v>62458</v>
      </c>
      <c r="N650" s="18"/>
    </row>
    <row r="651" spans="1:14" ht="15" hidden="1" x14ac:dyDescent="0.2">
      <c r="A651" s="30" t="s">
        <v>261</v>
      </c>
      <c r="B651" s="8" t="s">
        <v>2579</v>
      </c>
      <c r="C651" s="8" t="s">
        <v>262</v>
      </c>
      <c r="D651" s="9" t="s">
        <v>15</v>
      </c>
      <c r="E651" s="9" t="s">
        <v>2388</v>
      </c>
      <c r="F651" s="10" t="s">
        <v>2387</v>
      </c>
      <c r="G651" s="9" t="s">
        <v>2479</v>
      </c>
      <c r="H651" s="16" t="s">
        <v>2571</v>
      </c>
      <c r="I651" s="53" t="s">
        <v>2412</v>
      </c>
      <c r="J651" s="25" t="s">
        <v>2412</v>
      </c>
      <c r="K651" s="16">
        <v>0</v>
      </c>
      <c r="L651" s="3" t="s">
        <v>2556</v>
      </c>
      <c r="M651" s="17">
        <f>INDEX(Validade!H:H,MATCH('Controle de Validade'!A651,Validade!C:C,0))</f>
        <v>62458</v>
      </c>
      <c r="N651" s="18"/>
    </row>
    <row r="652" spans="1:14" ht="15" hidden="1" x14ac:dyDescent="0.2">
      <c r="A652" s="30" t="s">
        <v>2273</v>
      </c>
      <c r="B652" s="8" t="s">
        <v>2579</v>
      </c>
      <c r="C652" s="8" t="s">
        <v>2675</v>
      </c>
      <c r="D652" s="9" t="s">
        <v>15</v>
      </c>
      <c r="E652" s="9" t="s">
        <v>2388</v>
      </c>
      <c r="F652" s="10" t="s">
        <v>2387</v>
      </c>
      <c r="G652" s="9" t="s">
        <v>2479</v>
      </c>
      <c r="H652" s="16" t="s">
        <v>2571</v>
      </c>
      <c r="I652" s="53" t="s">
        <v>2412</v>
      </c>
      <c r="J652" s="25" t="s">
        <v>2412</v>
      </c>
      <c r="K652" s="16">
        <v>0</v>
      </c>
      <c r="L652" s="3" t="s">
        <v>2556</v>
      </c>
      <c r="M652" s="17" t="e">
        <f>INDEX(Validade!H:H,MATCH('Controle de Validade'!A652,Validade!C:C,0))</f>
        <v>#N/A</v>
      </c>
      <c r="N652" s="18"/>
    </row>
    <row r="653" spans="1:14" ht="15" hidden="1" x14ac:dyDescent="0.2">
      <c r="A653" s="30" t="s">
        <v>258</v>
      </c>
      <c r="B653" s="8" t="s">
        <v>2579</v>
      </c>
      <c r="C653" s="8" t="s">
        <v>259</v>
      </c>
      <c r="D653" s="9" t="s">
        <v>15</v>
      </c>
      <c r="E653" s="9" t="s">
        <v>2388</v>
      </c>
      <c r="F653" s="10" t="s">
        <v>2387</v>
      </c>
      <c r="G653" s="9" t="s">
        <v>2479</v>
      </c>
      <c r="H653" s="16" t="s">
        <v>2571</v>
      </c>
      <c r="I653" s="53" t="s">
        <v>2412</v>
      </c>
      <c r="J653" s="25" t="s">
        <v>2412</v>
      </c>
      <c r="K653" s="16">
        <v>0</v>
      </c>
      <c r="L653" s="3" t="s">
        <v>2556</v>
      </c>
      <c r="M653" s="17">
        <f>INDEX(Validade!H:H,MATCH('Controle de Validade'!A653,Validade!C:C,0))</f>
        <v>62458</v>
      </c>
      <c r="N653" s="18"/>
    </row>
    <row r="654" spans="1:14" ht="15" hidden="1" x14ac:dyDescent="0.2">
      <c r="A654" s="30" t="s">
        <v>2164</v>
      </c>
      <c r="B654" s="8" t="s">
        <v>2579</v>
      </c>
      <c r="C654" s="8" t="s">
        <v>2807</v>
      </c>
      <c r="D654" s="9">
        <v>0</v>
      </c>
      <c r="E654" s="9" t="s">
        <v>2393</v>
      </c>
      <c r="F654" s="10" t="s">
        <v>2387</v>
      </c>
      <c r="G654" s="9" t="s">
        <v>2456</v>
      </c>
      <c r="H654" s="16" t="s">
        <v>2571</v>
      </c>
      <c r="I654" s="53" t="s">
        <v>2412</v>
      </c>
      <c r="J654" s="25" t="s">
        <v>2412</v>
      </c>
      <c r="K654" s="16">
        <v>0</v>
      </c>
      <c r="L654" s="3" t="s">
        <v>2556</v>
      </c>
      <c r="M654" s="17" t="e">
        <f>INDEX(Validade!H:H,MATCH('Controle de Validade'!A654,Validade!C:C,0))</f>
        <v>#N/A</v>
      </c>
      <c r="N654" s="18"/>
    </row>
    <row r="655" spans="1:14" ht="15" hidden="1" x14ac:dyDescent="0.2">
      <c r="A655" s="30" t="s">
        <v>2187</v>
      </c>
      <c r="B655" s="8" t="s">
        <v>2579</v>
      </c>
      <c r="C655" s="8" t="s">
        <v>2654</v>
      </c>
      <c r="D655" s="9">
        <v>0</v>
      </c>
      <c r="E655" s="9" t="s">
        <v>2393</v>
      </c>
      <c r="F655" s="10" t="s">
        <v>2387</v>
      </c>
      <c r="G655" s="9" t="s">
        <v>2456</v>
      </c>
      <c r="H655" s="16" t="s">
        <v>2571</v>
      </c>
      <c r="I655" s="53" t="s">
        <v>2412</v>
      </c>
      <c r="J655" s="25" t="s">
        <v>2412</v>
      </c>
      <c r="K655" s="16">
        <v>0</v>
      </c>
      <c r="L655" s="3" t="s">
        <v>2556</v>
      </c>
      <c r="M655" s="17" t="e">
        <f>INDEX(Validade!H:H,MATCH('Controle de Validade'!A655,Validade!C:C,0))</f>
        <v>#N/A</v>
      </c>
      <c r="N655" s="18"/>
    </row>
    <row r="656" spans="1:14" ht="15" hidden="1" x14ac:dyDescent="0.2">
      <c r="A656" s="30" t="s">
        <v>2081</v>
      </c>
      <c r="B656" s="8" t="s">
        <v>2579</v>
      </c>
      <c r="C656" s="8" t="s">
        <v>2656</v>
      </c>
      <c r="D656" s="9">
        <v>0</v>
      </c>
      <c r="E656" s="9" t="s">
        <v>2393</v>
      </c>
      <c r="F656" s="10" t="s">
        <v>2387</v>
      </c>
      <c r="G656" s="9" t="s">
        <v>2456</v>
      </c>
      <c r="H656" s="16" t="s">
        <v>2571</v>
      </c>
      <c r="I656" s="53" t="s">
        <v>2412</v>
      </c>
      <c r="J656" s="25" t="s">
        <v>2412</v>
      </c>
      <c r="K656" s="16">
        <v>0</v>
      </c>
      <c r="L656" s="3" t="s">
        <v>2556</v>
      </c>
      <c r="M656" s="17" t="e">
        <f>INDEX(Validade!H:H,MATCH('Controle de Validade'!A656,Validade!C:C,0))</f>
        <v>#N/A</v>
      </c>
      <c r="N656" s="18"/>
    </row>
    <row r="657" spans="1:14" ht="15" hidden="1" x14ac:dyDescent="0.2">
      <c r="A657" s="30" t="s">
        <v>2159</v>
      </c>
      <c r="B657" s="8" t="s">
        <v>2579</v>
      </c>
      <c r="C657" s="8" t="s">
        <v>2808</v>
      </c>
      <c r="D657" s="9">
        <v>0</v>
      </c>
      <c r="E657" s="9" t="s">
        <v>2393</v>
      </c>
      <c r="F657" s="10" t="s">
        <v>2387</v>
      </c>
      <c r="G657" s="9" t="s">
        <v>2456</v>
      </c>
      <c r="H657" s="16" t="s">
        <v>2571</v>
      </c>
      <c r="I657" s="53" t="s">
        <v>2412</v>
      </c>
      <c r="J657" s="25" t="s">
        <v>2412</v>
      </c>
      <c r="K657" s="16">
        <v>0</v>
      </c>
      <c r="L657" s="3" t="s">
        <v>2556</v>
      </c>
      <c r="M657" s="17" t="e">
        <f>INDEX(Validade!H:H,MATCH('Controle de Validade'!A657,Validade!C:C,0))</f>
        <v>#N/A</v>
      </c>
      <c r="N657" s="18"/>
    </row>
    <row r="658" spans="1:14" ht="15" hidden="1" x14ac:dyDescent="0.2">
      <c r="A658" s="30" t="s">
        <v>2160</v>
      </c>
      <c r="B658" s="8" t="s">
        <v>2579</v>
      </c>
      <c r="C658" s="8" t="s">
        <v>2809</v>
      </c>
      <c r="D658" s="9">
        <v>0</v>
      </c>
      <c r="E658" s="9" t="s">
        <v>2393</v>
      </c>
      <c r="F658" s="10" t="s">
        <v>2387</v>
      </c>
      <c r="G658" s="9" t="s">
        <v>2456</v>
      </c>
      <c r="H658" s="16" t="s">
        <v>2571</v>
      </c>
      <c r="I658" s="53" t="s">
        <v>2412</v>
      </c>
      <c r="J658" s="25" t="s">
        <v>2412</v>
      </c>
      <c r="K658" s="16">
        <v>0</v>
      </c>
      <c r="L658" s="3" t="s">
        <v>2556</v>
      </c>
      <c r="M658" s="17" t="e">
        <f>INDEX(Validade!H:H,MATCH('Controle de Validade'!A658,Validade!C:C,0))</f>
        <v>#N/A</v>
      </c>
      <c r="N658" s="18"/>
    </row>
    <row r="659" spans="1:14" ht="15" hidden="1" x14ac:dyDescent="0.2">
      <c r="A659" s="30" t="s">
        <v>2084</v>
      </c>
      <c r="B659" s="8" t="s">
        <v>2579</v>
      </c>
      <c r="C659" s="8" t="s">
        <v>2657</v>
      </c>
      <c r="D659" s="9">
        <v>0</v>
      </c>
      <c r="E659" s="9" t="s">
        <v>2393</v>
      </c>
      <c r="F659" s="10" t="s">
        <v>2387</v>
      </c>
      <c r="G659" s="9" t="s">
        <v>2456</v>
      </c>
      <c r="H659" s="16" t="s">
        <v>2571</v>
      </c>
      <c r="I659" s="53" t="s">
        <v>2412</v>
      </c>
      <c r="J659" s="25" t="s">
        <v>2412</v>
      </c>
      <c r="K659" s="16">
        <v>0</v>
      </c>
      <c r="L659" s="3" t="s">
        <v>2556</v>
      </c>
      <c r="M659" s="17" t="e">
        <f>INDEX(Validade!H:H,MATCH('Controle de Validade'!A659,Validade!C:C,0))</f>
        <v>#N/A</v>
      </c>
      <c r="N659" s="18"/>
    </row>
    <row r="660" spans="1:14" ht="15" hidden="1" x14ac:dyDescent="0.2">
      <c r="A660" s="30" t="s">
        <v>2338</v>
      </c>
      <c r="B660" s="8" t="s">
        <v>2579</v>
      </c>
      <c r="C660" s="8" t="s">
        <v>2655</v>
      </c>
      <c r="D660" s="9" t="s">
        <v>2495</v>
      </c>
      <c r="E660" s="9" t="s">
        <v>2393</v>
      </c>
      <c r="F660" s="10" t="s">
        <v>2387</v>
      </c>
      <c r="G660" s="9" t="s">
        <v>2456</v>
      </c>
      <c r="H660" s="16" t="s">
        <v>2571</v>
      </c>
      <c r="I660" s="53" t="s">
        <v>2412</v>
      </c>
      <c r="J660" s="25" t="s">
        <v>2412</v>
      </c>
      <c r="K660" s="16">
        <v>0</v>
      </c>
      <c r="L660" s="3" t="s">
        <v>2556</v>
      </c>
      <c r="M660" s="17" t="e">
        <f>INDEX(Validade!H:H,MATCH('Controle de Validade'!A660,Validade!C:C,0))</f>
        <v>#N/A</v>
      </c>
      <c r="N660" s="18"/>
    </row>
    <row r="661" spans="1:14" ht="15" hidden="1" x14ac:dyDescent="0.2">
      <c r="A661" s="30" t="s">
        <v>2352</v>
      </c>
      <c r="B661" s="8" t="s">
        <v>2579</v>
      </c>
      <c r="C661" s="8" t="s">
        <v>803</v>
      </c>
      <c r="D661" s="9" t="s">
        <v>2495</v>
      </c>
      <c r="E661" s="9" t="s">
        <v>2393</v>
      </c>
      <c r="F661" s="10" t="s">
        <v>2387</v>
      </c>
      <c r="G661" s="9" t="s">
        <v>2456</v>
      </c>
      <c r="H661" s="16" t="s">
        <v>2571</v>
      </c>
      <c r="I661" s="53" t="s">
        <v>2412</v>
      </c>
      <c r="J661" s="25" t="s">
        <v>2412</v>
      </c>
      <c r="K661" s="16">
        <v>0</v>
      </c>
      <c r="L661" s="3" t="s">
        <v>2556</v>
      </c>
      <c r="M661" s="17" t="e">
        <f>INDEX(Validade!H:H,MATCH('Controle de Validade'!A661,Validade!C:C,0))</f>
        <v>#N/A</v>
      </c>
      <c r="N661" s="18"/>
    </row>
    <row r="662" spans="1:14" ht="15" hidden="1" x14ac:dyDescent="0.2">
      <c r="A662" s="30" t="s">
        <v>2351</v>
      </c>
      <c r="B662" s="8" t="s">
        <v>2579</v>
      </c>
      <c r="C662" s="8" t="s">
        <v>806</v>
      </c>
      <c r="D662" s="9" t="s">
        <v>2495</v>
      </c>
      <c r="E662" s="9" t="s">
        <v>2393</v>
      </c>
      <c r="F662" s="10" t="s">
        <v>2387</v>
      </c>
      <c r="G662" s="9" t="s">
        <v>2456</v>
      </c>
      <c r="H662" s="16" t="s">
        <v>2571</v>
      </c>
      <c r="I662" s="53" t="s">
        <v>2412</v>
      </c>
      <c r="J662" s="25" t="s">
        <v>2412</v>
      </c>
      <c r="K662" s="16">
        <v>0</v>
      </c>
      <c r="L662" s="3" t="s">
        <v>2556</v>
      </c>
      <c r="M662" s="17" t="e">
        <f>INDEX(Validade!H:H,MATCH('Controle de Validade'!A662,Validade!C:C,0))</f>
        <v>#N/A</v>
      </c>
      <c r="N662" s="18"/>
    </row>
    <row r="663" spans="1:14" ht="15" hidden="1" x14ac:dyDescent="0.2">
      <c r="A663" s="30" t="s">
        <v>2350</v>
      </c>
      <c r="B663" s="8" t="s">
        <v>2579</v>
      </c>
      <c r="C663" s="8" t="s">
        <v>800</v>
      </c>
      <c r="D663" s="9" t="s">
        <v>2495</v>
      </c>
      <c r="E663" s="9" t="s">
        <v>2393</v>
      </c>
      <c r="F663" s="10" t="s">
        <v>2387</v>
      </c>
      <c r="G663" s="9" t="s">
        <v>2456</v>
      </c>
      <c r="H663" s="16" t="s">
        <v>2571</v>
      </c>
      <c r="I663" s="53" t="s">
        <v>2412</v>
      </c>
      <c r="J663" s="25" t="s">
        <v>2412</v>
      </c>
      <c r="K663" s="16">
        <v>0</v>
      </c>
      <c r="L663" s="3" t="s">
        <v>2556</v>
      </c>
      <c r="M663" s="17" t="e">
        <f>INDEX(Validade!H:H,MATCH('Controle de Validade'!A663,Validade!C:C,0))</f>
        <v>#N/A</v>
      </c>
      <c r="N663" s="18"/>
    </row>
    <row r="664" spans="1:14" ht="15" hidden="1" x14ac:dyDescent="0.2">
      <c r="A664" s="30" t="s">
        <v>2348</v>
      </c>
      <c r="B664" s="8" t="s">
        <v>2579</v>
      </c>
      <c r="C664" s="8" t="s">
        <v>2810</v>
      </c>
      <c r="D664" s="9" t="e">
        <v>#N/A</v>
      </c>
      <c r="E664" s="9" t="s">
        <v>2388</v>
      </c>
      <c r="F664" s="10" t="s">
        <v>2392</v>
      </c>
      <c r="G664" s="9" t="s">
        <v>2410</v>
      </c>
      <c r="H664" s="16" t="s">
        <v>2571</v>
      </c>
      <c r="I664" s="53" t="s">
        <v>2412</v>
      </c>
      <c r="J664" s="25" t="s">
        <v>2412</v>
      </c>
      <c r="K664" s="16">
        <v>0</v>
      </c>
      <c r="L664" s="3" t="s">
        <v>2556</v>
      </c>
      <c r="M664" s="17" t="e">
        <f>INDEX(Validade!H:H,MATCH('Controle de Validade'!A664,Validade!C:C,0))</f>
        <v>#N/A</v>
      </c>
      <c r="N664" s="18"/>
    </row>
    <row r="665" spans="1:14" ht="15" hidden="1" x14ac:dyDescent="0.2">
      <c r="A665" s="30" t="s">
        <v>2349</v>
      </c>
      <c r="B665" s="8" t="s">
        <v>2579</v>
      </c>
      <c r="C665" s="8" t="s">
        <v>2811</v>
      </c>
      <c r="D665" s="9" t="e">
        <v>#N/A</v>
      </c>
      <c r="E665" s="9" t="s">
        <v>2388</v>
      </c>
      <c r="F665" s="10" t="s">
        <v>2392</v>
      </c>
      <c r="G665" s="9" t="s">
        <v>2410</v>
      </c>
      <c r="H665" s="16" t="s">
        <v>2571</v>
      </c>
      <c r="I665" s="53" t="s">
        <v>2412</v>
      </c>
      <c r="J665" s="25" t="s">
        <v>2412</v>
      </c>
      <c r="K665" s="16">
        <v>0</v>
      </c>
      <c r="L665" s="3" t="s">
        <v>2556</v>
      </c>
      <c r="M665" s="17" t="e">
        <f>INDEX(Validade!H:H,MATCH('Controle de Validade'!A665,Validade!C:C,0))</f>
        <v>#N/A</v>
      </c>
      <c r="N665" s="18"/>
    </row>
    <row r="666" spans="1:14" ht="15" hidden="1" x14ac:dyDescent="0.2">
      <c r="A666" s="30" t="s">
        <v>2347</v>
      </c>
      <c r="B666" s="8" t="s">
        <v>2579</v>
      </c>
      <c r="C666" s="8" t="s">
        <v>2812</v>
      </c>
      <c r="D666" s="9" t="e">
        <v>#N/A</v>
      </c>
      <c r="E666" s="9" t="s">
        <v>2388</v>
      </c>
      <c r="F666" s="10" t="s">
        <v>2392</v>
      </c>
      <c r="G666" s="9" t="s">
        <v>2410</v>
      </c>
      <c r="H666" s="16" t="s">
        <v>2571</v>
      </c>
      <c r="I666" s="53" t="s">
        <v>2412</v>
      </c>
      <c r="J666" s="25" t="s">
        <v>2412</v>
      </c>
      <c r="K666" s="16">
        <v>0</v>
      </c>
      <c r="L666" s="3" t="s">
        <v>2556</v>
      </c>
      <c r="M666" s="17" t="e">
        <f>INDEX(Validade!H:H,MATCH('Controle de Validade'!A666,Validade!C:C,0))</f>
        <v>#N/A</v>
      </c>
      <c r="N666" s="18"/>
    </row>
    <row r="667" spans="1:14" ht="15" hidden="1" x14ac:dyDescent="0.2">
      <c r="A667" s="30" t="s">
        <v>2332</v>
      </c>
      <c r="B667" s="8" t="s">
        <v>2579</v>
      </c>
      <c r="C667" s="8" t="s">
        <v>2813</v>
      </c>
      <c r="D667" s="9" t="s">
        <v>2546</v>
      </c>
      <c r="E667" s="9" t="s">
        <v>2388</v>
      </c>
      <c r="F667" s="10" t="s">
        <v>2961</v>
      </c>
      <c r="G667" s="9" t="s">
        <v>2431</v>
      </c>
      <c r="H667" s="16" t="s">
        <v>2571</v>
      </c>
      <c r="I667" s="53" t="s">
        <v>2412</v>
      </c>
      <c r="J667" s="25" t="s">
        <v>2412</v>
      </c>
      <c r="K667" s="16">
        <v>1</v>
      </c>
      <c r="L667" s="3" t="s">
        <v>2558</v>
      </c>
      <c r="M667" s="17" t="e">
        <f>INDEX(Validade!H:H,MATCH('Controle de Validade'!A667,Validade!C:C,0))</f>
        <v>#N/A</v>
      </c>
      <c r="N667" s="18" t="s">
        <v>2576</v>
      </c>
    </row>
    <row r="668" spans="1:14" ht="15" hidden="1" x14ac:dyDescent="0.2">
      <c r="A668" s="30" t="s">
        <v>2319</v>
      </c>
      <c r="B668" s="8" t="s">
        <v>2579</v>
      </c>
      <c r="C668" s="8" t="s">
        <v>2814</v>
      </c>
      <c r="D668" s="9" t="e">
        <v>#N/A</v>
      </c>
      <c r="E668" s="9" t="s">
        <v>2388</v>
      </c>
      <c r="F668" s="10" t="s">
        <v>2392</v>
      </c>
      <c r="G668" s="9" t="s">
        <v>2410</v>
      </c>
      <c r="H668" s="16" t="s">
        <v>2571</v>
      </c>
      <c r="I668" s="53" t="s">
        <v>2412</v>
      </c>
      <c r="J668" s="25" t="s">
        <v>2412</v>
      </c>
      <c r="K668" s="16">
        <v>0</v>
      </c>
      <c r="L668" s="3" t="s">
        <v>2556</v>
      </c>
      <c r="M668" s="17" t="e">
        <f>INDEX(Validade!H:H,MATCH('Controle de Validade'!A668,Validade!C:C,0))</f>
        <v>#N/A</v>
      </c>
      <c r="N668" s="18"/>
    </row>
    <row r="669" spans="1:14" ht="15" hidden="1" x14ac:dyDescent="0.2">
      <c r="A669" s="30" t="s">
        <v>2312</v>
      </c>
      <c r="B669" s="8" t="s">
        <v>2579</v>
      </c>
      <c r="C669" s="8" t="s">
        <v>2815</v>
      </c>
      <c r="D669" s="9" t="e">
        <v>#N/A</v>
      </c>
      <c r="E669" s="9" t="s">
        <v>2388</v>
      </c>
      <c r="F669" s="10" t="s">
        <v>2392</v>
      </c>
      <c r="G669" s="9" t="s">
        <v>2410</v>
      </c>
      <c r="H669" s="16" t="s">
        <v>2571</v>
      </c>
      <c r="I669" s="53" t="s">
        <v>2412</v>
      </c>
      <c r="J669" s="25" t="s">
        <v>2412</v>
      </c>
      <c r="K669" s="16">
        <v>0</v>
      </c>
      <c r="L669" s="3" t="s">
        <v>2556</v>
      </c>
      <c r="M669" s="17" t="e">
        <f>INDEX(Validade!H:H,MATCH('Controle de Validade'!A669,Validade!C:C,0))</f>
        <v>#N/A</v>
      </c>
      <c r="N669" s="18"/>
    </row>
    <row r="670" spans="1:14" ht="15" hidden="1" x14ac:dyDescent="0.2">
      <c r="A670" s="30" t="s">
        <v>2329</v>
      </c>
      <c r="B670" s="8" t="s">
        <v>2579</v>
      </c>
      <c r="C670" s="8" t="s">
        <v>2816</v>
      </c>
      <c r="D670" s="9" t="e">
        <v>#N/A</v>
      </c>
      <c r="E670" s="9" t="s">
        <v>2388</v>
      </c>
      <c r="F670" s="10" t="s">
        <v>2392</v>
      </c>
      <c r="G670" s="9" t="s">
        <v>2410</v>
      </c>
      <c r="H670" s="16" t="s">
        <v>2571</v>
      </c>
      <c r="I670" s="53" t="s">
        <v>2412</v>
      </c>
      <c r="J670" s="25" t="s">
        <v>2412</v>
      </c>
      <c r="K670" s="16">
        <v>0</v>
      </c>
      <c r="L670" s="3" t="s">
        <v>2556</v>
      </c>
      <c r="M670" s="17" t="e">
        <f>INDEX(Validade!H:H,MATCH('Controle de Validade'!A670,Validade!C:C,0))</f>
        <v>#N/A</v>
      </c>
      <c r="N670" s="18"/>
    </row>
    <row r="671" spans="1:14" ht="15" hidden="1" x14ac:dyDescent="0.2">
      <c r="A671" s="30" t="s">
        <v>2367</v>
      </c>
      <c r="B671" s="8" t="s">
        <v>2579</v>
      </c>
      <c r="C671" s="8" t="s">
        <v>2817</v>
      </c>
      <c r="D671" s="9" t="e">
        <v>#N/A</v>
      </c>
      <c r="E671" s="9" t="s">
        <v>2388</v>
      </c>
      <c r="F671" s="10" t="s">
        <v>2387</v>
      </c>
      <c r="G671" s="9" t="s">
        <v>2410</v>
      </c>
      <c r="H671" s="16" t="s">
        <v>2571</v>
      </c>
      <c r="I671" s="53" t="s">
        <v>2412</v>
      </c>
      <c r="J671" s="25" t="s">
        <v>2412</v>
      </c>
      <c r="K671" s="16">
        <v>0</v>
      </c>
      <c r="L671" s="3" t="s">
        <v>2556</v>
      </c>
      <c r="M671" s="17" t="e">
        <f>INDEX(Validade!H:H,MATCH('Controle de Validade'!A671,Validade!C:C,0))</f>
        <v>#N/A</v>
      </c>
      <c r="N671" s="18"/>
    </row>
    <row r="672" spans="1:14" ht="15" hidden="1" x14ac:dyDescent="0.2">
      <c r="A672" s="30" t="s">
        <v>2355</v>
      </c>
      <c r="B672" s="8" t="s">
        <v>2579</v>
      </c>
      <c r="C672" s="8" t="s">
        <v>2818</v>
      </c>
      <c r="D672" s="9" t="s">
        <v>15</v>
      </c>
      <c r="E672" s="9" t="s">
        <v>2388</v>
      </c>
      <c r="F672" s="10" t="s">
        <v>2387</v>
      </c>
      <c r="G672" s="9" t="s">
        <v>2479</v>
      </c>
      <c r="H672" s="16" t="s">
        <v>2571</v>
      </c>
      <c r="I672" s="53" t="s">
        <v>2412</v>
      </c>
      <c r="J672" s="25" t="s">
        <v>2412</v>
      </c>
      <c r="K672" s="16">
        <v>0</v>
      </c>
      <c r="L672" s="3" t="s">
        <v>2556</v>
      </c>
      <c r="M672" s="17" t="e">
        <f>INDEX(Validade!H:H,MATCH('Controle de Validade'!A672,Validade!C:C,0))</f>
        <v>#N/A</v>
      </c>
      <c r="N672" s="18"/>
    </row>
    <row r="673" spans="1:14" ht="15" hidden="1" x14ac:dyDescent="0.2">
      <c r="A673" s="30" t="s">
        <v>2356</v>
      </c>
      <c r="B673" s="8" t="s">
        <v>2579</v>
      </c>
      <c r="C673" s="8" t="s">
        <v>2819</v>
      </c>
      <c r="D673" s="9" t="e">
        <v>#N/A</v>
      </c>
      <c r="E673" s="9" t="s">
        <v>2388</v>
      </c>
      <c r="F673" s="10" t="s">
        <v>2387</v>
      </c>
      <c r="G673" s="9" t="s">
        <v>2410</v>
      </c>
      <c r="H673" s="16" t="s">
        <v>2571</v>
      </c>
      <c r="I673" s="53" t="s">
        <v>2412</v>
      </c>
      <c r="J673" s="25" t="s">
        <v>2412</v>
      </c>
      <c r="K673" s="16">
        <v>0</v>
      </c>
      <c r="L673" s="3" t="s">
        <v>2556</v>
      </c>
      <c r="M673" s="17" t="e">
        <f>INDEX(Validade!H:H,MATCH('Controle de Validade'!A673,Validade!C:C,0))</f>
        <v>#N/A</v>
      </c>
      <c r="N673" s="18"/>
    </row>
    <row r="674" spans="1:14" ht="15" hidden="1" x14ac:dyDescent="0.2">
      <c r="A674" s="30" t="s">
        <v>2235</v>
      </c>
      <c r="B674" s="8" t="s">
        <v>2579</v>
      </c>
      <c r="C674" s="8" t="s">
        <v>2820</v>
      </c>
      <c r="D674" s="9" t="s">
        <v>15</v>
      </c>
      <c r="E674" s="9" t="s">
        <v>2388</v>
      </c>
      <c r="F674" s="10" t="s">
        <v>2387</v>
      </c>
      <c r="G674" s="9" t="s">
        <v>2479</v>
      </c>
      <c r="H674" s="16" t="s">
        <v>2571</v>
      </c>
      <c r="I674" s="53" t="s">
        <v>2412</v>
      </c>
      <c r="J674" s="25" t="s">
        <v>2412</v>
      </c>
      <c r="K674" s="16">
        <v>0</v>
      </c>
      <c r="L674" s="3" t="s">
        <v>2556</v>
      </c>
      <c r="M674" s="17" t="e">
        <f>INDEX(Validade!H:H,MATCH('Controle de Validade'!A674,Validade!C:C,0))</f>
        <v>#N/A</v>
      </c>
      <c r="N674" s="18"/>
    </row>
    <row r="675" spans="1:14" ht="15" hidden="1" x14ac:dyDescent="0.2">
      <c r="A675" s="30" t="s">
        <v>2234</v>
      </c>
      <c r="B675" s="8" t="s">
        <v>2579</v>
      </c>
      <c r="C675" s="8" t="s">
        <v>2821</v>
      </c>
      <c r="D675" s="9" t="s">
        <v>15</v>
      </c>
      <c r="E675" s="9" t="s">
        <v>2388</v>
      </c>
      <c r="F675" s="10" t="s">
        <v>2387</v>
      </c>
      <c r="G675" s="9" t="s">
        <v>2479</v>
      </c>
      <c r="H675" s="16" t="s">
        <v>2571</v>
      </c>
      <c r="I675" s="53" t="s">
        <v>2412</v>
      </c>
      <c r="J675" s="25" t="s">
        <v>2412</v>
      </c>
      <c r="K675" s="16">
        <v>0</v>
      </c>
      <c r="L675" s="3" t="s">
        <v>2556</v>
      </c>
      <c r="M675" s="17" t="e">
        <f>INDEX(Validade!H:H,MATCH('Controle de Validade'!A675,Validade!C:C,0))</f>
        <v>#N/A</v>
      </c>
      <c r="N675" s="18"/>
    </row>
    <row r="676" spans="1:14" ht="15" hidden="1" x14ac:dyDescent="0.2">
      <c r="A676" s="30" t="s">
        <v>2311</v>
      </c>
      <c r="B676" s="8" t="s">
        <v>2579</v>
      </c>
      <c r="C676" s="8" t="s">
        <v>2822</v>
      </c>
      <c r="D676" s="9" t="e">
        <v>#N/A</v>
      </c>
      <c r="E676" s="9" t="s">
        <v>2388</v>
      </c>
      <c r="F676" s="10" t="s">
        <v>2387</v>
      </c>
      <c r="G676" s="9" t="s">
        <v>2410</v>
      </c>
      <c r="H676" s="16" t="s">
        <v>2571</v>
      </c>
      <c r="I676" s="53" t="s">
        <v>2412</v>
      </c>
      <c r="J676" s="25" t="s">
        <v>2412</v>
      </c>
      <c r="K676" s="16">
        <v>0</v>
      </c>
      <c r="L676" s="3" t="s">
        <v>2556</v>
      </c>
      <c r="M676" s="17" t="e">
        <f>INDEX(Validade!H:H,MATCH('Controle de Validade'!A676,Validade!C:C,0))</f>
        <v>#N/A</v>
      </c>
      <c r="N676" s="18"/>
    </row>
    <row r="677" spans="1:14" ht="15" hidden="1" x14ac:dyDescent="0.2">
      <c r="A677" s="30" t="s">
        <v>2334</v>
      </c>
      <c r="B677" s="8" t="s">
        <v>2579</v>
      </c>
      <c r="C677" s="8" t="s">
        <v>2823</v>
      </c>
      <c r="D677" s="9" t="s">
        <v>2499</v>
      </c>
      <c r="E677" s="9" t="s">
        <v>2388</v>
      </c>
      <c r="F677" s="10" t="s">
        <v>2387</v>
      </c>
      <c r="G677" s="9" t="s">
        <v>2410</v>
      </c>
      <c r="H677" s="16" t="s">
        <v>2571</v>
      </c>
      <c r="I677" s="53" t="s">
        <v>2412</v>
      </c>
      <c r="J677" s="25" t="s">
        <v>2412</v>
      </c>
      <c r="K677" s="16">
        <v>0</v>
      </c>
      <c r="L677" s="3" t="s">
        <v>2558</v>
      </c>
      <c r="M677" s="17" t="e">
        <f>INDEX(Validade!H:H,MATCH('Controle de Validade'!A677,Validade!C:C,0))</f>
        <v>#N/A</v>
      </c>
      <c r="N677" s="18"/>
    </row>
    <row r="678" spans="1:14" ht="15" hidden="1" x14ac:dyDescent="0.2">
      <c r="A678" s="30" t="s">
        <v>2214</v>
      </c>
      <c r="B678" s="8" t="s">
        <v>2579</v>
      </c>
      <c r="C678" s="8" t="s">
        <v>2824</v>
      </c>
      <c r="D678" s="9" t="s">
        <v>15</v>
      </c>
      <c r="E678" s="9" t="s">
        <v>2388</v>
      </c>
      <c r="F678" s="10" t="s">
        <v>2387</v>
      </c>
      <c r="G678" s="9" t="s">
        <v>2479</v>
      </c>
      <c r="H678" s="16" t="s">
        <v>2571</v>
      </c>
      <c r="I678" s="53" t="s">
        <v>2412</v>
      </c>
      <c r="J678" s="25" t="s">
        <v>2412</v>
      </c>
      <c r="K678" s="16">
        <v>0</v>
      </c>
      <c r="L678" s="3" t="s">
        <v>2556</v>
      </c>
      <c r="M678" s="17" t="e">
        <f>INDEX(Validade!H:H,MATCH('Controle de Validade'!A678,Validade!C:C,0))</f>
        <v>#N/A</v>
      </c>
      <c r="N678" s="18"/>
    </row>
    <row r="679" spans="1:14" ht="15" hidden="1" x14ac:dyDescent="0.2">
      <c r="A679" s="30" t="s">
        <v>1100</v>
      </c>
      <c r="B679" s="8" t="s">
        <v>2579</v>
      </c>
      <c r="C679" s="8" t="s">
        <v>1101</v>
      </c>
      <c r="D679" s="9" t="s">
        <v>2525</v>
      </c>
      <c r="E679" s="9" t="s">
        <v>2388</v>
      </c>
      <c r="F679" s="10" t="s">
        <v>2961</v>
      </c>
      <c r="G679" s="9" t="s">
        <v>2389</v>
      </c>
      <c r="H679" s="16" t="s">
        <v>2570</v>
      </c>
      <c r="I679" s="44" t="s">
        <v>3193</v>
      </c>
      <c r="J679" s="44" t="s">
        <v>2412</v>
      </c>
      <c r="K679" s="16">
        <v>1</v>
      </c>
      <c r="L679" s="3" t="s">
        <v>2556</v>
      </c>
      <c r="M679" s="17">
        <f>INDEX(Validade!H:H,MATCH('Controle de Validade'!A679,Validade!C:C,0))</f>
        <v>46029</v>
      </c>
      <c r="N679" s="45" t="s">
        <v>3192</v>
      </c>
    </row>
    <row r="680" spans="1:14" ht="15" hidden="1" x14ac:dyDescent="0.2">
      <c r="A680" s="30" t="s">
        <v>1110</v>
      </c>
      <c r="B680" s="8" t="s">
        <v>2579</v>
      </c>
      <c r="C680" s="8" t="s">
        <v>1111</v>
      </c>
      <c r="D680" s="9" t="s">
        <v>2487</v>
      </c>
      <c r="E680" s="9" t="s">
        <v>2388</v>
      </c>
      <c r="F680" s="10" t="s">
        <v>2392</v>
      </c>
      <c r="G680" s="9" t="s">
        <v>2463</v>
      </c>
      <c r="H680" s="16" t="s">
        <v>2571</v>
      </c>
      <c r="I680" s="53" t="s">
        <v>2412</v>
      </c>
      <c r="J680" s="25" t="s">
        <v>2412</v>
      </c>
      <c r="K680" s="16">
        <v>0</v>
      </c>
      <c r="L680" s="15" t="s">
        <v>2556</v>
      </c>
      <c r="M680" s="17">
        <f>INDEX(Validade!H:H,MATCH('Controle de Validade'!A680,Validade!C:C,0))</f>
        <v>0</v>
      </c>
      <c r="N680" s="18" t="s">
        <v>3191</v>
      </c>
    </row>
    <row r="681" spans="1:14" ht="15" hidden="1" x14ac:dyDescent="0.2">
      <c r="A681" s="30" t="s">
        <v>2361</v>
      </c>
      <c r="B681" s="8" t="s">
        <v>2579</v>
      </c>
      <c r="C681" s="8" t="s">
        <v>2825</v>
      </c>
      <c r="D681" s="9" t="s">
        <v>15</v>
      </c>
      <c r="E681" s="9" t="s">
        <v>2388</v>
      </c>
      <c r="F681" s="10" t="s">
        <v>2387</v>
      </c>
      <c r="G681" s="9" t="s">
        <v>2479</v>
      </c>
      <c r="H681" s="16" t="s">
        <v>2571</v>
      </c>
      <c r="I681" s="53" t="s">
        <v>2412</v>
      </c>
      <c r="J681" s="25" t="s">
        <v>2412</v>
      </c>
      <c r="K681" s="16">
        <v>0</v>
      </c>
      <c r="L681" s="3" t="s">
        <v>2556</v>
      </c>
      <c r="M681" s="17" t="e">
        <f>INDEX(Validade!H:H,MATCH('Controle de Validade'!A681,Validade!C:C,0))</f>
        <v>#N/A</v>
      </c>
      <c r="N681" s="18"/>
    </row>
    <row r="682" spans="1:14" ht="15" hidden="1" x14ac:dyDescent="0.2">
      <c r="A682" s="30" t="s">
        <v>2083</v>
      </c>
      <c r="B682" s="8" t="s">
        <v>2579</v>
      </c>
      <c r="C682" s="8" t="s">
        <v>2826</v>
      </c>
      <c r="D682" s="9" t="s">
        <v>15</v>
      </c>
      <c r="E682" s="9" t="s">
        <v>2388</v>
      </c>
      <c r="F682" s="10" t="s">
        <v>2387</v>
      </c>
      <c r="G682" s="9" t="s">
        <v>2479</v>
      </c>
      <c r="H682" s="16" t="s">
        <v>2571</v>
      </c>
      <c r="I682" s="53" t="s">
        <v>2412</v>
      </c>
      <c r="J682" s="25" t="s">
        <v>2412</v>
      </c>
      <c r="K682" s="16">
        <v>0</v>
      </c>
      <c r="L682" s="3" t="s">
        <v>2556</v>
      </c>
      <c r="M682" s="17" t="e">
        <f>INDEX(Validade!H:H,MATCH('Controle de Validade'!A682,Validade!C:C,0))</f>
        <v>#N/A</v>
      </c>
      <c r="N682" s="18"/>
    </row>
    <row r="683" spans="1:14" ht="15" hidden="1" x14ac:dyDescent="0.2">
      <c r="A683" s="30" t="s">
        <v>1033</v>
      </c>
      <c r="B683" s="8" t="s">
        <v>2579</v>
      </c>
      <c r="C683" s="8" t="s">
        <v>1034</v>
      </c>
      <c r="D683" s="9" t="s">
        <v>2490</v>
      </c>
      <c r="E683" s="9" t="s">
        <v>2388</v>
      </c>
      <c r="F683" s="10" t="s">
        <v>2392</v>
      </c>
      <c r="G683" s="9" t="s">
        <v>2410</v>
      </c>
      <c r="H683" s="16" t="s">
        <v>2571</v>
      </c>
      <c r="I683" s="53" t="s">
        <v>2412</v>
      </c>
      <c r="J683" s="25" t="s">
        <v>2412</v>
      </c>
      <c r="K683" s="16">
        <v>0</v>
      </c>
      <c r="L683" s="3" t="s">
        <v>2556</v>
      </c>
      <c r="M683" s="17">
        <f>INDEX(Validade!H:H,MATCH('Controle de Validade'!A683,Validade!C:C,0))</f>
        <v>0</v>
      </c>
      <c r="N683" s="18"/>
    </row>
    <row r="684" spans="1:14" ht="15" hidden="1" x14ac:dyDescent="0.2">
      <c r="A684" s="30" t="s">
        <v>1113</v>
      </c>
      <c r="B684" s="8" t="s">
        <v>2579</v>
      </c>
      <c r="C684" s="8" t="s">
        <v>1114</v>
      </c>
      <c r="D684" s="9" t="s">
        <v>933</v>
      </c>
      <c r="E684" s="9" t="s">
        <v>2388</v>
      </c>
      <c r="F684" s="10" t="s">
        <v>2387</v>
      </c>
      <c r="G684" s="9" t="s">
        <v>2453</v>
      </c>
      <c r="H684" s="16" t="s">
        <v>2571</v>
      </c>
      <c r="I684" s="53" t="s">
        <v>2412</v>
      </c>
      <c r="J684" s="25" t="s">
        <v>2412</v>
      </c>
      <c r="K684" s="16">
        <v>0</v>
      </c>
      <c r="L684" s="3" t="s">
        <v>2556</v>
      </c>
      <c r="M684" s="17">
        <f>INDEX(Validade!H:H,MATCH('Controle de Validade'!A684,Validade!C:C,0))</f>
        <v>0</v>
      </c>
      <c r="N684" s="18"/>
    </row>
    <row r="685" spans="1:14" ht="15" hidden="1" x14ac:dyDescent="0.2">
      <c r="A685" s="30" t="s">
        <v>2213</v>
      </c>
      <c r="B685" s="8" t="s">
        <v>2579</v>
      </c>
      <c r="C685" s="8" t="s">
        <v>2827</v>
      </c>
      <c r="D685" s="9" t="s">
        <v>144</v>
      </c>
      <c r="E685" s="9" t="s">
        <v>2388</v>
      </c>
      <c r="F685" s="10" t="s">
        <v>2392</v>
      </c>
      <c r="G685" s="9" t="s">
        <v>2463</v>
      </c>
      <c r="H685" s="16" t="s">
        <v>2571</v>
      </c>
      <c r="I685" s="53" t="s">
        <v>2412</v>
      </c>
      <c r="J685" s="25" t="s">
        <v>2412</v>
      </c>
      <c r="K685" s="16">
        <v>0</v>
      </c>
      <c r="L685" s="3" t="s">
        <v>2558</v>
      </c>
      <c r="M685" s="17" t="e">
        <f>INDEX(Validade!H:H,MATCH('Controle de Validade'!A685,Validade!C:C,0))</f>
        <v>#N/A</v>
      </c>
      <c r="N685" s="18"/>
    </row>
    <row r="686" spans="1:14" ht="15" hidden="1" x14ac:dyDescent="0.2">
      <c r="A686" s="30" t="s">
        <v>2364</v>
      </c>
      <c r="B686" s="8" t="s">
        <v>2579</v>
      </c>
      <c r="C686" s="8" t="s">
        <v>2828</v>
      </c>
      <c r="D686" s="9">
        <v>0</v>
      </c>
      <c r="E686" s="9" t="s">
        <v>2393</v>
      </c>
      <c r="F686" s="10" t="s">
        <v>2387</v>
      </c>
      <c r="G686" s="9" t="s">
        <v>2410</v>
      </c>
      <c r="H686" s="16" t="s">
        <v>2571</v>
      </c>
      <c r="I686" s="53" t="s">
        <v>2412</v>
      </c>
      <c r="J686" s="25" t="s">
        <v>2412</v>
      </c>
      <c r="K686" s="16">
        <v>0</v>
      </c>
      <c r="L686" s="3" t="s">
        <v>2558</v>
      </c>
      <c r="M686" s="17" t="e">
        <f>INDEX(Validade!H:H,MATCH('Controle de Validade'!A686,Validade!C:C,0))</f>
        <v>#N/A</v>
      </c>
      <c r="N686" s="18"/>
    </row>
    <row r="687" spans="1:14" ht="15" hidden="1" x14ac:dyDescent="0.2">
      <c r="A687" s="30" t="s">
        <v>1836</v>
      </c>
      <c r="B687" s="8" t="s">
        <v>2579</v>
      </c>
      <c r="C687" s="8" t="s">
        <v>1837</v>
      </c>
      <c r="D687" s="9" t="s">
        <v>1839</v>
      </c>
      <c r="E687" s="9" t="s">
        <v>2388</v>
      </c>
      <c r="F687" s="10" t="s">
        <v>2392</v>
      </c>
      <c r="G687" s="9" t="s">
        <v>2463</v>
      </c>
      <c r="H687" s="16" t="s">
        <v>2571</v>
      </c>
      <c r="I687" s="53" t="s">
        <v>2412</v>
      </c>
      <c r="J687" s="25" t="s">
        <v>2412</v>
      </c>
      <c r="K687" s="16">
        <v>0</v>
      </c>
      <c r="L687" s="3" t="s">
        <v>2556</v>
      </c>
      <c r="M687" s="17">
        <f>INDEX(Validade!H:H,MATCH('Controle de Validade'!A687,Validade!C:C,0))</f>
        <v>62458</v>
      </c>
      <c r="N687" s="18"/>
    </row>
    <row r="688" spans="1:14" ht="15" hidden="1" x14ac:dyDescent="0.2">
      <c r="A688" s="30" t="s">
        <v>2024</v>
      </c>
      <c r="B688" s="8" t="s">
        <v>2579</v>
      </c>
      <c r="C688" s="8" t="s">
        <v>2829</v>
      </c>
      <c r="D688" s="9" t="s">
        <v>41</v>
      </c>
      <c r="E688" s="9" t="s">
        <v>2388</v>
      </c>
      <c r="F688" s="10" t="s">
        <v>2961</v>
      </c>
      <c r="G688" s="9" t="s">
        <v>2429</v>
      </c>
      <c r="H688" s="16" t="s">
        <v>2570</v>
      </c>
      <c r="I688" s="32" t="s">
        <v>2993</v>
      </c>
      <c r="J688" s="26" t="s">
        <v>2994</v>
      </c>
      <c r="K688" s="16">
        <v>1</v>
      </c>
      <c r="L688" s="3" t="s">
        <v>2556</v>
      </c>
      <c r="M688" s="17" t="e">
        <f>INDEX(Validade!H:H,MATCH('Controle de Validade'!A688,Validade!C:C,0))</f>
        <v>#N/A</v>
      </c>
      <c r="N688" s="24" t="s">
        <v>2945</v>
      </c>
    </row>
    <row r="689" spans="1:14" ht="15" hidden="1" x14ac:dyDescent="0.2">
      <c r="A689" s="30" t="s">
        <v>2360</v>
      </c>
      <c r="B689" s="8" t="s">
        <v>2579</v>
      </c>
      <c r="C689" s="8" t="s">
        <v>2830</v>
      </c>
      <c r="D689" s="9">
        <v>0</v>
      </c>
      <c r="E689" s="9" t="s">
        <v>2393</v>
      </c>
      <c r="F689" s="10" t="s">
        <v>2387</v>
      </c>
      <c r="G689" s="9" t="s">
        <v>2410</v>
      </c>
      <c r="H689" s="16" t="s">
        <v>2571</v>
      </c>
      <c r="I689" s="53" t="s">
        <v>2412</v>
      </c>
      <c r="J689" s="25" t="s">
        <v>2412</v>
      </c>
      <c r="K689" s="16">
        <v>0</v>
      </c>
      <c r="L689" s="3" t="s">
        <v>2558</v>
      </c>
      <c r="M689" s="17" t="e">
        <f>INDEX(Validade!H:H,MATCH('Controle de Validade'!A689,Validade!C:C,0))</f>
        <v>#N/A</v>
      </c>
      <c r="N689" s="18"/>
    </row>
    <row r="690" spans="1:14" ht="15" hidden="1" x14ac:dyDescent="0.2">
      <c r="A690" s="30" t="s">
        <v>2366</v>
      </c>
      <c r="B690" s="8" t="s">
        <v>2579</v>
      </c>
      <c r="C690" s="8" t="s">
        <v>2831</v>
      </c>
      <c r="D690" s="9">
        <v>0</v>
      </c>
      <c r="E690" s="9" t="s">
        <v>2393</v>
      </c>
      <c r="F690" s="10" t="s">
        <v>2387</v>
      </c>
      <c r="G690" s="9" t="s">
        <v>2410</v>
      </c>
      <c r="H690" s="16" t="s">
        <v>2571</v>
      </c>
      <c r="I690" s="53" t="s">
        <v>2412</v>
      </c>
      <c r="J690" s="25" t="s">
        <v>2412</v>
      </c>
      <c r="K690" s="16">
        <v>0</v>
      </c>
      <c r="L690" s="3" t="s">
        <v>2558</v>
      </c>
      <c r="M690" s="17" t="e">
        <f>INDEX(Validade!H:H,MATCH('Controle de Validade'!A690,Validade!C:C,0))</f>
        <v>#N/A</v>
      </c>
      <c r="N690" s="18"/>
    </row>
    <row r="691" spans="1:14" ht="15" hidden="1" x14ac:dyDescent="0.2">
      <c r="A691" s="30" t="s">
        <v>2335</v>
      </c>
      <c r="B691" s="8" t="s">
        <v>2579</v>
      </c>
      <c r="C691" s="8" t="s">
        <v>2832</v>
      </c>
      <c r="D691" s="9">
        <v>0</v>
      </c>
      <c r="E691" s="9" t="s">
        <v>2393</v>
      </c>
      <c r="F691" s="10" t="s">
        <v>2387</v>
      </c>
      <c r="G691" s="9" t="s">
        <v>2410</v>
      </c>
      <c r="H691" s="16" t="s">
        <v>2571</v>
      </c>
      <c r="I691" s="53" t="s">
        <v>2412</v>
      </c>
      <c r="J691" s="25" t="s">
        <v>2412</v>
      </c>
      <c r="K691" s="16">
        <v>0</v>
      </c>
      <c r="L691" s="3" t="s">
        <v>2558</v>
      </c>
      <c r="M691" s="17" t="e">
        <f>INDEX(Validade!H:H,MATCH('Controle de Validade'!A691,Validade!C:C,0))</f>
        <v>#N/A</v>
      </c>
      <c r="N691" s="18"/>
    </row>
    <row r="692" spans="1:14" ht="15" hidden="1" x14ac:dyDescent="0.2">
      <c r="A692" s="30" t="s">
        <v>2129</v>
      </c>
      <c r="B692" s="8" t="s">
        <v>2579</v>
      </c>
      <c r="C692" s="8" t="s">
        <v>2833</v>
      </c>
      <c r="D692" s="9" t="s">
        <v>1946</v>
      </c>
      <c r="E692" s="9" t="s">
        <v>2388</v>
      </c>
      <c r="F692" s="10" t="s">
        <v>2392</v>
      </c>
      <c r="G692" s="9" t="s">
        <v>2410</v>
      </c>
      <c r="H692" s="64" t="s">
        <v>2571</v>
      </c>
      <c r="I692" s="63" t="s">
        <v>2412</v>
      </c>
      <c r="J692" s="43" t="s">
        <v>3199</v>
      </c>
      <c r="K692" s="16">
        <v>0</v>
      </c>
      <c r="L692" s="3" t="s">
        <v>2556</v>
      </c>
      <c r="M692" s="17" t="e">
        <f>INDEX(Validade!H:H,MATCH('Controle de Validade'!A692,Validade!C:C,0))</f>
        <v>#N/A</v>
      </c>
      <c r="N692" s="24" t="s">
        <v>2945</v>
      </c>
    </row>
    <row r="693" spans="1:14" ht="15" hidden="1" x14ac:dyDescent="0.2">
      <c r="A693" s="30" t="s">
        <v>2130</v>
      </c>
      <c r="B693" s="8" t="s">
        <v>2579</v>
      </c>
      <c r="C693" s="8" t="s">
        <v>2834</v>
      </c>
      <c r="D693" s="9" t="s">
        <v>1946</v>
      </c>
      <c r="E693" s="9" t="s">
        <v>2388</v>
      </c>
      <c r="F693" s="10" t="s">
        <v>2392</v>
      </c>
      <c r="G693" s="9" t="s">
        <v>2410</v>
      </c>
      <c r="H693" s="64" t="s">
        <v>2571</v>
      </c>
      <c r="I693" s="63" t="s">
        <v>2412</v>
      </c>
      <c r="J693" s="43" t="s">
        <v>3199</v>
      </c>
      <c r="K693" s="16">
        <v>0</v>
      </c>
      <c r="L693" s="3" t="s">
        <v>2556</v>
      </c>
      <c r="M693" s="17" t="e">
        <f>INDEX(Validade!H:H,MATCH('Controle de Validade'!A693,Validade!C:C,0))</f>
        <v>#N/A</v>
      </c>
      <c r="N693" s="24" t="s">
        <v>2945</v>
      </c>
    </row>
    <row r="694" spans="1:14" ht="15" hidden="1" x14ac:dyDescent="0.2">
      <c r="A694" s="30" t="s">
        <v>2141</v>
      </c>
      <c r="B694" s="8" t="s">
        <v>2835</v>
      </c>
      <c r="C694" s="8" t="s">
        <v>2836</v>
      </c>
      <c r="D694" s="9">
        <v>0</v>
      </c>
      <c r="E694" s="9" t="s">
        <v>2393</v>
      </c>
      <c r="F694" s="10" t="s">
        <v>2387</v>
      </c>
      <c r="G694" s="9" t="s">
        <v>2410</v>
      </c>
      <c r="H694" s="16" t="s">
        <v>2571</v>
      </c>
      <c r="I694" s="53" t="s">
        <v>2412</v>
      </c>
      <c r="J694" s="25" t="s">
        <v>2412</v>
      </c>
      <c r="K694" s="16">
        <v>0</v>
      </c>
      <c r="L694" s="3" t="s">
        <v>2556</v>
      </c>
      <c r="M694" s="17" t="e">
        <f>INDEX(Validade!H:H,MATCH('Controle de Validade'!A694,Validade!C:C,0))</f>
        <v>#N/A</v>
      </c>
      <c r="N694" s="18"/>
    </row>
    <row r="695" spans="1:14" ht="15" hidden="1" x14ac:dyDescent="0.2">
      <c r="A695" s="28" t="s">
        <v>2313</v>
      </c>
      <c r="B695" s="8" t="s">
        <v>2579</v>
      </c>
      <c r="C695" s="8" t="s">
        <v>2837</v>
      </c>
      <c r="D695" s="9">
        <v>0</v>
      </c>
      <c r="E695" s="9" t="s">
        <v>2393</v>
      </c>
      <c r="F695" s="10" t="s">
        <v>2387</v>
      </c>
      <c r="G695" s="9" t="s">
        <v>2394</v>
      </c>
      <c r="H695" s="16" t="s">
        <v>2570</v>
      </c>
      <c r="I695" s="39"/>
      <c r="J695" s="39"/>
      <c r="K695" s="16">
        <v>0</v>
      </c>
      <c r="L695" s="3" t="s">
        <v>2558</v>
      </c>
      <c r="M695" s="17" t="e">
        <f>INDEX(Validade!H:H,MATCH('Controle de Validade'!A695,Validade!C:C,0))</f>
        <v>#N/A</v>
      </c>
      <c r="N695" s="18"/>
    </row>
    <row r="696" spans="1:14" ht="15" hidden="1" x14ac:dyDescent="0.2">
      <c r="A696" s="28" t="s">
        <v>2308</v>
      </c>
      <c r="B696" s="8" t="s">
        <v>2579</v>
      </c>
      <c r="C696" s="8" t="s">
        <v>2838</v>
      </c>
      <c r="D696" s="9">
        <v>0</v>
      </c>
      <c r="E696" s="9" t="s">
        <v>2393</v>
      </c>
      <c r="F696" s="10" t="s">
        <v>2387</v>
      </c>
      <c r="G696" s="9" t="s">
        <v>2394</v>
      </c>
      <c r="H696" s="16" t="s">
        <v>2570</v>
      </c>
      <c r="I696" s="39"/>
      <c r="J696" s="39"/>
      <c r="K696" s="16">
        <v>0</v>
      </c>
      <c r="L696" s="3" t="s">
        <v>2558</v>
      </c>
      <c r="M696" s="17" t="e">
        <f>INDEX(Validade!H:H,MATCH('Controle de Validade'!A696,Validade!C:C,0))</f>
        <v>#N/A</v>
      </c>
      <c r="N696" s="18"/>
    </row>
    <row r="697" spans="1:14" ht="15" hidden="1" x14ac:dyDescent="0.2">
      <c r="A697" s="30" t="s">
        <v>2323</v>
      </c>
      <c r="B697" s="8" t="s">
        <v>2579</v>
      </c>
      <c r="C697" s="8" t="s">
        <v>2839</v>
      </c>
      <c r="D697" s="9">
        <v>0</v>
      </c>
      <c r="E697" s="9" t="s">
        <v>2393</v>
      </c>
      <c r="F697" s="10" t="s">
        <v>2387</v>
      </c>
      <c r="G697" s="9" t="s">
        <v>2410</v>
      </c>
      <c r="H697" s="16" t="s">
        <v>2571</v>
      </c>
      <c r="I697" s="53" t="s">
        <v>2412</v>
      </c>
      <c r="J697" s="25" t="s">
        <v>2412</v>
      </c>
      <c r="K697" s="16">
        <v>0</v>
      </c>
      <c r="L697" s="3" t="s">
        <v>2558</v>
      </c>
      <c r="M697" s="17" t="e">
        <f>INDEX(Validade!H:H,MATCH('Controle de Validade'!A697,Validade!C:C,0))</f>
        <v>#N/A</v>
      </c>
      <c r="N697" s="18"/>
    </row>
    <row r="698" spans="1:14" ht="15" hidden="1" x14ac:dyDescent="0.2">
      <c r="A698" s="28" t="s">
        <v>2108</v>
      </c>
      <c r="B698" s="8" t="s">
        <v>2579</v>
      </c>
      <c r="C698" s="8" t="s">
        <v>2840</v>
      </c>
      <c r="D698" s="9" t="e">
        <v>#N/A</v>
      </c>
      <c r="E698" s="9" t="s">
        <v>2388</v>
      </c>
      <c r="F698" s="10" t="s">
        <v>2392</v>
      </c>
      <c r="G698" s="9" t="s">
        <v>2447</v>
      </c>
      <c r="H698" s="16" t="s">
        <v>2570</v>
      </c>
      <c r="I698" s="39"/>
      <c r="J698" s="39"/>
      <c r="K698" s="16">
        <v>1</v>
      </c>
      <c r="L698" s="3" t="s">
        <v>2556</v>
      </c>
      <c r="M698" s="17" t="e">
        <f>INDEX(Validade!H:H,MATCH('Controle de Validade'!A698,Validade!C:C,0))</f>
        <v>#N/A</v>
      </c>
      <c r="N698" s="18"/>
    </row>
    <row r="699" spans="1:14" ht="15" hidden="1" x14ac:dyDescent="0.2">
      <c r="A699" s="28" t="s">
        <v>2118</v>
      </c>
      <c r="B699" s="8" t="s">
        <v>2581</v>
      </c>
      <c r="C699" s="8" t="s">
        <v>2841</v>
      </c>
      <c r="D699" s="9" t="s">
        <v>1766</v>
      </c>
      <c r="E699" s="9" t="s">
        <v>2388</v>
      </c>
      <c r="F699" s="10" t="s">
        <v>2392</v>
      </c>
      <c r="G699" s="9" t="s">
        <v>2428</v>
      </c>
      <c r="H699" s="16" t="s">
        <v>2570</v>
      </c>
      <c r="I699" s="39"/>
      <c r="J699" s="39"/>
      <c r="K699" s="16">
        <v>1</v>
      </c>
      <c r="L699" s="3" t="s">
        <v>2556</v>
      </c>
      <c r="M699" s="17" t="e">
        <f>INDEX(Validade!H:H,MATCH('Controle de Validade'!A699,Validade!C:C,0))</f>
        <v>#N/A</v>
      </c>
      <c r="N699" s="18"/>
    </row>
    <row r="700" spans="1:14" ht="15" hidden="1" x14ac:dyDescent="0.2">
      <c r="A700" s="28" t="s">
        <v>6</v>
      </c>
      <c r="B700" s="8" t="s">
        <v>2579</v>
      </c>
      <c r="C700" s="8" t="s">
        <v>7</v>
      </c>
      <c r="D700" s="9" t="e">
        <v>#N/A</v>
      </c>
      <c r="E700" s="9" t="s">
        <v>2388</v>
      </c>
      <c r="F700" s="10" t="s">
        <v>2392</v>
      </c>
      <c r="G700" s="9" t="s">
        <v>2447</v>
      </c>
      <c r="H700" s="16" t="s">
        <v>2570</v>
      </c>
      <c r="I700" s="39"/>
      <c r="J700" s="39"/>
      <c r="K700" s="16">
        <v>1</v>
      </c>
      <c r="L700" s="3" t="s">
        <v>2556</v>
      </c>
      <c r="M700" s="17">
        <f>INDEX(Validade!H:H,MATCH('Controle de Validade'!A700,Validade!C:C,0))</f>
        <v>45785</v>
      </c>
      <c r="N700" s="18"/>
    </row>
    <row r="701" spans="1:14" ht="15" hidden="1" x14ac:dyDescent="0.2">
      <c r="A701" s="30" t="s">
        <v>1400</v>
      </c>
      <c r="B701" s="8" t="s">
        <v>2579</v>
      </c>
      <c r="C701" s="8" t="s">
        <v>1401</v>
      </c>
      <c r="D701" s="9">
        <v>0</v>
      </c>
      <c r="E701" s="9" t="s">
        <v>2388</v>
      </c>
      <c r="F701" s="10" t="s">
        <v>2392</v>
      </c>
      <c r="G701" s="9" t="s">
        <v>2410</v>
      </c>
      <c r="H701" s="16" t="s">
        <v>2571</v>
      </c>
      <c r="I701" s="53" t="s">
        <v>2412</v>
      </c>
      <c r="J701" s="25" t="s">
        <v>2412</v>
      </c>
      <c r="K701" s="16">
        <v>0</v>
      </c>
      <c r="L701" s="3" t="s">
        <v>2556</v>
      </c>
      <c r="M701" s="17">
        <f>INDEX(Validade!H:H,MATCH('Controle de Validade'!A701,Validade!C:C,0))</f>
        <v>62458</v>
      </c>
      <c r="N701" s="18"/>
    </row>
    <row r="702" spans="1:14" ht="15" hidden="1" x14ac:dyDescent="0.2">
      <c r="A702" s="30" t="s">
        <v>276</v>
      </c>
      <c r="B702" s="8" t="s">
        <v>2579</v>
      </c>
      <c r="C702" s="8" t="s">
        <v>277</v>
      </c>
      <c r="D702" s="9" t="s">
        <v>15</v>
      </c>
      <c r="E702" s="9" t="s">
        <v>2388</v>
      </c>
      <c r="F702" s="10" t="s">
        <v>2387</v>
      </c>
      <c r="G702" s="9" t="s">
        <v>2479</v>
      </c>
      <c r="H702" s="16" t="s">
        <v>2571</v>
      </c>
      <c r="I702" s="53" t="s">
        <v>2412</v>
      </c>
      <c r="J702" s="25" t="s">
        <v>2412</v>
      </c>
      <c r="K702" s="16">
        <v>0</v>
      </c>
      <c r="L702" s="3" t="s">
        <v>2556</v>
      </c>
      <c r="M702" s="17">
        <f>INDEX(Validade!H:H,MATCH('Controle de Validade'!A702,Validade!C:C,0))</f>
        <v>0</v>
      </c>
      <c r="N702" s="18"/>
    </row>
    <row r="703" spans="1:14" ht="15" hidden="1" x14ac:dyDescent="0.2">
      <c r="A703" s="30" t="s">
        <v>1116</v>
      </c>
      <c r="B703" s="8" t="s">
        <v>2579</v>
      </c>
      <c r="C703" s="8" t="s">
        <v>1117</v>
      </c>
      <c r="D703" s="9">
        <v>0</v>
      </c>
      <c r="E703" s="9" t="s">
        <v>2388</v>
      </c>
      <c r="F703" s="10" t="s">
        <v>2387</v>
      </c>
      <c r="G703" s="9" t="s">
        <v>2431</v>
      </c>
      <c r="H703" s="16" t="s">
        <v>2571</v>
      </c>
      <c r="I703" s="53" t="s">
        <v>2412</v>
      </c>
      <c r="J703" s="25" t="s">
        <v>2412</v>
      </c>
      <c r="K703" s="16">
        <v>0</v>
      </c>
      <c r="L703" s="3" t="s">
        <v>2556</v>
      </c>
      <c r="M703" s="17">
        <f>INDEX(Validade!H:H,MATCH('Controle de Validade'!A703,Validade!C:C,0))</f>
        <v>0</v>
      </c>
      <c r="N703" s="18"/>
    </row>
    <row r="704" spans="1:14" ht="15" hidden="1" x14ac:dyDescent="0.2">
      <c r="A704" s="30" t="s">
        <v>273</v>
      </c>
      <c r="B704" s="8" t="s">
        <v>2579</v>
      </c>
      <c r="C704" s="8" t="s">
        <v>274</v>
      </c>
      <c r="D704" s="9" t="s">
        <v>15</v>
      </c>
      <c r="E704" s="9" t="s">
        <v>2388</v>
      </c>
      <c r="F704" s="10" t="s">
        <v>2387</v>
      </c>
      <c r="G704" s="9" t="s">
        <v>2479</v>
      </c>
      <c r="H704" s="16" t="s">
        <v>2571</v>
      </c>
      <c r="I704" s="53" t="s">
        <v>2412</v>
      </c>
      <c r="J704" s="25" t="s">
        <v>2412</v>
      </c>
      <c r="K704" s="16">
        <v>0</v>
      </c>
      <c r="L704" s="3" t="s">
        <v>2556</v>
      </c>
      <c r="M704" s="17">
        <f>INDEX(Validade!H:H,MATCH('Controle de Validade'!A704,Validade!C:C,0))</f>
        <v>62458</v>
      </c>
      <c r="N704" s="18"/>
    </row>
    <row r="705" spans="1:14" ht="15" hidden="1" x14ac:dyDescent="0.2">
      <c r="A705" s="30" t="s">
        <v>2239</v>
      </c>
      <c r="B705" s="8" t="s">
        <v>2579</v>
      </c>
      <c r="C705" s="8" t="s">
        <v>2842</v>
      </c>
      <c r="D705" s="9" t="s">
        <v>15</v>
      </c>
      <c r="E705" s="9" t="s">
        <v>2388</v>
      </c>
      <c r="F705" s="10" t="s">
        <v>2387</v>
      </c>
      <c r="G705" s="9" t="s">
        <v>2479</v>
      </c>
      <c r="H705" s="16" t="s">
        <v>2571</v>
      </c>
      <c r="I705" s="53" t="s">
        <v>2412</v>
      </c>
      <c r="J705" s="25" t="s">
        <v>2412</v>
      </c>
      <c r="K705" s="16">
        <v>0</v>
      </c>
      <c r="L705" s="3" t="s">
        <v>2556</v>
      </c>
      <c r="M705" s="17" t="e">
        <f>INDEX(Validade!H:H,MATCH('Controle de Validade'!A705,Validade!C:C,0))</f>
        <v>#N/A</v>
      </c>
      <c r="N705" s="18"/>
    </row>
    <row r="706" spans="1:14" ht="15" hidden="1" x14ac:dyDescent="0.2">
      <c r="A706" s="30" t="s">
        <v>2101</v>
      </c>
      <c r="B706" s="8" t="s">
        <v>2694</v>
      </c>
      <c r="C706" s="8" t="s">
        <v>1948</v>
      </c>
      <c r="D706" s="9" t="s">
        <v>1006</v>
      </c>
      <c r="E706" s="9" t="s">
        <v>2393</v>
      </c>
      <c r="F706" s="10" t="s">
        <v>2392</v>
      </c>
      <c r="G706" s="9" t="s">
        <v>2410</v>
      </c>
      <c r="H706" s="16" t="s">
        <v>2570</v>
      </c>
      <c r="I706" s="38" t="s">
        <v>3187</v>
      </c>
      <c r="J706" s="52" t="s">
        <v>2412</v>
      </c>
      <c r="K706" s="16">
        <v>1</v>
      </c>
      <c r="L706" s="3" t="s">
        <v>2556</v>
      </c>
      <c r="M706" s="17" t="e">
        <f>INDEX(Validade!H:H,MATCH('Controle de Validade'!A706,Validade!C:C,0))</f>
        <v>#N/A</v>
      </c>
      <c r="N706" s="18"/>
    </row>
    <row r="707" spans="1:14" ht="15" hidden="1" x14ac:dyDescent="0.2">
      <c r="A707" s="30" t="s">
        <v>270</v>
      </c>
      <c r="B707" s="8" t="s">
        <v>2579</v>
      </c>
      <c r="C707" s="8" t="s">
        <v>271</v>
      </c>
      <c r="D707" s="9" t="s">
        <v>15</v>
      </c>
      <c r="E707" s="9" t="s">
        <v>2388</v>
      </c>
      <c r="F707" s="10" t="s">
        <v>2387</v>
      </c>
      <c r="G707" s="9" t="s">
        <v>2479</v>
      </c>
      <c r="H707" s="16" t="s">
        <v>2571</v>
      </c>
      <c r="I707" s="53" t="s">
        <v>2412</v>
      </c>
      <c r="J707" s="25" t="s">
        <v>2412</v>
      </c>
      <c r="K707" s="16">
        <v>0</v>
      </c>
      <c r="L707" s="3" t="s">
        <v>2556</v>
      </c>
      <c r="M707" s="17">
        <f>INDEX(Validade!H:H,MATCH('Controle de Validade'!A707,Validade!C:C,0))</f>
        <v>62458</v>
      </c>
      <c r="N707" s="18"/>
    </row>
    <row r="708" spans="1:14" ht="15" hidden="1" x14ac:dyDescent="0.2">
      <c r="A708" s="28" t="s">
        <v>1764</v>
      </c>
      <c r="B708" s="8" t="s">
        <v>2579</v>
      </c>
      <c r="C708" s="8" t="s">
        <v>1765</v>
      </c>
      <c r="D708" s="9" t="e">
        <v>#N/A</v>
      </c>
      <c r="E708" s="9" t="s">
        <v>2388</v>
      </c>
      <c r="F708" s="10" t="s">
        <v>2961</v>
      </c>
      <c r="G708" s="9" t="s">
        <v>2420</v>
      </c>
      <c r="H708" s="16" t="s">
        <v>2570</v>
      </c>
      <c r="I708" s="39"/>
      <c r="J708" s="39"/>
      <c r="K708" s="16">
        <v>1</v>
      </c>
      <c r="L708" s="3" t="s">
        <v>2556</v>
      </c>
      <c r="M708" s="17">
        <f>INDEX(Validade!H:H,MATCH('Controle de Validade'!A708,Validade!C:C,0))</f>
        <v>46326</v>
      </c>
      <c r="N708" s="18"/>
    </row>
    <row r="709" spans="1:14" ht="15" hidden="1" x14ac:dyDescent="0.2">
      <c r="A709" s="28" t="s">
        <v>2145</v>
      </c>
      <c r="B709" s="8" t="s">
        <v>2579</v>
      </c>
      <c r="C709" s="8" t="s">
        <v>2843</v>
      </c>
      <c r="D709" s="9">
        <v>0</v>
      </c>
      <c r="E709" s="9" t="s">
        <v>2388</v>
      </c>
      <c r="F709" s="10" t="s">
        <v>2961</v>
      </c>
      <c r="G709" s="9" t="s">
        <v>2429</v>
      </c>
      <c r="H709" s="16" t="s">
        <v>2570</v>
      </c>
      <c r="I709" s="39"/>
      <c r="J709" s="39"/>
      <c r="K709" s="16">
        <v>1</v>
      </c>
      <c r="L709" s="3" t="s">
        <v>2556</v>
      </c>
      <c r="M709" s="17" t="e">
        <f>INDEX(Validade!H:H,MATCH('Controle de Validade'!A709,Validade!C:C,0))</f>
        <v>#N/A</v>
      </c>
      <c r="N709" s="18"/>
    </row>
    <row r="710" spans="1:14" ht="15" hidden="1" x14ac:dyDescent="0.2">
      <c r="A710" s="28" t="s">
        <v>2188</v>
      </c>
      <c r="B710" s="8" t="s">
        <v>2579</v>
      </c>
      <c r="C710" s="8" t="s">
        <v>2844</v>
      </c>
      <c r="D710" s="9">
        <v>0</v>
      </c>
      <c r="E710" s="9" t="s">
        <v>2388</v>
      </c>
      <c r="F710" s="10" t="s">
        <v>2387</v>
      </c>
      <c r="G710" s="9" t="s">
        <v>2426</v>
      </c>
      <c r="H710" s="16" t="s">
        <v>2570</v>
      </c>
      <c r="I710" s="39"/>
      <c r="J710" s="39"/>
      <c r="K710" s="16">
        <v>1</v>
      </c>
      <c r="L710" s="3" t="s">
        <v>2556</v>
      </c>
      <c r="M710" s="17" t="e">
        <f>INDEX(Validade!H:H,MATCH('Controle de Validade'!A710,Validade!C:C,0))</f>
        <v>#N/A</v>
      </c>
      <c r="N710" s="18"/>
    </row>
    <row r="711" spans="1:14" ht="15" hidden="1" x14ac:dyDescent="0.2">
      <c r="A711" s="28" t="s">
        <v>2189</v>
      </c>
      <c r="B711" s="8" t="s">
        <v>2579</v>
      </c>
      <c r="C711" s="8" t="s">
        <v>2845</v>
      </c>
      <c r="D711" s="9">
        <v>0</v>
      </c>
      <c r="E711" s="9" t="s">
        <v>2388</v>
      </c>
      <c r="F711" s="10" t="s">
        <v>2387</v>
      </c>
      <c r="G711" s="9" t="s">
        <v>2426</v>
      </c>
      <c r="H711" s="16" t="s">
        <v>2570</v>
      </c>
      <c r="I711" s="39"/>
      <c r="J711" s="39"/>
      <c r="K711" s="16">
        <v>1</v>
      </c>
      <c r="L711" s="3" t="s">
        <v>2556</v>
      </c>
      <c r="M711" s="17" t="e">
        <f>INDEX(Validade!H:H,MATCH('Controle de Validade'!A711,Validade!C:C,0))</f>
        <v>#N/A</v>
      </c>
      <c r="N711" s="18"/>
    </row>
    <row r="712" spans="1:14" ht="15" hidden="1" x14ac:dyDescent="0.2">
      <c r="A712" s="28" t="s">
        <v>2115</v>
      </c>
      <c r="B712" s="8" t="s">
        <v>2579</v>
      </c>
      <c r="C712" s="8" t="s">
        <v>2846</v>
      </c>
      <c r="D712" s="9">
        <v>0</v>
      </c>
      <c r="E712" s="9" t="s">
        <v>2388</v>
      </c>
      <c r="F712" s="10" t="s">
        <v>2961</v>
      </c>
      <c r="G712" s="9" t="s">
        <v>2429</v>
      </c>
      <c r="H712" s="16"/>
      <c r="I712" s="39"/>
      <c r="J712" s="39"/>
      <c r="K712" s="16">
        <v>1</v>
      </c>
      <c r="L712" s="3" t="s">
        <v>2556</v>
      </c>
      <c r="M712" s="17" t="e">
        <f>INDEX(Validade!H:H,MATCH('Controle de Validade'!A712,Validade!C:C,0))</f>
        <v>#N/A</v>
      </c>
      <c r="N712" s="18"/>
    </row>
    <row r="713" spans="1:14" ht="15" hidden="1" x14ac:dyDescent="0.2">
      <c r="A713" s="30" t="s">
        <v>1776</v>
      </c>
      <c r="B713" s="8" t="s">
        <v>2579</v>
      </c>
      <c r="C713" s="8" t="s">
        <v>1777</v>
      </c>
      <c r="D713" s="9">
        <v>0</v>
      </c>
      <c r="E713" s="9" t="s">
        <v>2388</v>
      </c>
      <c r="F713" s="10" t="s">
        <v>2387</v>
      </c>
      <c r="G713" s="9" t="s">
        <v>2433</v>
      </c>
      <c r="H713" s="16" t="s">
        <v>2571</v>
      </c>
      <c r="I713" s="53" t="s">
        <v>2412</v>
      </c>
      <c r="J713" s="25" t="s">
        <v>2412</v>
      </c>
      <c r="K713" s="16">
        <v>0</v>
      </c>
      <c r="L713" s="3" t="s">
        <v>2556</v>
      </c>
      <c r="M713" s="17">
        <f>INDEX(Validade!H:H,MATCH('Controle de Validade'!A713,Validade!C:C,0))</f>
        <v>62458</v>
      </c>
      <c r="N713" s="18"/>
    </row>
    <row r="714" spans="1:14" ht="15" hidden="1" x14ac:dyDescent="0.2">
      <c r="A714" s="30" t="s">
        <v>1773</v>
      </c>
      <c r="B714" s="8" t="s">
        <v>2579</v>
      </c>
      <c r="C714" s="8" t="s">
        <v>1774</v>
      </c>
      <c r="D714" s="9" t="s">
        <v>15</v>
      </c>
      <c r="E714" s="9" t="s">
        <v>2388</v>
      </c>
      <c r="F714" s="10" t="s">
        <v>2387</v>
      </c>
      <c r="G714" s="9" t="s">
        <v>2410</v>
      </c>
      <c r="H714" s="16" t="s">
        <v>2571</v>
      </c>
      <c r="I714" s="53" t="s">
        <v>2412</v>
      </c>
      <c r="J714" s="25" t="s">
        <v>2412</v>
      </c>
      <c r="K714" s="16">
        <v>0</v>
      </c>
      <c r="L714" s="3" t="s">
        <v>2556</v>
      </c>
      <c r="M714" s="17">
        <f>INDEX(Validade!H:H,MATCH('Controle de Validade'!A714,Validade!C:C,0))</f>
        <v>62458</v>
      </c>
      <c r="N714" s="18"/>
    </row>
    <row r="715" spans="1:14" ht="15" hidden="1" x14ac:dyDescent="0.2">
      <c r="A715" s="30" t="s">
        <v>2116</v>
      </c>
      <c r="B715" s="8" t="s">
        <v>2579</v>
      </c>
      <c r="C715" s="8" t="s">
        <v>2847</v>
      </c>
      <c r="D715" s="9" t="s">
        <v>1847</v>
      </c>
      <c r="E715" s="9" t="s">
        <v>2388</v>
      </c>
      <c r="F715" s="10" t="s">
        <v>2387</v>
      </c>
      <c r="G715" s="9" t="s">
        <v>2410</v>
      </c>
      <c r="H715" s="16" t="s">
        <v>2571</v>
      </c>
      <c r="I715" s="53" t="s">
        <v>2412</v>
      </c>
      <c r="J715" s="25" t="s">
        <v>2412</v>
      </c>
      <c r="K715" s="16">
        <v>0</v>
      </c>
      <c r="L715" s="3" t="s">
        <v>2556</v>
      </c>
      <c r="M715" s="17" t="e">
        <f>INDEX(Validade!H:H,MATCH('Controle de Validade'!A715,Validade!C:C,0))</f>
        <v>#N/A</v>
      </c>
      <c r="N715" s="18"/>
    </row>
    <row r="716" spans="1:14" ht="15" hidden="1" x14ac:dyDescent="0.2">
      <c r="A716" s="28" t="s">
        <v>2190</v>
      </c>
      <c r="B716" s="8" t="s">
        <v>2579</v>
      </c>
      <c r="C716" s="8" t="s">
        <v>2848</v>
      </c>
      <c r="D716" s="9">
        <v>0</v>
      </c>
      <c r="E716" s="9" t="s">
        <v>2388</v>
      </c>
      <c r="F716" s="10" t="s">
        <v>2387</v>
      </c>
      <c r="G716" s="9" t="s">
        <v>2426</v>
      </c>
      <c r="H716" s="16" t="s">
        <v>2570</v>
      </c>
      <c r="I716" s="39"/>
      <c r="J716" s="39"/>
      <c r="K716" s="16">
        <v>1</v>
      </c>
      <c r="L716" s="3" t="s">
        <v>2556</v>
      </c>
      <c r="M716" s="17" t="e">
        <f>INDEX(Validade!H:H,MATCH('Controle de Validade'!A716,Validade!C:C,0))</f>
        <v>#N/A</v>
      </c>
      <c r="N716" s="18"/>
    </row>
    <row r="717" spans="1:14" ht="15" hidden="1" x14ac:dyDescent="0.2">
      <c r="A717" s="30" t="s">
        <v>1788</v>
      </c>
      <c r="B717" s="8" t="s">
        <v>2579</v>
      </c>
      <c r="C717" s="8" t="s">
        <v>1789</v>
      </c>
      <c r="D717" s="9">
        <v>0</v>
      </c>
      <c r="E717" s="9" t="s">
        <v>2388</v>
      </c>
      <c r="F717" s="10" t="s">
        <v>2961</v>
      </c>
      <c r="G717" s="9" t="s">
        <v>2420</v>
      </c>
      <c r="H717" s="16" t="s">
        <v>2571</v>
      </c>
      <c r="I717" s="53" t="s">
        <v>2412</v>
      </c>
      <c r="J717" s="25" t="s">
        <v>2412</v>
      </c>
      <c r="K717" s="16">
        <v>0</v>
      </c>
      <c r="L717" s="3" t="s">
        <v>2556</v>
      </c>
      <c r="M717" s="17">
        <f>INDEX(Validade!H:H,MATCH('Controle de Validade'!A717,Validade!C:C,0))</f>
        <v>62458</v>
      </c>
      <c r="N717" s="18"/>
    </row>
    <row r="718" spans="1:14" ht="15" hidden="1" x14ac:dyDescent="0.2">
      <c r="A718" s="30" t="s">
        <v>1791</v>
      </c>
      <c r="B718" s="8" t="s">
        <v>2579</v>
      </c>
      <c r="C718" s="8" t="s">
        <v>1792</v>
      </c>
      <c r="D718" s="9">
        <v>0</v>
      </c>
      <c r="E718" s="9" t="s">
        <v>2388</v>
      </c>
      <c r="F718" s="10" t="s">
        <v>2961</v>
      </c>
      <c r="G718" s="9" t="s">
        <v>2420</v>
      </c>
      <c r="H718" s="16" t="s">
        <v>2571</v>
      </c>
      <c r="I718" s="53" t="s">
        <v>2412</v>
      </c>
      <c r="J718" s="25" t="s">
        <v>2412</v>
      </c>
      <c r="K718" s="16">
        <v>0</v>
      </c>
      <c r="L718" s="3" t="s">
        <v>2556</v>
      </c>
      <c r="M718" s="17">
        <f>INDEX(Validade!H:H,MATCH('Controle de Validade'!A718,Validade!C:C,0))</f>
        <v>62458</v>
      </c>
      <c r="N718" s="18"/>
    </row>
    <row r="719" spans="1:14" ht="15" hidden="1" x14ac:dyDescent="0.2">
      <c r="A719" s="28" t="s">
        <v>2147</v>
      </c>
      <c r="B719" s="8" t="s">
        <v>2579</v>
      </c>
      <c r="C719" s="8" t="s">
        <v>2849</v>
      </c>
      <c r="D719" s="9">
        <v>0</v>
      </c>
      <c r="E719" s="9" t="s">
        <v>2388</v>
      </c>
      <c r="F719" s="10" t="s">
        <v>2387</v>
      </c>
      <c r="G719" s="9" t="s">
        <v>2426</v>
      </c>
      <c r="H719" s="16" t="s">
        <v>2570</v>
      </c>
      <c r="I719" s="39"/>
      <c r="J719" s="39"/>
      <c r="K719" s="16">
        <v>1</v>
      </c>
      <c r="L719" s="3" t="s">
        <v>2556</v>
      </c>
      <c r="M719" s="17" t="e">
        <f>INDEX(Validade!H:H,MATCH('Controle de Validade'!A719,Validade!C:C,0))</f>
        <v>#N/A</v>
      </c>
      <c r="N719" s="18"/>
    </row>
    <row r="720" spans="1:14" ht="15" hidden="1" x14ac:dyDescent="0.2">
      <c r="A720" s="28" t="s">
        <v>2186</v>
      </c>
      <c r="B720" s="8" t="s">
        <v>2579</v>
      </c>
      <c r="C720" s="8" t="s">
        <v>2850</v>
      </c>
      <c r="D720" s="9">
        <v>0</v>
      </c>
      <c r="E720" s="9" t="s">
        <v>2388</v>
      </c>
      <c r="F720" s="10" t="s">
        <v>2387</v>
      </c>
      <c r="G720" s="9" t="s">
        <v>2426</v>
      </c>
      <c r="H720" s="16" t="s">
        <v>2570</v>
      </c>
      <c r="I720" s="39"/>
      <c r="J720" s="39"/>
      <c r="K720" s="16">
        <v>1</v>
      </c>
      <c r="L720" s="3" t="s">
        <v>2556</v>
      </c>
      <c r="M720" s="17" t="e">
        <f>INDEX(Validade!H:H,MATCH('Controle de Validade'!A720,Validade!C:C,0))</f>
        <v>#N/A</v>
      </c>
      <c r="N720" s="18"/>
    </row>
    <row r="721" spans="1:14" ht="15" hidden="1" x14ac:dyDescent="0.2">
      <c r="A721" s="28" t="s">
        <v>2191</v>
      </c>
      <c r="B721" s="8" t="s">
        <v>2579</v>
      </c>
      <c r="C721" s="8" t="s">
        <v>2851</v>
      </c>
      <c r="D721" s="9">
        <v>0</v>
      </c>
      <c r="E721" s="9" t="s">
        <v>2388</v>
      </c>
      <c r="F721" s="10" t="s">
        <v>2387</v>
      </c>
      <c r="G721" s="9" t="s">
        <v>2426</v>
      </c>
      <c r="H721" s="16" t="s">
        <v>2570</v>
      </c>
      <c r="I721" s="39"/>
      <c r="J721" s="39"/>
      <c r="K721" s="16">
        <v>1</v>
      </c>
      <c r="L721" s="3" t="s">
        <v>2556</v>
      </c>
      <c r="M721" s="17" t="e">
        <f>INDEX(Validade!H:H,MATCH('Controle de Validade'!A721,Validade!C:C,0))</f>
        <v>#N/A</v>
      </c>
      <c r="N721" s="18"/>
    </row>
    <row r="722" spans="1:14" ht="15" hidden="1" x14ac:dyDescent="0.2">
      <c r="A722" s="28" t="s">
        <v>2192</v>
      </c>
      <c r="B722" s="8" t="s">
        <v>2579</v>
      </c>
      <c r="C722" s="8" t="s">
        <v>2852</v>
      </c>
      <c r="D722" s="9">
        <v>0</v>
      </c>
      <c r="E722" s="9" t="s">
        <v>2388</v>
      </c>
      <c r="F722" s="10" t="s">
        <v>2387</v>
      </c>
      <c r="G722" s="9" t="s">
        <v>2426</v>
      </c>
      <c r="H722" s="16" t="s">
        <v>2570</v>
      </c>
      <c r="I722" s="39"/>
      <c r="J722" s="39"/>
      <c r="K722" s="16">
        <v>1</v>
      </c>
      <c r="L722" s="3" t="s">
        <v>2556</v>
      </c>
      <c r="M722" s="17" t="e">
        <f>INDEX(Validade!H:H,MATCH('Controle de Validade'!A722,Validade!C:C,0))</f>
        <v>#N/A</v>
      </c>
      <c r="N722" s="18"/>
    </row>
    <row r="723" spans="1:14" ht="15" hidden="1" x14ac:dyDescent="0.2">
      <c r="A723" s="30" t="s">
        <v>1794</v>
      </c>
      <c r="B723" s="8" t="s">
        <v>2579</v>
      </c>
      <c r="C723" s="8" t="s">
        <v>1795</v>
      </c>
      <c r="D723" s="9">
        <v>0</v>
      </c>
      <c r="E723" s="9" t="s">
        <v>2388</v>
      </c>
      <c r="F723" s="10" t="s">
        <v>2961</v>
      </c>
      <c r="G723" s="9" t="s">
        <v>2420</v>
      </c>
      <c r="H723" s="16" t="s">
        <v>2571</v>
      </c>
      <c r="I723" s="53" t="s">
        <v>2412</v>
      </c>
      <c r="J723" s="25" t="s">
        <v>2412</v>
      </c>
      <c r="K723" s="16">
        <v>0</v>
      </c>
      <c r="L723" s="3" t="s">
        <v>2556</v>
      </c>
      <c r="M723" s="17">
        <f>INDEX(Validade!H:H,MATCH('Controle de Validade'!A723,Validade!C:C,0))</f>
        <v>62458</v>
      </c>
      <c r="N723" s="18"/>
    </row>
    <row r="724" spans="1:14" ht="15" hidden="1" x14ac:dyDescent="0.2">
      <c r="A724" s="30" t="s">
        <v>884</v>
      </c>
      <c r="B724" s="8" t="s">
        <v>2579</v>
      </c>
      <c r="C724" s="8" t="s">
        <v>885</v>
      </c>
      <c r="D724" s="9" t="s">
        <v>2522</v>
      </c>
      <c r="E724" s="9" t="s">
        <v>2388</v>
      </c>
      <c r="F724" s="10" t="s">
        <v>2387</v>
      </c>
      <c r="G724" s="9" t="s">
        <v>2414</v>
      </c>
      <c r="H724" s="16" t="s">
        <v>2571</v>
      </c>
      <c r="I724" s="53" t="s">
        <v>2412</v>
      </c>
      <c r="J724" s="25" t="s">
        <v>2412</v>
      </c>
      <c r="K724" s="16">
        <v>0</v>
      </c>
      <c r="L724" s="3" t="s">
        <v>2556</v>
      </c>
      <c r="M724" s="17">
        <f>INDEX(Validade!H:H,MATCH('Controle de Validade'!A724,Validade!C:C,0))</f>
        <v>0</v>
      </c>
      <c r="N724" s="18"/>
    </row>
    <row r="725" spans="1:14" ht="15" hidden="1" x14ac:dyDescent="0.2">
      <c r="A725" s="30" t="s">
        <v>1123</v>
      </c>
      <c r="B725" s="8" t="s">
        <v>2580</v>
      </c>
      <c r="C725" s="8" t="s">
        <v>1124</v>
      </c>
      <c r="D725" s="9" t="s">
        <v>963</v>
      </c>
      <c r="E725" s="9" t="s">
        <v>2393</v>
      </c>
      <c r="F725" s="10" t="s">
        <v>2392</v>
      </c>
      <c r="G725" s="9" t="s">
        <v>2397</v>
      </c>
      <c r="H725" s="16" t="s">
        <v>2571</v>
      </c>
      <c r="I725" s="53" t="s">
        <v>2412</v>
      </c>
      <c r="J725" s="25" t="s">
        <v>2412</v>
      </c>
      <c r="K725" s="16">
        <v>0</v>
      </c>
      <c r="L725" s="3" t="s">
        <v>2556</v>
      </c>
      <c r="M725" s="17">
        <f>INDEX(Validade!H:H,MATCH('Controle de Validade'!A725,Validade!C:C,0))</f>
        <v>0</v>
      </c>
      <c r="N725" s="18"/>
    </row>
    <row r="726" spans="1:14" ht="15" hidden="1" x14ac:dyDescent="0.2">
      <c r="A726" s="30" t="s">
        <v>279</v>
      </c>
      <c r="B726" s="8" t="s">
        <v>2579</v>
      </c>
      <c r="C726" s="8" t="s">
        <v>280</v>
      </c>
      <c r="D726" s="9" t="s">
        <v>15</v>
      </c>
      <c r="E726" s="9" t="s">
        <v>2388</v>
      </c>
      <c r="F726" s="10" t="s">
        <v>2387</v>
      </c>
      <c r="G726" s="9" t="s">
        <v>2479</v>
      </c>
      <c r="H726" s="16" t="s">
        <v>2571</v>
      </c>
      <c r="I726" s="53" t="s">
        <v>2412</v>
      </c>
      <c r="J726" s="25" t="s">
        <v>2412</v>
      </c>
      <c r="K726" s="16">
        <v>0</v>
      </c>
      <c r="L726" s="3" t="s">
        <v>2556</v>
      </c>
      <c r="M726" s="17">
        <f>INDEX(Validade!H:H,MATCH('Controle de Validade'!A726,Validade!C:C,0))</f>
        <v>62458</v>
      </c>
      <c r="N726" s="18"/>
    </row>
    <row r="727" spans="1:14" ht="15" hidden="1" x14ac:dyDescent="0.2">
      <c r="A727" s="30" t="s">
        <v>1129</v>
      </c>
      <c r="B727" s="8" t="s">
        <v>2579</v>
      </c>
      <c r="C727" s="8" t="s">
        <v>1130</v>
      </c>
      <c r="D727" s="9" t="s">
        <v>1131</v>
      </c>
      <c r="E727" s="9" t="s">
        <v>2388</v>
      </c>
      <c r="F727" s="10" t="s">
        <v>2387</v>
      </c>
      <c r="G727" s="9" t="s">
        <v>2414</v>
      </c>
      <c r="H727" s="16" t="s">
        <v>2570</v>
      </c>
      <c r="I727" s="62" t="s">
        <v>2993</v>
      </c>
      <c r="J727" s="47" t="s">
        <v>2412</v>
      </c>
      <c r="K727" s="16">
        <v>1</v>
      </c>
      <c r="L727" s="3" t="s">
        <v>2556</v>
      </c>
      <c r="M727" s="17">
        <f>INDEX(Validade!H:H,MATCH('Controle de Validade'!A727,Validade!C:C,0))</f>
        <v>0</v>
      </c>
      <c r="N727" s="18" t="s">
        <v>2575</v>
      </c>
    </row>
    <row r="728" spans="1:14" ht="15" hidden="1" x14ac:dyDescent="0.2">
      <c r="A728" s="30" t="s">
        <v>1126</v>
      </c>
      <c r="B728" s="8" t="s">
        <v>2579</v>
      </c>
      <c r="C728" s="8" t="s">
        <v>1127</v>
      </c>
      <c r="D728" s="9" t="s">
        <v>28</v>
      </c>
      <c r="E728" s="9" t="s">
        <v>2388</v>
      </c>
      <c r="F728" s="10" t="s">
        <v>2387</v>
      </c>
      <c r="G728" s="9" t="s">
        <v>2471</v>
      </c>
      <c r="H728" s="16" t="s">
        <v>2570</v>
      </c>
      <c r="I728" s="38" t="s">
        <v>3187</v>
      </c>
      <c r="J728" s="39" t="s">
        <v>2948</v>
      </c>
      <c r="K728" s="16">
        <v>1</v>
      </c>
      <c r="L728" s="3" t="s">
        <v>2556</v>
      </c>
      <c r="M728" s="17">
        <f>INDEX(Validade!H:H,MATCH('Controle de Validade'!A728,Validade!C:C,0))</f>
        <v>47335</v>
      </c>
      <c r="N728" s="18"/>
    </row>
    <row r="729" spans="1:14" ht="15" hidden="1" x14ac:dyDescent="0.2">
      <c r="A729" s="30" t="s">
        <v>287</v>
      </c>
      <c r="B729" s="8" t="s">
        <v>2579</v>
      </c>
      <c r="C729" s="8" t="s">
        <v>288</v>
      </c>
      <c r="D729" s="9" t="s">
        <v>28</v>
      </c>
      <c r="E729" s="9" t="s">
        <v>2388</v>
      </c>
      <c r="F729" s="10" t="s">
        <v>2387</v>
      </c>
      <c r="G729" s="9" t="s">
        <v>2471</v>
      </c>
      <c r="H729" s="16" t="s">
        <v>2570</v>
      </c>
      <c r="I729" s="38" t="s">
        <v>3187</v>
      </c>
      <c r="J729" s="39" t="s">
        <v>2948</v>
      </c>
      <c r="K729" s="16">
        <v>1</v>
      </c>
      <c r="L729" s="3" t="s">
        <v>2556</v>
      </c>
      <c r="M729" s="17">
        <f>INDEX(Validade!H:H,MATCH('Controle de Validade'!A729,Validade!C:C,0))</f>
        <v>47222</v>
      </c>
      <c r="N729" s="18"/>
    </row>
    <row r="730" spans="1:14" ht="15" hidden="1" x14ac:dyDescent="0.2">
      <c r="A730" s="30" t="s">
        <v>285</v>
      </c>
      <c r="B730" s="8" t="s">
        <v>2579</v>
      </c>
      <c r="C730" s="8" t="s">
        <v>286</v>
      </c>
      <c r="D730" s="9" t="s">
        <v>28</v>
      </c>
      <c r="E730" s="9" t="s">
        <v>2388</v>
      </c>
      <c r="F730" s="10" t="s">
        <v>2387</v>
      </c>
      <c r="G730" s="9" t="s">
        <v>2471</v>
      </c>
      <c r="H730" s="16" t="s">
        <v>2570</v>
      </c>
      <c r="I730" s="38" t="s">
        <v>3187</v>
      </c>
      <c r="J730" s="39" t="s">
        <v>2948</v>
      </c>
      <c r="K730" s="16">
        <v>1</v>
      </c>
      <c r="L730" s="3" t="s">
        <v>2556</v>
      </c>
      <c r="M730" s="17">
        <f>INDEX(Validade!H:H,MATCH('Controle de Validade'!A730,Validade!C:C,0))</f>
        <v>47265</v>
      </c>
      <c r="N730" s="18"/>
    </row>
    <row r="731" spans="1:14" ht="15" hidden="1" x14ac:dyDescent="0.2">
      <c r="A731" s="30" t="s">
        <v>282</v>
      </c>
      <c r="B731" s="8" t="s">
        <v>2579</v>
      </c>
      <c r="C731" s="8" t="s">
        <v>283</v>
      </c>
      <c r="D731" s="9" t="s">
        <v>15</v>
      </c>
      <c r="E731" s="9" t="s">
        <v>2388</v>
      </c>
      <c r="F731" s="10" t="s">
        <v>2387</v>
      </c>
      <c r="G731" s="9" t="s">
        <v>2479</v>
      </c>
      <c r="H731" s="16" t="s">
        <v>2571</v>
      </c>
      <c r="I731" s="53" t="s">
        <v>2412</v>
      </c>
      <c r="J731" s="25" t="s">
        <v>2412</v>
      </c>
      <c r="K731" s="16">
        <v>0</v>
      </c>
      <c r="L731" s="3" t="s">
        <v>2556</v>
      </c>
      <c r="M731" s="17">
        <f>INDEX(Validade!H:H,MATCH('Controle de Validade'!A731,Validade!C:C,0))</f>
        <v>62458</v>
      </c>
      <c r="N731" s="18"/>
    </row>
    <row r="732" spans="1:14" ht="15" hidden="1" x14ac:dyDescent="0.2">
      <c r="A732" s="30" t="s">
        <v>290</v>
      </c>
      <c r="B732" s="8" t="s">
        <v>2579</v>
      </c>
      <c r="C732" s="8" t="s">
        <v>291</v>
      </c>
      <c r="D732" s="9" t="s">
        <v>28</v>
      </c>
      <c r="E732" s="9" t="s">
        <v>2388</v>
      </c>
      <c r="F732" s="10" t="s">
        <v>2387</v>
      </c>
      <c r="G732" s="9" t="s">
        <v>2471</v>
      </c>
      <c r="H732" s="16" t="s">
        <v>2570</v>
      </c>
      <c r="I732" s="38" t="s">
        <v>3187</v>
      </c>
      <c r="J732" s="39" t="s">
        <v>2948</v>
      </c>
      <c r="K732" s="16">
        <v>1</v>
      </c>
      <c r="L732" s="3" t="s">
        <v>2556</v>
      </c>
      <c r="M732" s="17">
        <f>INDEX(Validade!H:H,MATCH('Controle de Validade'!A732,Validade!C:C,0))</f>
        <v>47222</v>
      </c>
      <c r="N732" s="18"/>
    </row>
    <row r="733" spans="1:14" ht="15" hidden="1" x14ac:dyDescent="0.2">
      <c r="A733" s="30" t="s">
        <v>2304</v>
      </c>
      <c r="B733" s="8" t="s">
        <v>2579</v>
      </c>
      <c r="C733" s="8" t="s">
        <v>2853</v>
      </c>
      <c r="D733" s="9" t="s">
        <v>2475</v>
      </c>
      <c r="E733" s="9" t="s">
        <v>2476</v>
      </c>
      <c r="F733" s="10" t="s">
        <v>2387</v>
      </c>
      <c r="G733" s="9" t="s">
        <v>2456</v>
      </c>
      <c r="H733" s="20" t="s">
        <v>2571</v>
      </c>
      <c r="I733" s="53" t="s">
        <v>2412</v>
      </c>
      <c r="J733" s="25" t="s">
        <v>2412</v>
      </c>
      <c r="K733" s="16">
        <v>0</v>
      </c>
      <c r="L733" s="3" t="s">
        <v>2556</v>
      </c>
      <c r="M733" s="17" t="e">
        <f>INDEX(Validade!H:H,MATCH('Controle de Validade'!A733,Validade!C:C,0))</f>
        <v>#N/A</v>
      </c>
      <c r="N733" s="18"/>
    </row>
    <row r="734" spans="1:14" ht="15" hidden="1" x14ac:dyDescent="0.2">
      <c r="A734" s="30" t="s">
        <v>2271</v>
      </c>
      <c r="B734" s="8" t="s">
        <v>2579</v>
      </c>
      <c r="C734" s="8" t="s">
        <v>2854</v>
      </c>
      <c r="D734" s="9" t="s">
        <v>2475</v>
      </c>
      <c r="E734" s="9" t="s">
        <v>2476</v>
      </c>
      <c r="F734" s="10" t="s">
        <v>2387</v>
      </c>
      <c r="G734" s="9" t="s">
        <v>2456</v>
      </c>
      <c r="H734" s="20" t="s">
        <v>2571</v>
      </c>
      <c r="I734" s="53" t="s">
        <v>2412</v>
      </c>
      <c r="J734" s="25" t="s">
        <v>2412</v>
      </c>
      <c r="K734" s="16">
        <v>0</v>
      </c>
      <c r="L734" s="3" t="s">
        <v>2556</v>
      </c>
      <c r="M734" s="17" t="e">
        <f>INDEX(Validade!H:H,MATCH('Controle de Validade'!A734,Validade!C:C,0))</f>
        <v>#N/A</v>
      </c>
      <c r="N734" s="18"/>
    </row>
    <row r="735" spans="1:14" ht="15" hidden="1" x14ac:dyDescent="0.2">
      <c r="A735" s="30" t="s">
        <v>2295</v>
      </c>
      <c r="B735" s="8" t="s">
        <v>2579</v>
      </c>
      <c r="C735" s="8" t="s">
        <v>2855</v>
      </c>
      <c r="D735" s="9" t="s">
        <v>2394</v>
      </c>
      <c r="E735" s="9" t="s">
        <v>2388</v>
      </c>
      <c r="F735" s="10" t="s">
        <v>2392</v>
      </c>
      <c r="G735" s="9" t="s">
        <v>2410</v>
      </c>
      <c r="H735" s="16" t="s">
        <v>2571</v>
      </c>
      <c r="I735" s="53" t="s">
        <v>2412</v>
      </c>
      <c r="J735" s="25" t="s">
        <v>2412</v>
      </c>
      <c r="K735" s="16">
        <v>0</v>
      </c>
      <c r="L735" s="3" t="s">
        <v>2556</v>
      </c>
      <c r="M735" s="17" t="e">
        <f>INDEX(Validade!H:H,MATCH('Controle de Validade'!A735,Validade!C:C,0))</f>
        <v>#N/A</v>
      </c>
      <c r="N735" s="18"/>
    </row>
    <row r="736" spans="1:14" ht="15" hidden="1" x14ac:dyDescent="0.2">
      <c r="A736" s="28" t="s">
        <v>1890</v>
      </c>
      <c r="B736" s="8" t="s">
        <v>2579</v>
      </c>
      <c r="C736" s="8" t="s">
        <v>1891</v>
      </c>
      <c r="D736" s="9" t="s">
        <v>1766</v>
      </c>
      <c r="E736" s="9" t="s">
        <v>2388</v>
      </c>
      <c r="F736" s="10" t="s">
        <v>2961</v>
      </c>
      <c r="G736" s="9" t="s">
        <v>2420</v>
      </c>
      <c r="H736" s="16" t="s">
        <v>2570</v>
      </c>
      <c r="I736" s="39"/>
      <c r="J736" s="39"/>
      <c r="K736" s="16">
        <v>1</v>
      </c>
      <c r="L736" s="3" t="s">
        <v>2556</v>
      </c>
      <c r="M736" s="17">
        <f>INDEX(Validade!H:H,MATCH('Controle de Validade'!A736,Validade!C:C,0))</f>
        <v>46099</v>
      </c>
      <c r="N736" s="18"/>
    </row>
    <row r="737" spans="1:14" ht="15" hidden="1" x14ac:dyDescent="0.2">
      <c r="A737" s="28" t="s">
        <v>1887</v>
      </c>
      <c r="B737" s="8" t="s">
        <v>2579</v>
      </c>
      <c r="C737" s="8" t="s">
        <v>1888</v>
      </c>
      <c r="D737" s="9" t="s">
        <v>1766</v>
      </c>
      <c r="E737" s="9" t="s">
        <v>2388</v>
      </c>
      <c r="F737" s="10" t="s">
        <v>2961</v>
      </c>
      <c r="G737" s="9" t="s">
        <v>2420</v>
      </c>
      <c r="H737" s="16" t="s">
        <v>2570</v>
      </c>
      <c r="I737" s="39"/>
      <c r="J737" s="39"/>
      <c r="K737" s="16">
        <v>1</v>
      </c>
      <c r="L737" s="3" t="s">
        <v>2556</v>
      </c>
      <c r="M737" s="17">
        <f>INDEX(Validade!H:H,MATCH('Controle de Validade'!A737,Validade!C:C,0))</f>
        <v>46154</v>
      </c>
      <c r="N737" s="18"/>
    </row>
    <row r="738" spans="1:14" ht="15" hidden="1" x14ac:dyDescent="0.2">
      <c r="A738" s="30" t="s">
        <v>1943</v>
      </c>
      <c r="B738" s="8" t="s">
        <v>2580</v>
      </c>
      <c r="C738" s="8" t="s">
        <v>1944</v>
      </c>
      <c r="D738" s="9" t="s">
        <v>1006</v>
      </c>
      <c r="E738" s="9" t="s">
        <v>2393</v>
      </c>
      <c r="F738" s="10" t="s">
        <v>2392</v>
      </c>
      <c r="G738" s="9" t="s">
        <v>2447</v>
      </c>
      <c r="H738" s="16" t="s">
        <v>2570</v>
      </c>
      <c r="I738" s="38" t="s">
        <v>3187</v>
      </c>
      <c r="J738" s="52" t="s">
        <v>2412</v>
      </c>
      <c r="K738" s="16">
        <v>1</v>
      </c>
      <c r="L738" s="3" t="s">
        <v>2556</v>
      </c>
      <c r="M738" s="17">
        <f>INDEX(Validade!H:H,MATCH('Controle de Validade'!A738,Validade!C:C,0))</f>
        <v>47248</v>
      </c>
      <c r="N738" s="18" t="s">
        <v>2576</v>
      </c>
    </row>
    <row r="739" spans="1:14" ht="15" hidden="1" x14ac:dyDescent="0.2">
      <c r="A739" s="28" t="s">
        <v>2296</v>
      </c>
      <c r="B739" s="8" t="s">
        <v>2581</v>
      </c>
      <c r="C739" s="8" t="s">
        <v>2856</v>
      </c>
      <c r="D739" s="9" t="s">
        <v>2544</v>
      </c>
      <c r="E739" s="9" t="s">
        <v>2388</v>
      </c>
      <c r="F739" s="10" t="s">
        <v>2392</v>
      </c>
      <c r="G739" s="9" t="s">
        <v>2394</v>
      </c>
      <c r="H739" s="16" t="s">
        <v>2570</v>
      </c>
      <c r="I739" s="39"/>
      <c r="J739" s="39"/>
      <c r="K739" s="16">
        <v>1</v>
      </c>
      <c r="L739" s="3" t="s">
        <v>2556</v>
      </c>
      <c r="M739" s="17" t="e">
        <f>INDEX(Validade!H:H,MATCH('Controle de Validade'!A739,Validade!C:C,0))</f>
        <v>#N/A</v>
      </c>
      <c r="N739" s="18"/>
    </row>
    <row r="740" spans="1:14" ht="15" hidden="1" x14ac:dyDescent="0.2">
      <c r="A740" s="30" t="s">
        <v>1947</v>
      </c>
      <c r="B740" s="8" t="s">
        <v>2579</v>
      </c>
      <c r="C740" s="8" t="s">
        <v>1948</v>
      </c>
      <c r="D740" s="9" t="s">
        <v>2540</v>
      </c>
      <c r="E740" s="9" t="s">
        <v>2393</v>
      </c>
      <c r="F740" s="10" t="s">
        <v>2392</v>
      </c>
      <c r="G740" s="9" t="s">
        <v>2447</v>
      </c>
      <c r="H740" s="16" t="s">
        <v>2570</v>
      </c>
      <c r="I740" s="38" t="s">
        <v>3187</v>
      </c>
      <c r="J740" s="52" t="s">
        <v>2412</v>
      </c>
      <c r="K740" s="16">
        <v>1</v>
      </c>
      <c r="L740" s="3" t="s">
        <v>2556</v>
      </c>
      <c r="M740" s="17">
        <f>INDEX(Validade!H:H,MATCH('Controle de Validade'!A740,Validade!C:C,0))</f>
        <v>47126</v>
      </c>
      <c r="N740" s="18" t="s">
        <v>2576</v>
      </c>
    </row>
    <row r="741" spans="1:14" ht="15" hidden="1" x14ac:dyDescent="0.2">
      <c r="A741" s="30" t="s">
        <v>2328</v>
      </c>
      <c r="B741" s="8" t="s">
        <v>2579</v>
      </c>
      <c r="C741" s="8" t="s">
        <v>2857</v>
      </c>
      <c r="D741" s="9" t="s">
        <v>41</v>
      </c>
      <c r="E741" s="9" t="s">
        <v>2388</v>
      </c>
      <c r="F741" s="10" t="s">
        <v>2961</v>
      </c>
      <c r="G741" s="9" t="s">
        <v>2429</v>
      </c>
      <c r="H741" s="16" t="s">
        <v>2570</v>
      </c>
      <c r="I741" s="32" t="s">
        <v>2993</v>
      </c>
      <c r="J741" s="26" t="s">
        <v>2994</v>
      </c>
      <c r="K741" s="16">
        <v>1</v>
      </c>
      <c r="L741" s="3" t="s">
        <v>2556</v>
      </c>
      <c r="M741" s="17" t="e">
        <f>INDEX(Validade!H:H,MATCH('Controle de Validade'!A741,Validade!C:C,0))</f>
        <v>#N/A</v>
      </c>
      <c r="N741" s="18"/>
    </row>
    <row r="742" spans="1:14" ht="15" hidden="1" x14ac:dyDescent="0.2">
      <c r="A742" s="30" t="s">
        <v>1119</v>
      </c>
      <c r="B742" s="8" t="s">
        <v>2579</v>
      </c>
      <c r="C742" s="8" t="s">
        <v>1120</v>
      </c>
      <c r="D742" s="9" t="s">
        <v>2545</v>
      </c>
      <c r="E742" s="9" t="s">
        <v>2388</v>
      </c>
      <c r="F742" s="10" t="s">
        <v>2392</v>
      </c>
      <c r="G742" s="9" t="s">
        <v>2453</v>
      </c>
      <c r="H742" s="16" t="s">
        <v>2571</v>
      </c>
      <c r="I742" s="53" t="s">
        <v>2412</v>
      </c>
      <c r="J742" s="25" t="s">
        <v>2412</v>
      </c>
      <c r="K742" s="16">
        <v>0</v>
      </c>
      <c r="L742" s="3" t="s">
        <v>2556</v>
      </c>
      <c r="M742" s="17">
        <f>INDEX(Validade!H:H,MATCH('Controle de Validade'!A742,Validade!C:C,0))</f>
        <v>0</v>
      </c>
      <c r="N742" s="18"/>
    </row>
    <row r="743" spans="1:14" ht="15" hidden="1" x14ac:dyDescent="0.2">
      <c r="A743" s="30" t="s">
        <v>1138</v>
      </c>
      <c r="B743" s="8" t="s">
        <v>2647</v>
      </c>
      <c r="C743" s="8" t="s">
        <v>1139</v>
      </c>
      <c r="D743" s="9" t="s">
        <v>1141</v>
      </c>
      <c r="E743" s="9" t="s">
        <v>2388</v>
      </c>
      <c r="F743" s="10" t="s">
        <v>2961</v>
      </c>
      <c r="G743" s="9" t="s">
        <v>2414</v>
      </c>
      <c r="H743" s="48" t="s">
        <v>2571</v>
      </c>
      <c r="I743" s="49" t="s">
        <v>2412</v>
      </c>
      <c r="J743" s="49" t="s">
        <v>2412</v>
      </c>
      <c r="K743" s="16">
        <v>1</v>
      </c>
      <c r="L743" s="3" t="s">
        <v>2556</v>
      </c>
      <c r="M743" s="17">
        <f>INDEX(Validade!H:H,MATCH('Controle de Validade'!A743,Validade!C:C,0))</f>
        <v>0</v>
      </c>
      <c r="N743" s="18"/>
    </row>
    <row r="744" spans="1:14" ht="15" hidden="1" x14ac:dyDescent="0.2">
      <c r="A744" s="30" t="s">
        <v>2359</v>
      </c>
      <c r="B744" s="8" t="s">
        <v>2647</v>
      </c>
      <c r="C744" s="8" t="s">
        <v>2858</v>
      </c>
      <c r="D744" s="9" t="e">
        <v>#N/A</v>
      </c>
      <c r="E744" s="9" t="s">
        <v>2388</v>
      </c>
      <c r="F744" s="10" t="s">
        <v>2961</v>
      </c>
      <c r="G744" s="9" t="s">
        <v>2410</v>
      </c>
      <c r="H744" s="48" t="s">
        <v>2571</v>
      </c>
      <c r="I744" s="49" t="s">
        <v>2412</v>
      </c>
      <c r="J744" s="49" t="s">
        <v>2412</v>
      </c>
      <c r="K744" s="16">
        <v>1</v>
      </c>
      <c r="L744" s="3" t="s">
        <v>2556</v>
      </c>
      <c r="M744" s="17" t="e">
        <f>INDEX(Validade!H:H,MATCH('Controle de Validade'!A744,Validade!C:C,0))</f>
        <v>#N/A</v>
      </c>
      <c r="N744" s="18"/>
    </row>
    <row r="745" spans="1:14" ht="15" hidden="1" x14ac:dyDescent="0.2">
      <c r="A745" s="30" t="s">
        <v>1142</v>
      </c>
      <c r="B745" s="8" t="s">
        <v>2647</v>
      </c>
      <c r="C745" s="8" t="s">
        <v>1143</v>
      </c>
      <c r="D745" s="9" t="s">
        <v>1141</v>
      </c>
      <c r="E745" s="9" t="s">
        <v>2388</v>
      </c>
      <c r="F745" s="10" t="s">
        <v>2961</v>
      </c>
      <c r="G745" s="9" t="s">
        <v>2414</v>
      </c>
      <c r="H745" s="48" t="s">
        <v>2571</v>
      </c>
      <c r="I745" s="49" t="s">
        <v>2412</v>
      </c>
      <c r="J745" s="49" t="s">
        <v>2412</v>
      </c>
      <c r="K745" s="16">
        <v>1</v>
      </c>
      <c r="L745" s="3" t="s">
        <v>2556</v>
      </c>
      <c r="M745" s="17">
        <f>INDEX(Validade!H:H,MATCH('Controle de Validade'!A745,Validade!C:C,0))</f>
        <v>0</v>
      </c>
      <c r="N745" s="18"/>
    </row>
    <row r="746" spans="1:14" ht="15" hidden="1" x14ac:dyDescent="0.2">
      <c r="A746" s="30" t="s">
        <v>2363</v>
      </c>
      <c r="B746" s="8" t="s">
        <v>2581</v>
      </c>
      <c r="C746" s="8" t="s">
        <v>2859</v>
      </c>
      <c r="D746" s="9">
        <v>0</v>
      </c>
      <c r="E746" s="9">
        <v>0</v>
      </c>
      <c r="F746" s="10" t="s">
        <v>2387</v>
      </c>
      <c r="G746" s="9" t="s">
        <v>2410</v>
      </c>
      <c r="H746" s="16" t="s">
        <v>2571</v>
      </c>
      <c r="I746" s="53" t="s">
        <v>2412</v>
      </c>
      <c r="J746" s="25" t="s">
        <v>2412</v>
      </c>
      <c r="K746" s="16">
        <v>0</v>
      </c>
      <c r="L746" s="3" t="s">
        <v>2556</v>
      </c>
      <c r="M746" s="17" t="e">
        <f>INDEX(Validade!H:H,MATCH('Controle de Validade'!A746,Validade!C:C,0))</f>
        <v>#N/A</v>
      </c>
      <c r="N746" s="18"/>
    </row>
    <row r="747" spans="1:14" ht="15" hidden="1" x14ac:dyDescent="0.2">
      <c r="A747" s="30" t="s">
        <v>2011</v>
      </c>
      <c r="B747" s="8" t="s">
        <v>2579</v>
      </c>
      <c r="C747" s="8" t="s">
        <v>2860</v>
      </c>
      <c r="D747" s="9" t="s">
        <v>1946</v>
      </c>
      <c r="E747" s="9" t="s">
        <v>2388</v>
      </c>
      <c r="F747" s="10" t="s">
        <v>2392</v>
      </c>
      <c r="G747" s="9" t="s">
        <v>2410</v>
      </c>
      <c r="H747" s="64" t="s">
        <v>2571</v>
      </c>
      <c r="I747" s="63" t="s">
        <v>2412</v>
      </c>
      <c r="J747" s="43" t="s">
        <v>3199</v>
      </c>
      <c r="K747" s="16">
        <v>0</v>
      </c>
      <c r="L747" s="3" t="s">
        <v>2556</v>
      </c>
      <c r="M747" s="17" t="e">
        <f>INDEX(Validade!H:H,MATCH('Controle de Validade'!A747,Validade!C:C,0))</f>
        <v>#N/A</v>
      </c>
      <c r="N747" s="18"/>
    </row>
    <row r="748" spans="1:14" ht="15" hidden="1" x14ac:dyDescent="0.2">
      <c r="A748" s="30" t="s">
        <v>2165</v>
      </c>
      <c r="B748" s="8" t="s">
        <v>2579</v>
      </c>
      <c r="C748" s="8" t="s">
        <v>2861</v>
      </c>
      <c r="D748" s="9" t="s">
        <v>1946</v>
      </c>
      <c r="E748" s="9" t="s">
        <v>2388</v>
      </c>
      <c r="F748" s="10" t="s">
        <v>2392</v>
      </c>
      <c r="G748" s="9" t="s">
        <v>2410</v>
      </c>
      <c r="H748" s="64" t="s">
        <v>2571</v>
      </c>
      <c r="I748" s="63" t="s">
        <v>2412</v>
      </c>
      <c r="J748" s="43" t="s">
        <v>3199</v>
      </c>
      <c r="K748" s="16">
        <v>0</v>
      </c>
      <c r="L748" s="3" t="s">
        <v>2556</v>
      </c>
      <c r="M748" s="17" t="e">
        <f>INDEX(Validade!H:H,MATCH('Controle de Validade'!A748,Validade!C:C,0))</f>
        <v>#N/A</v>
      </c>
      <c r="N748" s="18"/>
    </row>
    <row r="749" spans="1:14" ht="15" hidden="1" x14ac:dyDescent="0.2">
      <c r="A749" s="30" t="s">
        <v>1135</v>
      </c>
      <c r="B749" s="8" t="s">
        <v>2579</v>
      </c>
      <c r="C749" s="8" t="s">
        <v>1136</v>
      </c>
      <c r="D749" s="9" t="s">
        <v>28</v>
      </c>
      <c r="E749" s="9" t="s">
        <v>2388</v>
      </c>
      <c r="F749" s="10" t="s">
        <v>2387</v>
      </c>
      <c r="G749" s="9" t="s">
        <v>2471</v>
      </c>
      <c r="H749" s="16" t="s">
        <v>2570</v>
      </c>
      <c r="I749" s="38" t="s">
        <v>3187</v>
      </c>
      <c r="J749" s="39" t="s">
        <v>2948</v>
      </c>
      <c r="K749" s="16">
        <v>1</v>
      </c>
      <c r="L749" s="3" t="s">
        <v>2556</v>
      </c>
      <c r="M749" s="17">
        <f>INDEX(Validade!H:H,MATCH('Controle de Validade'!A749,Validade!C:C,0))</f>
        <v>47387</v>
      </c>
      <c r="N749" s="18"/>
    </row>
    <row r="750" spans="1:14" ht="15" hidden="1" x14ac:dyDescent="0.2">
      <c r="A750" s="30" t="s">
        <v>2326</v>
      </c>
      <c r="B750" s="8" t="s">
        <v>2581</v>
      </c>
      <c r="C750" s="8" t="s">
        <v>2862</v>
      </c>
      <c r="D750" s="9" t="s">
        <v>2475</v>
      </c>
      <c r="E750" s="9" t="s">
        <v>2393</v>
      </c>
      <c r="F750" s="10" t="s">
        <v>2392</v>
      </c>
      <c r="G750" s="9" t="s">
        <v>2394</v>
      </c>
      <c r="H750" s="16" t="s">
        <v>2571</v>
      </c>
      <c r="I750" s="53" t="s">
        <v>2412</v>
      </c>
      <c r="J750" s="25" t="s">
        <v>2412</v>
      </c>
      <c r="K750" s="16">
        <v>0</v>
      </c>
      <c r="L750" s="3" t="s">
        <v>2556</v>
      </c>
      <c r="M750" s="17" t="e">
        <f>INDEX(Validade!H:H,MATCH('Controle de Validade'!A750,Validade!C:C,0))</f>
        <v>#N/A</v>
      </c>
      <c r="N750" s="18"/>
    </row>
    <row r="751" spans="1:14" ht="15" hidden="1" x14ac:dyDescent="0.2">
      <c r="A751" s="30" t="s">
        <v>1159</v>
      </c>
      <c r="B751" s="8" t="s">
        <v>2579</v>
      </c>
      <c r="C751" s="8" t="s">
        <v>1160</v>
      </c>
      <c r="D751" s="9" t="s">
        <v>1141</v>
      </c>
      <c r="E751" s="9" t="s">
        <v>2388</v>
      </c>
      <c r="F751" s="10" t="s">
        <v>2961</v>
      </c>
      <c r="G751" s="9" t="s">
        <v>2414</v>
      </c>
      <c r="H751" s="48" t="s">
        <v>2571</v>
      </c>
      <c r="I751" s="49" t="s">
        <v>2412</v>
      </c>
      <c r="J751" s="49" t="s">
        <v>2412</v>
      </c>
      <c r="K751" s="16">
        <v>1</v>
      </c>
      <c r="L751" s="3" t="s">
        <v>2556</v>
      </c>
      <c r="M751" s="17">
        <f>INDEX(Validade!H:H,MATCH('Controle de Validade'!A751,Validade!C:C,0))</f>
        <v>0</v>
      </c>
      <c r="N751" s="18"/>
    </row>
    <row r="752" spans="1:14" ht="15" hidden="1" x14ac:dyDescent="0.2">
      <c r="A752" s="30" t="s">
        <v>1758</v>
      </c>
      <c r="B752" s="8" t="s">
        <v>2579</v>
      </c>
      <c r="C752" s="8" t="s">
        <v>1759</v>
      </c>
      <c r="D752" s="9" t="s">
        <v>2487</v>
      </c>
      <c r="E752" s="9" t="s">
        <v>2388</v>
      </c>
      <c r="F752" s="10" t="s">
        <v>2392</v>
      </c>
      <c r="G752" s="9" t="s">
        <v>2463</v>
      </c>
      <c r="H752" s="16" t="s">
        <v>2571</v>
      </c>
      <c r="I752" s="53" t="s">
        <v>2412</v>
      </c>
      <c r="J752" s="25" t="s">
        <v>2412</v>
      </c>
      <c r="K752" s="16">
        <v>0</v>
      </c>
      <c r="L752" s="3" t="s">
        <v>2556</v>
      </c>
      <c r="M752" s="17">
        <f>INDEX(Validade!H:H,MATCH('Controle de Validade'!A752,Validade!C:C,0))</f>
        <v>0</v>
      </c>
      <c r="N752" s="18"/>
    </row>
    <row r="753" spans="1:14" ht="15" hidden="1" x14ac:dyDescent="0.2">
      <c r="A753" s="30" t="s">
        <v>1153</v>
      </c>
      <c r="B753" s="8" t="s">
        <v>2579</v>
      </c>
      <c r="C753" s="8" t="s">
        <v>1154</v>
      </c>
      <c r="D753" s="9" t="s">
        <v>1141</v>
      </c>
      <c r="E753" s="9" t="s">
        <v>2388</v>
      </c>
      <c r="F753" s="10" t="s">
        <v>2961</v>
      </c>
      <c r="G753" s="9" t="s">
        <v>2414</v>
      </c>
      <c r="H753" s="48" t="s">
        <v>2571</v>
      </c>
      <c r="I753" s="49" t="s">
        <v>2412</v>
      </c>
      <c r="J753" s="49" t="s">
        <v>2412</v>
      </c>
      <c r="K753" s="16">
        <v>1</v>
      </c>
      <c r="L753" s="3" t="s">
        <v>2556</v>
      </c>
      <c r="M753" s="17">
        <f>INDEX(Validade!H:H,MATCH('Controle de Validade'!A753,Validade!C:C,0))</f>
        <v>0</v>
      </c>
      <c r="N753" s="18"/>
    </row>
    <row r="754" spans="1:14" ht="15" hidden="1" x14ac:dyDescent="0.2">
      <c r="A754" s="30" t="s">
        <v>1156</v>
      </c>
      <c r="B754" s="8" t="s">
        <v>2579</v>
      </c>
      <c r="C754" s="8" t="s">
        <v>1157</v>
      </c>
      <c r="D754" s="9" t="s">
        <v>1141</v>
      </c>
      <c r="E754" s="9" t="s">
        <v>2388</v>
      </c>
      <c r="F754" s="10" t="s">
        <v>2961</v>
      </c>
      <c r="G754" s="9" t="s">
        <v>2414</v>
      </c>
      <c r="H754" s="48" t="s">
        <v>2571</v>
      </c>
      <c r="I754" s="49" t="s">
        <v>2412</v>
      </c>
      <c r="J754" s="49" t="s">
        <v>2412</v>
      </c>
      <c r="K754" s="16">
        <v>1</v>
      </c>
      <c r="L754" s="3" t="s">
        <v>2556</v>
      </c>
      <c r="M754" s="17">
        <f>INDEX(Validade!H:H,MATCH('Controle de Validade'!A754,Validade!C:C,0))</f>
        <v>0</v>
      </c>
      <c r="N754" s="18"/>
    </row>
    <row r="755" spans="1:14" ht="15" hidden="1" x14ac:dyDescent="0.2">
      <c r="A755" s="30" t="s">
        <v>1671</v>
      </c>
      <c r="B755" s="8" t="s">
        <v>2579</v>
      </c>
      <c r="C755" s="8" t="s">
        <v>1672</v>
      </c>
      <c r="D755" s="9" t="s">
        <v>41</v>
      </c>
      <c r="E755" s="9" t="s">
        <v>2388</v>
      </c>
      <c r="F755" s="10" t="s">
        <v>2961</v>
      </c>
      <c r="G755" s="9" t="s">
        <v>2429</v>
      </c>
      <c r="H755" s="16" t="s">
        <v>2570</v>
      </c>
      <c r="I755" s="32" t="s">
        <v>2993</v>
      </c>
      <c r="J755" s="26" t="s">
        <v>2994</v>
      </c>
      <c r="K755" s="16">
        <v>1</v>
      </c>
      <c r="L755" s="3" t="s">
        <v>2556</v>
      </c>
      <c r="M755" s="17">
        <f>INDEX(Validade!H:H,MATCH('Controle de Validade'!A755,Validade!C:C,0))</f>
        <v>45987</v>
      </c>
      <c r="N755" s="18"/>
    </row>
    <row r="756" spans="1:14" ht="15" hidden="1" x14ac:dyDescent="0.2">
      <c r="A756" s="30" t="s">
        <v>1148</v>
      </c>
      <c r="B756" s="8" t="s">
        <v>2579</v>
      </c>
      <c r="C756" s="8" t="s">
        <v>1149</v>
      </c>
      <c r="D756" s="9" t="s">
        <v>28</v>
      </c>
      <c r="E756" s="9" t="s">
        <v>2388</v>
      </c>
      <c r="F756" s="10" t="s">
        <v>2387</v>
      </c>
      <c r="G756" s="9" t="s">
        <v>2471</v>
      </c>
      <c r="H756" s="16" t="s">
        <v>2570</v>
      </c>
      <c r="I756" s="38" t="s">
        <v>3187</v>
      </c>
      <c r="J756" s="39" t="s">
        <v>2948</v>
      </c>
      <c r="K756" s="16">
        <v>1</v>
      </c>
      <c r="L756" s="3" t="s">
        <v>2556</v>
      </c>
      <c r="M756" s="17">
        <f>INDEX(Validade!H:H,MATCH('Controle de Validade'!A756,Validade!C:C,0))</f>
        <v>47264</v>
      </c>
      <c r="N756" s="18"/>
    </row>
    <row r="757" spans="1:14" ht="15" hidden="1" x14ac:dyDescent="0.2">
      <c r="A757" s="30" t="s">
        <v>1145</v>
      </c>
      <c r="B757" s="8" t="s">
        <v>2579</v>
      </c>
      <c r="C757" s="8" t="s">
        <v>1146</v>
      </c>
      <c r="D757" s="9" t="s">
        <v>28</v>
      </c>
      <c r="E757" s="9" t="s">
        <v>2388</v>
      </c>
      <c r="F757" s="10" t="s">
        <v>2387</v>
      </c>
      <c r="G757" s="9" t="s">
        <v>2471</v>
      </c>
      <c r="H757" s="16" t="s">
        <v>2570</v>
      </c>
      <c r="I757" s="38" t="s">
        <v>3187</v>
      </c>
      <c r="J757" s="39" t="s">
        <v>2948</v>
      </c>
      <c r="K757" s="16">
        <v>1</v>
      </c>
      <c r="L757" s="3" t="s">
        <v>2556</v>
      </c>
      <c r="M757" s="17">
        <f>INDEX(Validade!H:H,MATCH('Controle de Validade'!A757,Validade!C:C,0))</f>
        <v>47265</v>
      </c>
      <c r="N757" s="18"/>
    </row>
    <row r="758" spans="1:14" ht="15" hidden="1" x14ac:dyDescent="0.2">
      <c r="A758" s="30" t="s">
        <v>292</v>
      </c>
      <c r="B758" s="8" t="s">
        <v>2579</v>
      </c>
      <c r="C758" s="8" t="s">
        <v>293</v>
      </c>
      <c r="D758" s="9" t="s">
        <v>15</v>
      </c>
      <c r="E758" s="9" t="s">
        <v>2388</v>
      </c>
      <c r="F758" s="10" t="s">
        <v>2387</v>
      </c>
      <c r="G758" s="9" t="s">
        <v>2479</v>
      </c>
      <c r="H758" s="16" t="s">
        <v>2571</v>
      </c>
      <c r="I758" s="53" t="s">
        <v>2412</v>
      </c>
      <c r="J758" s="25" t="s">
        <v>2412</v>
      </c>
      <c r="K758" s="16">
        <v>0</v>
      </c>
      <c r="L758" s="3" t="s">
        <v>2556</v>
      </c>
      <c r="M758" s="17">
        <f>INDEX(Validade!H:H,MATCH('Controle de Validade'!A758,Validade!C:C,0))</f>
        <v>62458</v>
      </c>
      <c r="N758" s="18"/>
    </row>
    <row r="759" spans="1:14" ht="15" hidden="1" x14ac:dyDescent="0.2">
      <c r="A759" s="30" t="s">
        <v>2254</v>
      </c>
      <c r="B759" s="8" t="s">
        <v>2579</v>
      </c>
      <c r="C759" s="8" t="s">
        <v>2863</v>
      </c>
      <c r="D759" s="9" t="s">
        <v>15</v>
      </c>
      <c r="E759" s="9" t="s">
        <v>2388</v>
      </c>
      <c r="F759" s="10" t="s">
        <v>2387</v>
      </c>
      <c r="G759" s="9" t="s">
        <v>2479</v>
      </c>
      <c r="H759" s="16" t="s">
        <v>2571</v>
      </c>
      <c r="I759" s="53" t="s">
        <v>2412</v>
      </c>
      <c r="J759" s="25" t="s">
        <v>2412</v>
      </c>
      <c r="K759" s="16">
        <v>0</v>
      </c>
      <c r="L759" s="3" t="s">
        <v>2556</v>
      </c>
      <c r="M759" s="17" t="e">
        <f>INDEX(Validade!H:H,MATCH('Controle de Validade'!A759,Validade!C:C,0))</f>
        <v>#N/A</v>
      </c>
      <c r="N759" s="18"/>
    </row>
    <row r="760" spans="1:14" ht="15" hidden="1" x14ac:dyDescent="0.2">
      <c r="A760" s="28" t="s">
        <v>2307</v>
      </c>
      <c r="B760" s="8" t="s">
        <v>2579</v>
      </c>
      <c r="C760" s="8" t="s">
        <v>2864</v>
      </c>
      <c r="D760" s="9" t="s">
        <v>2547</v>
      </c>
      <c r="E760" s="9" t="s">
        <v>2388</v>
      </c>
      <c r="F760" s="10" t="s">
        <v>2387</v>
      </c>
      <c r="G760" s="9" t="s">
        <v>2456</v>
      </c>
      <c r="H760" s="22" t="s">
        <v>2570</v>
      </c>
      <c r="I760" s="53" t="s">
        <v>2412</v>
      </c>
      <c r="J760" s="53" t="s">
        <v>2412</v>
      </c>
      <c r="K760" s="16">
        <v>1</v>
      </c>
      <c r="L760" s="3" t="s">
        <v>2556</v>
      </c>
      <c r="M760" s="17" t="e">
        <f>INDEX(Validade!H:H,MATCH('Controle de Validade'!A760,Validade!C:C,0))</f>
        <v>#N/A</v>
      </c>
      <c r="N760" s="23" t="s">
        <v>2578</v>
      </c>
    </row>
    <row r="761" spans="1:14" ht="15" hidden="1" x14ac:dyDescent="0.2">
      <c r="A761" s="30" t="s">
        <v>340</v>
      </c>
      <c r="B761" s="8" t="s">
        <v>2579</v>
      </c>
      <c r="C761" s="8" t="s">
        <v>341</v>
      </c>
      <c r="D761" s="9" t="s">
        <v>2548</v>
      </c>
      <c r="E761" s="9" t="s">
        <v>2388</v>
      </c>
      <c r="F761" s="10" t="s">
        <v>2392</v>
      </c>
      <c r="G761" s="9" t="s">
        <v>2463</v>
      </c>
      <c r="H761" s="16" t="s">
        <v>2571</v>
      </c>
      <c r="I761" s="53" t="s">
        <v>2412</v>
      </c>
      <c r="J761" s="25" t="s">
        <v>2412</v>
      </c>
      <c r="K761" s="16">
        <v>0</v>
      </c>
      <c r="L761" s="3" t="s">
        <v>2556</v>
      </c>
      <c r="M761" s="17">
        <f>INDEX(Validade!H:H,MATCH('Controle de Validade'!A761,Validade!C:C,0))</f>
        <v>0</v>
      </c>
      <c r="N761" s="18"/>
    </row>
    <row r="762" spans="1:14" ht="15" hidden="1" x14ac:dyDescent="0.2">
      <c r="A762" s="30" t="s">
        <v>343</v>
      </c>
      <c r="B762" s="8" t="s">
        <v>2579</v>
      </c>
      <c r="C762" s="8" t="s">
        <v>344</v>
      </c>
      <c r="D762" s="9" t="s">
        <v>2487</v>
      </c>
      <c r="E762" s="9" t="s">
        <v>2388</v>
      </c>
      <c r="F762" s="10" t="s">
        <v>2392</v>
      </c>
      <c r="G762" s="9" t="s">
        <v>2463</v>
      </c>
      <c r="H762" s="16" t="s">
        <v>2571</v>
      </c>
      <c r="I762" s="53" t="s">
        <v>2412</v>
      </c>
      <c r="J762" s="25" t="s">
        <v>2412</v>
      </c>
      <c r="K762" s="16">
        <v>0</v>
      </c>
      <c r="L762" s="3" t="s">
        <v>2556</v>
      </c>
      <c r="M762" s="17">
        <f>INDEX(Validade!H:H,MATCH('Controle de Validade'!A762,Validade!C:C,0))</f>
        <v>0</v>
      </c>
      <c r="N762" s="18"/>
    </row>
    <row r="763" spans="1:14" ht="15" hidden="1" x14ac:dyDescent="0.2">
      <c r="A763" s="30" t="s">
        <v>870</v>
      </c>
      <c r="B763" s="8" t="s">
        <v>2579</v>
      </c>
      <c r="C763" s="8" t="s">
        <v>871</v>
      </c>
      <c r="D763" s="9" t="s">
        <v>144</v>
      </c>
      <c r="E763" s="9" t="s">
        <v>2388</v>
      </c>
      <c r="F763" s="10" t="s">
        <v>2392</v>
      </c>
      <c r="G763" s="9" t="s">
        <v>2431</v>
      </c>
      <c r="H763" s="16" t="s">
        <v>2571</v>
      </c>
      <c r="I763" s="53" t="s">
        <v>2412</v>
      </c>
      <c r="J763" s="25" t="s">
        <v>2412</v>
      </c>
      <c r="K763" s="16">
        <v>0</v>
      </c>
      <c r="L763" s="3" t="s">
        <v>2556</v>
      </c>
      <c r="M763" s="17">
        <f>INDEX(Validade!H:H,MATCH('Controle de Validade'!A763,Validade!C:C,0))</f>
        <v>0</v>
      </c>
      <c r="N763" s="18"/>
    </row>
    <row r="764" spans="1:14" ht="15" hidden="1" x14ac:dyDescent="0.2">
      <c r="A764" s="30" t="s">
        <v>2022</v>
      </c>
      <c r="B764" s="8" t="s">
        <v>2579</v>
      </c>
      <c r="C764" s="8" t="s">
        <v>2865</v>
      </c>
      <c r="D764" s="9" t="s">
        <v>2462</v>
      </c>
      <c r="E764" s="9" t="s">
        <v>2388</v>
      </c>
      <c r="F764" s="10" t="s">
        <v>2961</v>
      </c>
      <c r="G764" s="9" t="s">
        <v>2446</v>
      </c>
      <c r="H764" s="16" t="s">
        <v>2571</v>
      </c>
      <c r="I764" s="53" t="s">
        <v>2412</v>
      </c>
      <c r="J764" s="25" t="s">
        <v>2412</v>
      </c>
      <c r="K764" s="16">
        <v>1</v>
      </c>
      <c r="L764" s="3" t="s">
        <v>2558</v>
      </c>
      <c r="M764" s="17" t="e">
        <f>INDEX(Validade!H:H,MATCH('Controle de Validade'!A764,Validade!C:C,0))</f>
        <v>#N/A</v>
      </c>
      <c r="N764" s="18" t="s">
        <v>2576</v>
      </c>
    </row>
    <row r="765" spans="1:14" ht="15" hidden="1" x14ac:dyDescent="0.2">
      <c r="A765" s="30" t="s">
        <v>1151</v>
      </c>
      <c r="B765" s="8" t="s">
        <v>2579</v>
      </c>
      <c r="C765" s="8" t="s">
        <v>1152</v>
      </c>
      <c r="D765" s="9" t="s">
        <v>1131</v>
      </c>
      <c r="E765" s="9" t="s">
        <v>2388</v>
      </c>
      <c r="F765" s="10" t="s">
        <v>2387</v>
      </c>
      <c r="G765" s="9" t="s">
        <v>2414</v>
      </c>
      <c r="H765" s="16" t="s">
        <v>2570</v>
      </c>
      <c r="I765" s="62" t="s">
        <v>2993</v>
      </c>
      <c r="J765" s="47" t="s">
        <v>2412</v>
      </c>
      <c r="K765" s="16">
        <v>1</v>
      </c>
      <c r="L765" s="3" t="s">
        <v>2556</v>
      </c>
      <c r="M765" s="17">
        <f>INDEX(Validade!H:H,MATCH('Controle de Validade'!A765,Validade!C:C,0))</f>
        <v>0</v>
      </c>
      <c r="N765" s="18" t="s">
        <v>2575</v>
      </c>
    </row>
    <row r="766" spans="1:14" ht="15" hidden="1" x14ac:dyDescent="0.2">
      <c r="A766" s="30" t="s">
        <v>2303</v>
      </c>
      <c r="B766" s="8" t="s">
        <v>2579</v>
      </c>
      <c r="C766" s="8" t="s">
        <v>2866</v>
      </c>
      <c r="D766" s="9" t="s">
        <v>2475</v>
      </c>
      <c r="E766" s="9" t="s">
        <v>2393</v>
      </c>
      <c r="F766" s="10" t="s">
        <v>2387</v>
      </c>
      <c r="G766" s="9" t="s">
        <v>2456</v>
      </c>
      <c r="H766" s="20" t="s">
        <v>2571</v>
      </c>
      <c r="I766" s="53" t="s">
        <v>2412</v>
      </c>
      <c r="J766" s="25" t="s">
        <v>2412</v>
      </c>
      <c r="K766" s="16">
        <v>0</v>
      </c>
      <c r="L766" s="3" t="s">
        <v>2556</v>
      </c>
      <c r="M766" s="17" t="e">
        <f>INDEX(Validade!H:H,MATCH('Controle de Validade'!A766,Validade!C:C,0))</f>
        <v>#N/A</v>
      </c>
      <c r="N766" s="18"/>
    </row>
    <row r="767" spans="1:14" ht="15" hidden="1" x14ac:dyDescent="0.2">
      <c r="A767" s="30" t="s">
        <v>2306</v>
      </c>
      <c r="B767" s="8" t="s">
        <v>2579</v>
      </c>
      <c r="C767" s="8" t="s">
        <v>2867</v>
      </c>
      <c r="D767" s="9" t="s">
        <v>2475</v>
      </c>
      <c r="E767" s="9" t="s">
        <v>2393</v>
      </c>
      <c r="F767" s="10" t="s">
        <v>2387</v>
      </c>
      <c r="G767" s="9" t="s">
        <v>2456</v>
      </c>
      <c r="H767" s="20" t="s">
        <v>2571</v>
      </c>
      <c r="I767" s="53" t="s">
        <v>2412</v>
      </c>
      <c r="J767" s="25" t="s">
        <v>2412</v>
      </c>
      <c r="K767" s="16">
        <v>0</v>
      </c>
      <c r="L767" s="3" t="s">
        <v>2556</v>
      </c>
      <c r="M767" s="17" t="e">
        <f>INDEX(Validade!H:H,MATCH('Controle de Validade'!A767,Validade!C:C,0))</f>
        <v>#N/A</v>
      </c>
      <c r="N767" s="18"/>
    </row>
    <row r="768" spans="1:14" ht="15" hidden="1" x14ac:dyDescent="0.2">
      <c r="A768" s="30" t="s">
        <v>2175</v>
      </c>
      <c r="B768" s="8" t="s">
        <v>2579</v>
      </c>
      <c r="C768" s="8" t="s">
        <v>2868</v>
      </c>
      <c r="D768" s="9" t="s">
        <v>749</v>
      </c>
      <c r="E768" s="9" t="s">
        <v>2393</v>
      </c>
      <c r="F768" s="10" t="s">
        <v>2387</v>
      </c>
      <c r="G768" s="9" t="s">
        <v>2456</v>
      </c>
      <c r="H768" s="20" t="s">
        <v>2571</v>
      </c>
      <c r="I768" s="53" t="s">
        <v>2412</v>
      </c>
      <c r="J768" s="25" t="s">
        <v>2412</v>
      </c>
      <c r="K768" s="16">
        <v>0</v>
      </c>
      <c r="L768" s="3" t="s">
        <v>2556</v>
      </c>
      <c r="M768" s="17" t="e">
        <f>INDEX(Validade!H:H,MATCH('Controle de Validade'!A768,Validade!C:C,0))</f>
        <v>#N/A</v>
      </c>
      <c r="N768" s="18"/>
    </row>
    <row r="769" spans="1:14" ht="15" hidden="1" x14ac:dyDescent="0.2">
      <c r="A769" s="30" t="s">
        <v>2176</v>
      </c>
      <c r="B769" s="8" t="s">
        <v>2579</v>
      </c>
      <c r="C769" s="8" t="s">
        <v>2869</v>
      </c>
      <c r="D769" s="9" t="s">
        <v>2475</v>
      </c>
      <c r="E769" s="9" t="s">
        <v>2393</v>
      </c>
      <c r="F769" s="10" t="s">
        <v>2387</v>
      </c>
      <c r="G769" s="9" t="s">
        <v>2456</v>
      </c>
      <c r="H769" s="20" t="s">
        <v>2571</v>
      </c>
      <c r="I769" s="53" t="s">
        <v>2412</v>
      </c>
      <c r="J769" s="25" t="s">
        <v>2412</v>
      </c>
      <c r="K769" s="16">
        <v>0</v>
      </c>
      <c r="L769" s="3" t="s">
        <v>2556</v>
      </c>
      <c r="M769" s="17" t="e">
        <f>INDEX(Validade!H:H,MATCH('Controle de Validade'!A769,Validade!C:C,0))</f>
        <v>#N/A</v>
      </c>
      <c r="N769" s="18"/>
    </row>
    <row r="770" spans="1:14" ht="15" hidden="1" x14ac:dyDescent="0.2">
      <c r="A770" s="30" t="s">
        <v>2357</v>
      </c>
      <c r="B770" s="8" t="s">
        <v>2579</v>
      </c>
      <c r="C770" s="8" t="s">
        <v>2870</v>
      </c>
      <c r="D770" s="9" t="s">
        <v>2475</v>
      </c>
      <c r="E770" s="9" t="s">
        <v>2393</v>
      </c>
      <c r="F770" s="10" t="s">
        <v>2387</v>
      </c>
      <c r="G770" s="9" t="s">
        <v>2456</v>
      </c>
      <c r="H770" s="20" t="s">
        <v>2571</v>
      </c>
      <c r="I770" s="53" t="s">
        <v>2412</v>
      </c>
      <c r="J770" s="25" t="s">
        <v>2412</v>
      </c>
      <c r="K770" s="16">
        <v>0</v>
      </c>
      <c r="L770" s="3" t="s">
        <v>2556</v>
      </c>
      <c r="M770" s="17" t="e">
        <f>INDEX(Validade!H:H,MATCH('Controle de Validade'!A770,Validade!C:C,0))</f>
        <v>#N/A</v>
      </c>
      <c r="N770" s="18"/>
    </row>
    <row r="771" spans="1:14" ht="15" hidden="1" x14ac:dyDescent="0.2">
      <c r="A771" s="30" t="s">
        <v>2174</v>
      </c>
      <c r="B771" s="8" t="s">
        <v>2579</v>
      </c>
      <c r="C771" s="8" t="s">
        <v>2871</v>
      </c>
      <c r="D771" s="9" t="s">
        <v>2475</v>
      </c>
      <c r="E771" s="9" t="s">
        <v>2393</v>
      </c>
      <c r="F771" s="10" t="s">
        <v>2387</v>
      </c>
      <c r="G771" s="9" t="s">
        <v>2456</v>
      </c>
      <c r="H771" s="20" t="s">
        <v>2571</v>
      </c>
      <c r="I771" s="53" t="s">
        <v>2412</v>
      </c>
      <c r="J771" s="25" t="s">
        <v>2412</v>
      </c>
      <c r="K771" s="16">
        <v>0</v>
      </c>
      <c r="L771" s="3" t="s">
        <v>2556</v>
      </c>
      <c r="M771" s="17" t="e">
        <f>INDEX(Validade!H:H,MATCH('Controle de Validade'!A771,Validade!C:C,0))</f>
        <v>#N/A</v>
      </c>
      <c r="N771" s="18"/>
    </row>
    <row r="772" spans="1:14" ht="15" hidden="1" x14ac:dyDescent="0.2">
      <c r="A772" s="30" t="s">
        <v>2173</v>
      </c>
      <c r="B772" s="8" t="s">
        <v>2579</v>
      </c>
      <c r="C772" s="8" t="s">
        <v>2872</v>
      </c>
      <c r="D772" s="9" t="s">
        <v>749</v>
      </c>
      <c r="E772" s="9" t="s">
        <v>2393</v>
      </c>
      <c r="F772" s="10" t="s">
        <v>2387</v>
      </c>
      <c r="G772" s="9" t="s">
        <v>2456</v>
      </c>
      <c r="H772" s="20" t="s">
        <v>2571</v>
      </c>
      <c r="I772" s="53" t="s">
        <v>2412</v>
      </c>
      <c r="J772" s="25" t="s">
        <v>2412</v>
      </c>
      <c r="K772" s="16">
        <v>0</v>
      </c>
      <c r="L772" s="3" t="s">
        <v>2556</v>
      </c>
      <c r="M772" s="17" t="e">
        <f>INDEX(Validade!H:H,MATCH('Controle de Validade'!A772,Validade!C:C,0))</f>
        <v>#N/A</v>
      </c>
      <c r="N772" s="18"/>
    </row>
    <row r="773" spans="1:14" ht="15" hidden="1" x14ac:dyDescent="0.2">
      <c r="A773" s="30" t="s">
        <v>2030</v>
      </c>
      <c r="B773" s="8" t="s">
        <v>2579</v>
      </c>
      <c r="C773" s="8" t="s">
        <v>2873</v>
      </c>
      <c r="D773" s="9" t="s">
        <v>2465</v>
      </c>
      <c r="E773" s="9" t="s">
        <v>2388</v>
      </c>
      <c r="F773" s="10" t="s">
        <v>2392</v>
      </c>
      <c r="G773" s="9" t="s">
        <v>2463</v>
      </c>
      <c r="H773" s="16" t="s">
        <v>2571</v>
      </c>
      <c r="I773" s="53" t="s">
        <v>2412</v>
      </c>
      <c r="J773" s="25" t="s">
        <v>2412</v>
      </c>
      <c r="K773" s="16">
        <v>0</v>
      </c>
      <c r="L773" s="3" t="s">
        <v>2556</v>
      </c>
      <c r="M773" s="17" t="e">
        <f>INDEX(Validade!H:H,MATCH('Controle de Validade'!A773,Validade!C:C,0))</f>
        <v>#N/A</v>
      </c>
      <c r="N773" s="18"/>
    </row>
    <row r="774" spans="1:14" ht="15" hidden="1" x14ac:dyDescent="0.2">
      <c r="A774" s="30" t="s">
        <v>2029</v>
      </c>
      <c r="B774" s="8" t="s">
        <v>2579</v>
      </c>
      <c r="C774" s="8" t="s">
        <v>2874</v>
      </c>
      <c r="D774" s="9" t="s">
        <v>2465</v>
      </c>
      <c r="E774" s="9" t="s">
        <v>2388</v>
      </c>
      <c r="F774" s="10" t="s">
        <v>2392</v>
      </c>
      <c r="G774" s="9" t="s">
        <v>2463</v>
      </c>
      <c r="H774" s="16" t="s">
        <v>2571</v>
      </c>
      <c r="I774" s="53" t="s">
        <v>2412</v>
      </c>
      <c r="J774" s="25" t="s">
        <v>2412</v>
      </c>
      <c r="K774" s="16">
        <v>0</v>
      </c>
      <c r="L774" s="3" t="s">
        <v>2556</v>
      </c>
      <c r="M774" s="17" t="e">
        <f>INDEX(Validade!H:H,MATCH('Controle de Validade'!A774,Validade!C:C,0))</f>
        <v>#N/A</v>
      </c>
      <c r="N774" s="18"/>
    </row>
    <row r="775" spans="1:14" ht="15" hidden="1" x14ac:dyDescent="0.2">
      <c r="A775" s="30" t="s">
        <v>2211</v>
      </c>
      <c r="B775" s="8" t="s">
        <v>2579</v>
      </c>
      <c r="C775" s="8" t="s">
        <v>2875</v>
      </c>
      <c r="D775" s="9">
        <v>0</v>
      </c>
      <c r="E775" s="9" t="s">
        <v>2393</v>
      </c>
      <c r="F775" s="10" t="s">
        <v>2392</v>
      </c>
      <c r="G775" s="9" t="s">
        <v>2394</v>
      </c>
      <c r="H775" s="16" t="s">
        <v>2571</v>
      </c>
      <c r="I775" s="53" t="s">
        <v>2412</v>
      </c>
      <c r="J775" s="25" t="s">
        <v>2412</v>
      </c>
      <c r="K775" s="16">
        <v>0</v>
      </c>
      <c r="L775" s="3" t="s">
        <v>2556</v>
      </c>
      <c r="M775" s="17" t="e">
        <f>INDEX(Validade!H:H,MATCH('Controle de Validade'!A775,Validade!C:C,0))</f>
        <v>#N/A</v>
      </c>
      <c r="N775" s="18"/>
    </row>
    <row r="776" spans="1:14" ht="15" hidden="1" x14ac:dyDescent="0.2">
      <c r="A776" s="30" t="s">
        <v>2270</v>
      </c>
      <c r="B776" s="8" t="s">
        <v>2581</v>
      </c>
      <c r="C776" s="8" t="s">
        <v>2876</v>
      </c>
      <c r="D776" s="9">
        <v>0</v>
      </c>
      <c r="E776" s="9" t="s">
        <v>2393</v>
      </c>
      <c r="F776" s="10" t="s">
        <v>2392</v>
      </c>
      <c r="G776" s="9" t="s">
        <v>2394</v>
      </c>
      <c r="H776" s="16" t="s">
        <v>2571</v>
      </c>
      <c r="I776" s="53" t="s">
        <v>2412</v>
      </c>
      <c r="J776" s="25" t="s">
        <v>2412</v>
      </c>
      <c r="K776" s="16">
        <v>0</v>
      </c>
      <c r="L776" s="3" t="s">
        <v>2556</v>
      </c>
      <c r="M776" s="17" t="e">
        <f>INDEX(Validade!H:H,MATCH('Controle de Validade'!A776,Validade!C:C,0))</f>
        <v>#N/A</v>
      </c>
      <c r="N776" s="18"/>
    </row>
    <row r="777" spans="1:14" ht="15" hidden="1" x14ac:dyDescent="0.2">
      <c r="A777" s="28" t="s">
        <v>2143</v>
      </c>
      <c r="B777" s="8" t="s">
        <v>2579</v>
      </c>
      <c r="C777" s="8" t="s">
        <v>2877</v>
      </c>
      <c r="D777" s="9">
        <v>0</v>
      </c>
      <c r="E777" s="9" t="s">
        <v>2388</v>
      </c>
      <c r="F777" s="10" t="s">
        <v>2961</v>
      </c>
      <c r="G777" s="9" t="s">
        <v>2429</v>
      </c>
      <c r="H777" s="16" t="s">
        <v>2570</v>
      </c>
      <c r="I777" s="39"/>
      <c r="J777" s="39"/>
      <c r="K777" s="16">
        <v>1</v>
      </c>
      <c r="L777" s="3" t="s">
        <v>2556</v>
      </c>
      <c r="M777" s="17" t="e">
        <f>INDEX(Validade!H:H,MATCH('Controle de Validade'!A777,Validade!C:C,0))</f>
        <v>#N/A</v>
      </c>
      <c r="N777" s="18"/>
    </row>
    <row r="778" spans="1:14" ht="15" hidden="1" x14ac:dyDescent="0.2">
      <c r="A778" s="30" t="s">
        <v>2257</v>
      </c>
      <c r="B778" s="8" t="s">
        <v>2583</v>
      </c>
      <c r="C778" s="8" t="s">
        <v>2878</v>
      </c>
      <c r="D778" s="9" t="s">
        <v>2551</v>
      </c>
      <c r="E778" s="9" t="s">
        <v>2388</v>
      </c>
      <c r="F778" s="10" t="s">
        <v>2392</v>
      </c>
      <c r="G778" s="9" t="s">
        <v>2506</v>
      </c>
      <c r="H778" s="16" t="s">
        <v>2570</v>
      </c>
      <c r="I778" s="47" t="s">
        <v>3195</v>
      </c>
      <c r="J778" s="47" t="s">
        <v>2412</v>
      </c>
      <c r="K778" s="16">
        <v>1</v>
      </c>
      <c r="L778" s="3" t="s">
        <v>2556</v>
      </c>
      <c r="M778" s="17" t="e">
        <f>INDEX(Validade!H:H,MATCH('Controle de Validade'!A778,Validade!C:C,0))</f>
        <v>#N/A</v>
      </c>
      <c r="N778" s="18" t="s">
        <v>2576</v>
      </c>
    </row>
    <row r="779" spans="1:14" ht="15" hidden="1" x14ac:dyDescent="0.2">
      <c r="A779" s="30" t="s">
        <v>2256</v>
      </c>
      <c r="B779" s="8" t="s">
        <v>2583</v>
      </c>
      <c r="C779" s="8" t="s">
        <v>2879</v>
      </c>
      <c r="D779" s="9" t="s">
        <v>2551</v>
      </c>
      <c r="E779" s="9" t="s">
        <v>2388</v>
      </c>
      <c r="F779" s="10" t="s">
        <v>2392</v>
      </c>
      <c r="G779" s="9" t="s">
        <v>2506</v>
      </c>
      <c r="H779" s="16" t="s">
        <v>2570</v>
      </c>
      <c r="I779" s="47" t="s">
        <v>3195</v>
      </c>
      <c r="J779" s="47" t="s">
        <v>2412</v>
      </c>
      <c r="K779" s="16">
        <v>1</v>
      </c>
      <c r="L779" s="3" t="s">
        <v>2556</v>
      </c>
      <c r="M779" s="17" t="e">
        <f>INDEX(Validade!H:H,MATCH('Controle de Validade'!A779,Validade!C:C,0))</f>
        <v>#N/A</v>
      </c>
      <c r="N779" s="18"/>
    </row>
    <row r="780" spans="1:14" ht="15" hidden="1" x14ac:dyDescent="0.2">
      <c r="A780" s="30" t="s">
        <v>2258</v>
      </c>
      <c r="B780" s="8" t="s">
        <v>2583</v>
      </c>
      <c r="C780" s="8" t="s">
        <v>2880</v>
      </c>
      <c r="D780" s="9" t="s">
        <v>2551</v>
      </c>
      <c r="E780" s="9" t="s">
        <v>2388</v>
      </c>
      <c r="F780" s="10" t="s">
        <v>2392</v>
      </c>
      <c r="G780" s="9" t="s">
        <v>2506</v>
      </c>
      <c r="H780" s="16" t="s">
        <v>2570</v>
      </c>
      <c r="I780" s="47" t="s">
        <v>3195</v>
      </c>
      <c r="J780" s="47" t="s">
        <v>2412</v>
      </c>
      <c r="K780" s="16">
        <v>1</v>
      </c>
      <c r="L780" s="3" t="s">
        <v>2556</v>
      </c>
      <c r="M780" s="17" t="e">
        <f>INDEX(Validade!H:H,MATCH('Controle de Validade'!A780,Validade!C:C,0))</f>
        <v>#N/A</v>
      </c>
      <c r="N780" s="18"/>
    </row>
    <row r="781" spans="1:14" ht="15" hidden="1" x14ac:dyDescent="0.2">
      <c r="A781" s="30" t="s">
        <v>2264</v>
      </c>
      <c r="B781" s="8" t="s">
        <v>2583</v>
      </c>
      <c r="C781" s="8" t="s">
        <v>2881</v>
      </c>
      <c r="D781" s="9" t="s">
        <v>2551</v>
      </c>
      <c r="E781" s="9" t="s">
        <v>2388</v>
      </c>
      <c r="F781" s="10" t="s">
        <v>2392</v>
      </c>
      <c r="G781" s="9" t="s">
        <v>2506</v>
      </c>
      <c r="H781" s="16" t="s">
        <v>2570</v>
      </c>
      <c r="I781" s="47" t="s">
        <v>3195</v>
      </c>
      <c r="J781" s="47" t="s">
        <v>2412</v>
      </c>
      <c r="K781" s="16">
        <v>1</v>
      </c>
      <c r="L781" s="3" t="s">
        <v>2556</v>
      </c>
      <c r="M781" s="17" t="e">
        <f>INDEX(Validade!H:H,MATCH('Controle de Validade'!A781,Validade!C:C,0))</f>
        <v>#N/A</v>
      </c>
      <c r="N781" s="18"/>
    </row>
    <row r="782" spans="1:14" ht="15" hidden="1" x14ac:dyDescent="0.2">
      <c r="A782" s="30" t="s">
        <v>2263</v>
      </c>
      <c r="B782" s="8" t="s">
        <v>2583</v>
      </c>
      <c r="C782" s="8" t="s">
        <v>2882</v>
      </c>
      <c r="D782" s="9" t="s">
        <v>2551</v>
      </c>
      <c r="E782" s="9" t="s">
        <v>2388</v>
      </c>
      <c r="F782" s="10" t="s">
        <v>2392</v>
      </c>
      <c r="G782" s="9" t="s">
        <v>2506</v>
      </c>
      <c r="H782" s="16" t="s">
        <v>2570</v>
      </c>
      <c r="I782" s="47" t="s">
        <v>3195</v>
      </c>
      <c r="J782" s="47" t="s">
        <v>2412</v>
      </c>
      <c r="K782" s="16">
        <v>1</v>
      </c>
      <c r="L782" s="3" t="s">
        <v>2556</v>
      </c>
      <c r="M782" s="17" t="e">
        <f>INDEX(Validade!H:H,MATCH('Controle de Validade'!A782,Validade!C:C,0))</f>
        <v>#N/A</v>
      </c>
      <c r="N782" s="18"/>
    </row>
    <row r="783" spans="1:14" ht="15" hidden="1" x14ac:dyDescent="0.2">
      <c r="A783" s="30" t="s">
        <v>2262</v>
      </c>
      <c r="B783" s="8" t="s">
        <v>2583</v>
      </c>
      <c r="C783" s="8" t="s">
        <v>2883</v>
      </c>
      <c r="D783" s="9" t="s">
        <v>2551</v>
      </c>
      <c r="E783" s="9" t="s">
        <v>2388</v>
      </c>
      <c r="F783" s="10" t="s">
        <v>2392</v>
      </c>
      <c r="G783" s="9" t="s">
        <v>2506</v>
      </c>
      <c r="H783" s="16" t="s">
        <v>2570</v>
      </c>
      <c r="I783" s="47" t="s">
        <v>3195</v>
      </c>
      <c r="J783" s="47" t="s">
        <v>2412</v>
      </c>
      <c r="K783" s="16">
        <v>1</v>
      </c>
      <c r="L783" s="3" t="s">
        <v>2556</v>
      </c>
      <c r="M783" s="17" t="e">
        <f>INDEX(Validade!H:H,MATCH('Controle de Validade'!A783,Validade!C:C,0))</f>
        <v>#N/A</v>
      </c>
      <c r="N783" s="18"/>
    </row>
    <row r="784" spans="1:14" ht="15" hidden="1" x14ac:dyDescent="0.2">
      <c r="A784" s="30" t="s">
        <v>2259</v>
      </c>
      <c r="B784" s="8" t="s">
        <v>2583</v>
      </c>
      <c r="C784" s="8" t="s">
        <v>2884</v>
      </c>
      <c r="D784" s="9" t="s">
        <v>2551</v>
      </c>
      <c r="E784" s="9" t="s">
        <v>2388</v>
      </c>
      <c r="F784" s="10" t="s">
        <v>2392</v>
      </c>
      <c r="G784" s="9" t="s">
        <v>2506</v>
      </c>
      <c r="H784" s="16" t="s">
        <v>2570</v>
      </c>
      <c r="I784" s="47" t="s">
        <v>3195</v>
      </c>
      <c r="J784" s="47" t="s">
        <v>2412</v>
      </c>
      <c r="K784" s="16">
        <v>1</v>
      </c>
      <c r="L784" s="3" t="s">
        <v>2556</v>
      </c>
      <c r="M784" s="17" t="e">
        <f>INDEX(Validade!H:H,MATCH('Controle de Validade'!A784,Validade!C:C,0))</f>
        <v>#N/A</v>
      </c>
      <c r="N784" s="18"/>
    </row>
    <row r="785" spans="1:14" ht="15" hidden="1" x14ac:dyDescent="0.2">
      <c r="A785" s="30" t="s">
        <v>2226</v>
      </c>
      <c r="B785" s="8" t="s">
        <v>2583</v>
      </c>
      <c r="C785" s="8" t="s">
        <v>2885</v>
      </c>
      <c r="D785" s="9" t="s">
        <v>2551</v>
      </c>
      <c r="E785" s="9" t="s">
        <v>2388</v>
      </c>
      <c r="F785" s="10" t="s">
        <v>2392</v>
      </c>
      <c r="G785" s="9" t="s">
        <v>2506</v>
      </c>
      <c r="H785" s="16" t="s">
        <v>2570</v>
      </c>
      <c r="I785" s="47" t="s">
        <v>3195</v>
      </c>
      <c r="J785" s="47" t="s">
        <v>2412</v>
      </c>
      <c r="K785" s="16">
        <v>1</v>
      </c>
      <c r="L785" s="3" t="s">
        <v>2556</v>
      </c>
      <c r="M785" s="17" t="e">
        <f>INDEX(Validade!H:H,MATCH('Controle de Validade'!A785,Validade!C:C,0))</f>
        <v>#N/A</v>
      </c>
      <c r="N785" s="18"/>
    </row>
    <row r="786" spans="1:14" ht="15" hidden="1" x14ac:dyDescent="0.2">
      <c r="A786" s="30" t="s">
        <v>2261</v>
      </c>
      <c r="B786" s="8" t="s">
        <v>2583</v>
      </c>
      <c r="C786" s="8" t="s">
        <v>2886</v>
      </c>
      <c r="D786" s="9" t="s">
        <v>2551</v>
      </c>
      <c r="E786" s="9" t="s">
        <v>2388</v>
      </c>
      <c r="F786" s="10" t="s">
        <v>2392</v>
      </c>
      <c r="G786" s="9" t="s">
        <v>2506</v>
      </c>
      <c r="H786" s="16" t="s">
        <v>2570</v>
      </c>
      <c r="I786" s="47" t="s">
        <v>3195</v>
      </c>
      <c r="J786" s="47" t="s">
        <v>2412</v>
      </c>
      <c r="K786" s="16">
        <v>1</v>
      </c>
      <c r="L786" s="3" t="s">
        <v>2556</v>
      </c>
      <c r="M786" s="17" t="e">
        <f>INDEX(Validade!H:H,MATCH('Controle de Validade'!A786,Validade!C:C,0))</f>
        <v>#N/A</v>
      </c>
      <c r="N786" s="18"/>
    </row>
    <row r="787" spans="1:14" ht="15" hidden="1" x14ac:dyDescent="0.2">
      <c r="A787" s="30" t="s">
        <v>2260</v>
      </c>
      <c r="B787" s="8" t="s">
        <v>2583</v>
      </c>
      <c r="C787" s="8" t="s">
        <v>2887</v>
      </c>
      <c r="D787" s="9" t="s">
        <v>2551</v>
      </c>
      <c r="E787" s="9" t="s">
        <v>2388</v>
      </c>
      <c r="F787" s="10" t="s">
        <v>2392</v>
      </c>
      <c r="G787" s="9" t="s">
        <v>2506</v>
      </c>
      <c r="H787" s="16" t="s">
        <v>2570</v>
      </c>
      <c r="I787" s="47" t="s">
        <v>3195</v>
      </c>
      <c r="J787" s="47" t="s">
        <v>2412</v>
      </c>
      <c r="K787" s="16">
        <v>1</v>
      </c>
      <c r="L787" s="3" t="s">
        <v>2556</v>
      </c>
      <c r="M787" s="17" t="e">
        <f>INDEX(Validade!H:H,MATCH('Controle de Validade'!A787,Validade!C:C,0))</f>
        <v>#N/A</v>
      </c>
      <c r="N787" s="18"/>
    </row>
    <row r="788" spans="1:14" ht="15" hidden="1" x14ac:dyDescent="0.2">
      <c r="A788" s="30" t="s">
        <v>2230</v>
      </c>
      <c r="B788" s="8" t="s">
        <v>2583</v>
      </c>
      <c r="C788" s="8" t="s">
        <v>2888</v>
      </c>
      <c r="D788" s="9" t="s">
        <v>2551</v>
      </c>
      <c r="E788" s="9" t="s">
        <v>2388</v>
      </c>
      <c r="F788" s="10" t="s">
        <v>2392</v>
      </c>
      <c r="G788" s="9" t="s">
        <v>2506</v>
      </c>
      <c r="H788" s="16" t="s">
        <v>2570</v>
      </c>
      <c r="I788" s="47" t="s">
        <v>3197</v>
      </c>
      <c r="J788" s="47" t="s">
        <v>2412</v>
      </c>
      <c r="K788" s="16">
        <v>1</v>
      </c>
      <c r="L788" s="3" t="s">
        <v>2556</v>
      </c>
      <c r="M788" s="17" t="e">
        <f>INDEX(Validade!H:H,MATCH('Controle de Validade'!A788,Validade!C:C,0))</f>
        <v>#N/A</v>
      </c>
      <c r="N788" s="18"/>
    </row>
    <row r="789" spans="1:14" ht="15" hidden="1" x14ac:dyDescent="0.2">
      <c r="A789" s="30" t="s">
        <v>2232</v>
      </c>
      <c r="B789" s="8" t="s">
        <v>2889</v>
      </c>
      <c r="C789" s="8" t="s">
        <v>2890</v>
      </c>
      <c r="D789" s="9" t="s">
        <v>2551</v>
      </c>
      <c r="E789" s="9" t="s">
        <v>2388</v>
      </c>
      <c r="F789" s="10" t="s">
        <v>2392</v>
      </c>
      <c r="G789" s="9" t="s">
        <v>2506</v>
      </c>
      <c r="H789" s="16" t="s">
        <v>2570</v>
      </c>
      <c r="I789" s="47" t="s">
        <v>3196</v>
      </c>
      <c r="J789" s="47" t="s">
        <v>2412</v>
      </c>
      <c r="K789" s="16">
        <v>1</v>
      </c>
      <c r="L789" s="3" t="s">
        <v>2556</v>
      </c>
      <c r="M789" s="17" t="e">
        <f>INDEX(Validade!H:H,MATCH('Controle de Validade'!A789,Validade!C:C,0))</f>
        <v>#N/A</v>
      </c>
      <c r="N789" s="18"/>
    </row>
    <row r="790" spans="1:14" ht="15" hidden="1" x14ac:dyDescent="0.2">
      <c r="A790" s="30" t="s">
        <v>2233</v>
      </c>
      <c r="B790" s="8" t="s">
        <v>2889</v>
      </c>
      <c r="C790" s="8" t="s">
        <v>2891</v>
      </c>
      <c r="D790" s="9" t="s">
        <v>2551</v>
      </c>
      <c r="E790" s="9" t="s">
        <v>2388</v>
      </c>
      <c r="F790" s="10" t="s">
        <v>2392</v>
      </c>
      <c r="G790" s="9" t="s">
        <v>2506</v>
      </c>
      <c r="H790" s="16" t="s">
        <v>2570</v>
      </c>
      <c r="I790" s="47" t="s">
        <v>3196</v>
      </c>
      <c r="J790" s="47" t="s">
        <v>2412</v>
      </c>
      <c r="K790" s="16">
        <v>1</v>
      </c>
      <c r="L790" s="3" t="s">
        <v>2556</v>
      </c>
      <c r="M790" s="17" t="e">
        <f>INDEX(Validade!H:H,MATCH('Controle de Validade'!A790,Validade!C:C,0))</f>
        <v>#N/A</v>
      </c>
      <c r="N790" s="18"/>
    </row>
    <row r="791" spans="1:14" ht="15" hidden="1" x14ac:dyDescent="0.2">
      <c r="A791" s="30" t="s">
        <v>2231</v>
      </c>
      <c r="B791" s="8" t="s">
        <v>2889</v>
      </c>
      <c r="C791" s="8" t="s">
        <v>2892</v>
      </c>
      <c r="D791" s="9" t="s">
        <v>2551</v>
      </c>
      <c r="E791" s="9" t="s">
        <v>2388</v>
      </c>
      <c r="F791" s="10" t="s">
        <v>2392</v>
      </c>
      <c r="G791" s="9" t="s">
        <v>2506</v>
      </c>
      <c r="H791" s="16" t="s">
        <v>2570</v>
      </c>
      <c r="I791" s="47" t="s">
        <v>3189</v>
      </c>
      <c r="J791" s="47" t="s">
        <v>2412</v>
      </c>
      <c r="K791" s="16">
        <v>1</v>
      </c>
      <c r="L791" s="3" t="s">
        <v>2556</v>
      </c>
      <c r="M791" s="17" t="e">
        <f>INDEX(Validade!H:H,MATCH('Controle de Validade'!A791,Validade!C:C,0))</f>
        <v>#N/A</v>
      </c>
      <c r="N791" s="18"/>
    </row>
    <row r="792" spans="1:14" ht="15" hidden="1" x14ac:dyDescent="0.2">
      <c r="A792" s="30" t="s">
        <v>2265</v>
      </c>
      <c r="B792" s="8" t="s">
        <v>2583</v>
      </c>
      <c r="C792" s="8" t="s">
        <v>2893</v>
      </c>
      <c r="D792" s="9" t="s">
        <v>2551</v>
      </c>
      <c r="E792" s="9" t="s">
        <v>2388</v>
      </c>
      <c r="F792" s="10" t="s">
        <v>2392</v>
      </c>
      <c r="G792" s="9" t="s">
        <v>2506</v>
      </c>
      <c r="H792" s="16" t="s">
        <v>2570</v>
      </c>
      <c r="I792" s="47" t="s">
        <v>3195</v>
      </c>
      <c r="J792" s="47" t="s">
        <v>2412</v>
      </c>
      <c r="K792" s="16">
        <v>1</v>
      </c>
      <c r="L792" s="3" t="s">
        <v>2556</v>
      </c>
      <c r="M792" s="17" t="e">
        <f>INDEX(Validade!H:H,MATCH('Controle de Validade'!A792,Validade!C:C,0))</f>
        <v>#N/A</v>
      </c>
      <c r="N792" s="18"/>
    </row>
    <row r="793" spans="1:14" ht="15" hidden="1" x14ac:dyDescent="0.2">
      <c r="A793" s="30" t="s">
        <v>2219</v>
      </c>
      <c r="B793" s="8" t="s">
        <v>2583</v>
      </c>
      <c r="C793" s="8" t="s">
        <v>2894</v>
      </c>
      <c r="D793" s="9" t="s">
        <v>2551</v>
      </c>
      <c r="E793" s="9" t="s">
        <v>2388</v>
      </c>
      <c r="F793" s="10" t="s">
        <v>2392</v>
      </c>
      <c r="G793" s="9" t="s">
        <v>2506</v>
      </c>
      <c r="H793" s="16" t="s">
        <v>2570</v>
      </c>
      <c r="I793" s="47" t="s">
        <v>3195</v>
      </c>
      <c r="J793" s="47" t="s">
        <v>2412</v>
      </c>
      <c r="K793" s="16">
        <v>1</v>
      </c>
      <c r="L793" s="3" t="s">
        <v>2556</v>
      </c>
      <c r="M793" s="17" t="e">
        <f>INDEX(Validade!H:H,MATCH('Controle de Validade'!A793,Validade!C:C,0))</f>
        <v>#N/A</v>
      </c>
      <c r="N793" s="18"/>
    </row>
    <row r="794" spans="1:14" ht="15" hidden="1" x14ac:dyDescent="0.2">
      <c r="A794" s="30" t="s">
        <v>2221</v>
      </c>
      <c r="B794" s="8" t="s">
        <v>2583</v>
      </c>
      <c r="C794" s="8" t="s">
        <v>2895</v>
      </c>
      <c r="D794" s="9" t="s">
        <v>2551</v>
      </c>
      <c r="E794" s="9" t="s">
        <v>2388</v>
      </c>
      <c r="F794" s="10" t="s">
        <v>2392</v>
      </c>
      <c r="G794" s="9" t="s">
        <v>2506</v>
      </c>
      <c r="H794" s="16" t="s">
        <v>2570</v>
      </c>
      <c r="I794" s="47" t="s">
        <v>3195</v>
      </c>
      <c r="J794" s="47" t="s">
        <v>2412</v>
      </c>
      <c r="K794" s="16">
        <v>1</v>
      </c>
      <c r="L794" s="3" t="s">
        <v>2556</v>
      </c>
      <c r="M794" s="17" t="e">
        <f>INDEX(Validade!H:H,MATCH('Controle de Validade'!A794,Validade!C:C,0))</f>
        <v>#N/A</v>
      </c>
      <c r="N794" s="18"/>
    </row>
    <row r="795" spans="1:14" ht="15" hidden="1" x14ac:dyDescent="0.2">
      <c r="A795" s="30" t="s">
        <v>2287</v>
      </c>
      <c r="B795" s="8" t="s">
        <v>2579</v>
      </c>
      <c r="C795" s="8" t="s">
        <v>2896</v>
      </c>
      <c r="D795" s="9" t="s">
        <v>41</v>
      </c>
      <c r="E795" s="9" t="s">
        <v>2388</v>
      </c>
      <c r="F795" s="10" t="s">
        <v>2961</v>
      </c>
      <c r="G795" s="9" t="s">
        <v>2429</v>
      </c>
      <c r="H795" s="16" t="s">
        <v>2570</v>
      </c>
      <c r="I795" s="32" t="s">
        <v>2993</v>
      </c>
      <c r="J795" s="26" t="s">
        <v>2994</v>
      </c>
      <c r="K795" s="16">
        <v>1</v>
      </c>
      <c r="L795" s="3" t="s">
        <v>2556</v>
      </c>
      <c r="M795" s="17" t="e">
        <f>INDEX(Validade!H:H,MATCH('Controle de Validade'!A795,Validade!C:C,0))</f>
        <v>#N/A</v>
      </c>
      <c r="N795" s="24" t="s">
        <v>2945</v>
      </c>
    </row>
    <row r="796" spans="1:14" ht="15" hidden="1" x14ac:dyDescent="0.2">
      <c r="A796" s="28" t="s">
        <v>2142</v>
      </c>
      <c r="B796" s="8" t="s">
        <v>2581</v>
      </c>
      <c r="C796" s="8" t="s">
        <v>2897</v>
      </c>
      <c r="D796" s="9" t="s">
        <v>2375</v>
      </c>
      <c r="E796" s="9" t="s">
        <v>2388</v>
      </c>
      <c r="F796" s="10" t="s">
        <v>2392</v>
      </c>
      <c r="G796" s="9" t="s">
        <v>2428</v>
      </c>
      <c r="H796" s="16" t="s">
        <v>2570</v>
      </c>
      <c r="I796" s="39"/>
      <c r="J796" s="39"/>
      <c r="K796" s="16">
        <v>1</v>
      </c>
      <c r="L796" s="3" t="s">
        <v>2556</v>
      </c>
      <c r="M796" s="17" t="e">
        <f>INDEX(Validade!H:H,MATCH('Controle de Validade'!A796,Validade!C:C,0))</f>
        <v>#N/A</v>
      </c>
      <c r="N796" s="18"/>
    </row>
    <row r="797" spans="1:14" ht="15" hidden="1" x14ac:dyDescent="0.2">
      <c r="A797" s="30" t="s">
        <v>2246</v>
      </c>
      <c r="B797" s="8" t="s">
        <v>2579</v>
      </c>
      <c r="C797" s="8" t="s">
        <v>2898</v>
      </c>
      <c r="D797" s="9" t="s">
        <v>15</v>
      </c>
      <c r="E797" s="9" t="s">
        <v>2388</v>
      </c>
      <c r="F797" s="10" t="s">
        <v>2387</v>
      </c>
      <c r="G797" s="9" t="s">
        <v>2479</v>
      </c>
      <c r="H797" s="16" t="s">
        <v>2571</v>
      </c>
      <c r="I797" s="53" t="s">
        <v>2412</v>
      </c>
      <c r="J797" s="25" t="s">
        <v>2412</v>
      </c>
      <c r="K797" s="16">
        <v>0</v>
      </c>
      <c r="L797" s="3" t="s">
        <v>2556</v>
      </c>
      <c r="M797" s="17" t="e">
        <f>INDEX(Validade!H:H,MATCH('Controle de Validade'!A797,Validade!C:C,0))</f>
        <v>#N/A</v>
      </c>
      <c r="N797" s="18"/>
    </row>
    <row r="798" spans="1:14" ht="15" hidden="1" x14ac:dyDescent="0.2">
      <c r="A798" s="30" t="s">
        <v>295</v>
      </c>
      <c r="B798" s="8" t="s">
        <v>2579</v>
      </c>
      <c r="C798" s="8" t="s">
        <v>296</v>
      </c>
      <c r="D798" s="9" t="s">
        <v>15</v>
      </c>
      <c r="E798" s="9" t="s">
        <v>2388</v>
      </c>
      <c r="F798" s="10" t="s">
        <v>2387</v>
      </c>
      <c r="G798" s="9" t="s">
        <v>2479</v>
      </c>
      <c r="H798" s="16" t="s">
        <v>2571</v>
      </c>
      <c r="I798" s="53" t="s">
        <v>2412</v>
      </c>
      <c r="J798" s="25" t="s">
        <v>2412</v>
      </c>
      <c r="K798" s="16">
        <v>0</v>
      </c>
      <c r="L798" s="3" t="s">
        <v>2556</v>
      </c>
      <c r="M798" s="17">
        <f>INDEX(Validade!H:H,MATCH('Controle de Validade'!A798,Validade!C:C,0))</f>
        <v>62458</v>
      </c>
      <c r="N798" s="18"/>
    </row>
    <row r="799" spans="1:14" ht="15" hidden="1" x14ac:dyDescent="0.2">
      <c r="A799" s="30" t="s">
        <v>298</v>
      </c>
      <c r="B799" s="8" t="s">
        <v>2579</v>
      </c>
      <c r="C799" s="8" t="s">
        <v>299</v>
      </c>
      <c r="D799" s="9" t="s">
        <v>15</v>
      </c>
      <c r="E799" s="9" t="s">
        <v>2388</v>
      </c>
      <c r="F799" s="10" t="s">
        <v>2387</v>
      </c>
      <c r="G799" s="9" t="s">
        <v>2479</v>
      </c>
      <c r="H799" s="16" t="s">
        <v>2571</v>
      </c>
      <c r="I799" s="53" t="s">
        <v>2412</v>
      </c>
      <c r="J799" s="25" t="s">
        <v>2412</v>
      </c>
      <c r="K799" s="16">
        <v>0</v>
      </c>
      <c r="L799" s="3" t="s">
        <v>2556</v>
      </c>
      <c r="M799" s="17">
        <f>INDEX(Validade!H:H,MATCH('Controle de Validade'!A799,Validade!C:C,0))</f>
        <v>0</v>
      </c>
      <c r="N799" s="18"/>
    </row>
    <row r="800" spans="1:14" ht="15" hidden="1" x14ac:dyDescent="0.2">
      <c r="A800" s="30" t="s">
        <v>1162</v>
      </c>
      <c r="B800" s="8" t="s">
        <v>2579</v>
      </c>
      <c r="C800" s="8" t="s">
        <v>1163</v>
      </c>
      <c r="D800" s="9" t="s">
        <v>41</v>
      </c>
      <c r="E800" s="9" t="s">
        <v>2388</v>
      </c>
      <c r="F800" s="10" t="s">
        <v>2961</v>
      </c>
      <c r="G800" s="9" t="s">
        <v>2429</v>
      </c>
      <c r="H800" s="16" t="s">
        <v>2570</v>
      </c>
      <c r="I800" s="32" t="s">
        <v>2993</v>
      </c>
      <c r="J800" s="26" t="s">
        <v>2994</v>
      </c>
      <c r="K800" s="16">
        <v>1</v>
      </c>
      <c r="L800" s="3" t="s">
        <v>2556</v>
      </c>
      <c r="M800" s="17">
        <f>INDEX(Validade!H:H,MATCH('Controle de Validade'!A800,Validade!C:C,0))</f>
        <v>0</v>
      </c>
      <c r="N800" s="18"/>
    </row>
    <row r="801" spans="1:14" ht="15" hidden="1" x14ac:dyDescent="0.2">
      <c r="A801" s="30" t="s">
        <v>2245</v>
      </c>
      <c r="B801" s="8" t="s">
        <v>2579</v>
      </c>
      <c r="C801" s="8" t="s">
        <v>2899</v>
      </c>
      <c r="D801" s="9" t="s">
        <v>15</v>
      </c>
      <c r="E801" s="9" t="s">
        <v>2388</v>
      </c>
      <c r="F801" s="10" t="s">
        <v>2387</v>
      </c>
      <c r="G801" s="9" t="s">
        <v>2479</v>
      </c>
      <c r="H801" s="16" t="s">
        <v>2571</v>
      </c>
      <c r="I801" s="53" t="s">
        <v>2412</v>
      </c>
      <c r="J801" s="25" t="s">
        <v>2412</v>
      </c>
      <c r="K801" s="16">
        <v>0</v>
      </c>
      <c r="L801" s="3" t="s">
        <v>2556</v>
      </c>
      <c r="M801" s="17" t="e">
        <f>INDEX(Validade!H:H,MATCH('Controle de Validade'!A801,Validade!C:C,0))</f>
        <v>#N/A</v>
      </c>
      <c r="N801" s="18"/>
    </row>
    <row r="802" spans="1:14" ht="15" hidden="1" x14ac:dyDescent="0.2">
      <c r="A802" s="30" t="s">
        <v>2236</v>
      </c>
      <c r="B802" s="8" t="s">
        <v>2579</v>
      </c>
      <c r="C802" s="8" t="s">
        <v>2900</v>
      </c>
      <c r="D802" s="9" t="s">
        <v>15</v>
      </c>
      <c r="E802" s="9" t="s">
        <v>2388</v>
      </c>
      <c r="F802" s="10" t="s">
        <v>2387</v>
      </c>
      <c r="G802" s="9" t="s">
        <v>2479</v>
      </c>
      <c r="H802" s="16" t="s">
        <v>2571</v>
      </c>
      <c r="I802" s="53" t="s">
        <v>2412</v>
      </c>
      <c r="J802" s="25" t="s">
        <v>2412</v>
      </c>
      <c r="K802" s="16">
        <v>0</v>
      </c>
      <c r="L802" s="3" t="s">
        <v>2556</v>
      </c>
      <c r="M802" s="17" t="e">
        <f>INDEX(Validade!H:H,MATCH('Controle de Validade'!A802,Validade!C:C,0))</f>
        <v>#N/A</v>
      </c>
      <c r="N802" s="18"/>
    </row>
    <row r="803" spans="1:14" ht="15" hidden="1" x14ac:dyDescent="0.2">
      <c r="A803" s="30" t="s">
        <v>2243</v>
      </c>
      <c r="B803" s="8" t="s">
        <v>2579</v>
      </c>
      <c r="C803" s="8" t="s">
        <v>2901</v>
      </c>
      <c r="D803" s="9" t="s">
        <v>15</v>
      </c>
      <c r="E803" s="9" t="s">
        <v>2388</v>
      </c>
      <c r="F803" s="10" t="s">
        <v>2387</v>
      </c>
      <c r="G803" s="9" t="s">
        <v>2479</v>
      </c>
      <c r="H803" s="16" t="s">
        <v>2571</v>
      </c>
      <c r="I803" s="53" t="s">
        <v>2412</v>
      </c>
      <c r="J803" s="25" t="s">
        <v>2412</v>
      </c>
      <c r="K803" s="16">
        <v>0</v>
      </c>
      <c r="L803" s="3" t="s">
        <v>2556</v>
      </c>
      <c r="M803" s="17" t="e">
        <f>INDEX(Validade!H:H,MATCH('Controle de Validade'!A803,Validade!C:C,0))</f>
        <v>#N/A</v>
      </c>
      <c r="N803" s="18"/>
    </row>
    <row r="804" spans="1:14" ht="15" hidden="1" x14ac:dyDescent="0.2">
      <c r="A804" s="30" t="s">
        <v>2244</v>
      </c>
      <c r="B804" s="8" t="s">
        <v>2579</v>
      </c>
      <c r="C804" s="8" t="s">
        <v>2902</v>
      </c>
      <c r="D804" s="9" t="s">
        <v>15</v>
      </c>
      <c r="E804" s="9" t="s">
        <v>2388</v>
      </c>
      <c r="F804" s="10" t="s">
        <v>2387</v>
      </c>
      <c r="G804" s="9" t="s">
        <v>2479</v>
      </c>
      <c r="H804" s="16" t="s">
        <v>2571</v>
      </c>
      <c r="I804" s="53" t="s">
        <v>2412</v>
      </c>
      <c r="J804" s="25" t="s">
        <v>2412</v>
      </c>
      <c r="K804" s="16">
        <v>0</v>
      </c>
      <c r="L804" s="3" t="s">
        <v>2556</v>
      </c>
      <c r="M804" s="17" t="e">
        <f>INDEX(Validade!H:H,MATCH('Controle de Validade'!A804,Validade!C:C,0))</f>
        <v>#N/A</v>
      </c>
      <c r="N804" s="18"/>
    </row>
    <row r="805" spans="1:14" ht="15" hidden="1" x14ac:dyDescent="0.2">
      <c r="A805" s="30" t="s">
        <v>1104</v>
      </c>
      <c r="B805" s="8" t="s">
        <v>2579</v>
      </c>
      <c r="C805" s="8" t="s">
        <v>1105</v>
      </c>
      <c r="D805" s="9" t="s">
        <v>28</v>
      </c>
      <c r="E805" s="9" t="s">
        <v>2388</v>
      </c>
      <c r="F805" s="10" t="s">
        <v>2387</v>
      </c>
      <c r="G805" s="9" t="s">
        <v>2471</v>
      </c>
      <c r="H805" s="16" t="s">
        <v>2570</v>
      </c>
      <c r="I805" s="38" t="s">
        <v>3187</v>
      </c>
      <c r="J805" s="39" t="s">
        <v>2948</v>
      </c>
      <c r="K805" s="16">
        <v>1</v>
      </c>
      <c r="L805" s="3" t="s">
        <v>2556</v>
      </c>
      <c r="M805" s="17">
        <f>INDEX(Validade!H:H,MATCH('Controle de Validade'!A805,Validade!C:C,0))</f>
        <v>47289</v>
      </c>
      <c r="N805" s="18"/>
    </row>
    <row r="806" spans="1:14" ht="15" hidden="1" x14ac:dyDescent="0.2">
      <c r="A806" s="30" t="s">
        <v>1107</v>
      </c>
      <c r="B806" s="8" t="s">
        <v>2579</v>
      </c>
      <c r="C806" s="8" t="s">
        <v>1108</v>
      </c>
      <c r="D806" s="9" t="s">
        <v>28</v>
      </c>
      <c r="E806" s="9" t="s">
        <v>2388</v>
      </c>
      <c r="F806" s="10" t="s">
        <v>2387</v>
      </c>
      <c r="G806" s="9" t="s">
        <v>2471</v>
      </c>
      <c r="H806" s="16" t="s">
        <v>2570</v>
      </c>
      <c r="I806" s="38" t="s">
        <v>3187</v>
      </c>
      <c r="J806" s="39" t="s">
        <v>2948</v>
      </c>
      <c r="K806" s="16">
        <v>1</v>
      </c>
      <c r="L806" s="3" t="s">
        <v>2556</v>
      </c>
      <c r="M806" s="17">
        <f>INDEX(Validade!H:H,MATCH('Controle de Validade'!A806,Validade!C:C,0))</f>
        <v>47295</v>
      </c>
      <c r="N806" s="18"/>
    </row>
    <row r="807" spans="1:14" ht="15" hidden="1" x14ac:dyDescent="0.2">
      <c r="A807" s="30" t="s">
        <v>2216</v>
      </c>
      <c r="B807" s="8" t="s">
        <v>2579</v>
      </c>
      <c r="C807" s="8" t="s">
        <v>2903</v>
      </c>
      <c r="D807" s="9" t="s">
        <v>749</v>
      </c>
      <c r="E807" s="9" t="s">
        <v>2393</v>
      </c>
      <c r="F807" s="10" t="s">
        <v>2387</v>
      </c>
      <c r="G807" s="9" t="s">
        <v>2456</v>
      </c>
      <c r="H807" s="16" t="s">
        <v>2571</v>
      </c>
      <c r="I807" s="53" t="s">
        <v>2412</v>
      </c>
      <c r="J807" s="25" t="s">
        <v>2412</v>
      </c>
      <c r="K807" s="16">
        <v>0</v>
      </c>
      <c r="L807" s="3" t="s">
        <v>2556</v>
      </c>
      <c r="M807" s="17" t="e">
        <f>INDEX(Validade!H:H,MATCH('Controle de Validade'!A807,Validade!C:C,0))</f>
        <v>#N/A</v>
      </c>
      <c r="N807" s="18"/>
    </row>
    <row r="808" spans="1:14" ht="15" hidden="1" x14ac:dyDescent="0.2">
      <c r="A808" s="30" t="s">
        <v>2248</v>
      </c>
      <c r="B808" s="8" t="s">
        <v>2579</v>
      </c>
      <c r="C808" s="8" t="s">
        <v>2904</v>
      </c>
      <c r="D808" s="9" t="s">
        <v>15</v>
      </c>
      <c r="E808" s="9" t="s">
        <v>2388</v>
      </c>
      <c r="F808" s="10" t="s">
        <v>2387</v>
      </c>
      <c r="G808" s="9" t="s">
        <v>2479</v>
      </c>
      <c r="H808" s="16" t="s">
        <v>2571</v>
      </c>
      <c r="I808" s="53" t="s">
        <v>2412</v>
      </c>
      <c r="J808" s="25" t="s">
        <v>2412</v>
      </c>
      <c r="K808" s="16">
        <v>0</v>
      </c>
      <c r="L808" s="3" t="s">
        <v>2556</v>
      </c>
      <c r="M808" s="17" t="e">
        <f>INDEX(Validade!H:H,MATCH('Controle de Validade'!A808,Validade!C:C,0))</f>
        <v>#N/A</v>
      </c>
      <c r="N808" s="18"/>
    </row>
    <row r="809" spans="1:14" ht="15" hidden="1" x14ac:dyDescent="0.2">
      <c r="A809" s="30" t="s">
        <v>2215</v>
      </c>
      <c r="B809" s="8" t="s">
        <v>2579</v>
      </c>
      <c r="C809" s="8" t="s">
        <v>2905</v>
      </c>
      <c r="D809" s="9" t="s">
        <v>749</v>
      </c>
      <c r="E809" s="9" t="s">
        <v>2393</v>
      </c>
      <c r="F809" s="10" t="s">
        <v>2387</v>
      </c>
      <c r="G809" s="9" t="s">
        <v>2456</v>
      </c>
      <c r="H809" s="16" t="s">
        <v>2571</v>
      </c>
      <c r="I809" s="53" t="s">
        <v>2412</v>
      </c>
      <c r="J809" s="25" t="s">
        <v>2412</v>
      </c>
      <c r="K809" s="16">
        <v>0</v>
      </c>
      <c r="L809" s="3" t="s">
        <v>2556</v>
      </c>
      <c r="M809" s="17" t="e">
        <f>INDEX(Validade!H:H,MATCH('Controle de Validade'!A809,Validade!C:C,0))</f>
        <v>#N/A</v>
      </c>
      <c r="N809" s="18"/>
    </row>
    <row r="810" spans="1:14" ht="15" hidden="1" x14ac:dyDescent="0.2">
      <c r="A810" s="30" t="s">
        <v>2220</v>
      </c>
      <c r="B810" s="8" t="s">
        <v>2579</v>
      </c>
      <c r="C810" s="8" t="s">
        <v>2906</v>
      </c>
      <c r="D810" s="9" t="s">
        <v>749</v>
      </c>
      <c r="E810" s="9" t="s">
        <v>2393</v>
      </c>
      <c r="F810" s="10" t="s">
        <v>2387</v>
      </c>
      <c r="G810" s="9" t="s">
        <v>2456</v>
      </c>
      <c r="H810" s="16" t="s">
        <v>2571</v>
      </c>
      <c r="I810" s="53" t="s">
        <v>2412</v>
      </c>
      <c r="J810" s="25" t="s">
        <v>2412</v>
      </c>
      <c r="K810" s="16">
        <v>0</v>
      </c>
      <c r="L810" s="3" t="s">
        <v>2556</v>
      </c>
      <c r="M810" s="17" t="e">
        <f>INDEX(Validade!H:H,MATCH('Controle de Validade'!A810,Validade!C:C,0))</f>
        <v>#N/A</v>
      </c>
      <c r="N810" s="18"/>
    </row>
    <row r="811" spans="1:14" ht="15" hidden="1" x14ac:dyDescent="0.2">
      <c r="A811" s="30" t="s">
        <v>2139</v>
      </c>
      <c r="B811" s="8" t="s">
        <v>2579</v>
      </c>
      <c r="C811" s="8" t="s">
        <v>2907</v>
      </c>
      <c r="D811" s="9" t="s">
        <v>1946</v>
      </c>
      <c r="E811" s="9" t="s">
        <v>2388</v>
      </c>
      <c r="F811" s="10" t="s">
        <v>2392</v>
      </c>
      <c r="G811" s="9" t="s">
        <v>2394</v>
      </c>
      <c r="H811" s="64" t="s">
        <v>2571</v>
      </c>
      <c r="I811" s="63" t="s">
        <v>2412</v>
      </c>
      <c r="J811" s="43" t="s">
        <v>3199</v>
      </c>
      <c r="K811" s="16">
        <v>0</v>
      </c>
      <c r="L811" s="3" t="s">
        <v>2556</v>
      </c>
      <c r="M811" s="17" t="e">
        <f>INDEX(Validade!H:H,MATCH('Controle de Validade'!A811,Validade!C:C,0))</f>
        <v>#N/A</v>
      </c>
      <c r="N811" s="18"/>
    </row>
    <row r="812" spans="1:14" ht="15" hidden="1" x14ac:dyDescent="0.2">
      <c r="A812" s="30" t="s">
        <v>1959</v>
      </c>
      <c r="B812" s="8" t="s">
        <v>2579</v>
      </c>
      <c r="C812" s="8" t="s">
        <v>1960</v>
      </c>
      <c r="D812" s="9" t="s">
        <v>1946</v>
      </c>
      <c r="E812" s="9" t="s">
        <v>2388</v>
      </c>
      <c r="F812" s="10" t="s">
        <v>2392</v>
      </c>
      <c r="G812" s="9" t="s">
        <v>2447</v>
      </c>
      <c r="H812" s="64" t="s">
        <v>2571</v>
      </c>
      <c r="I812" s="63" t="s">
        <v>2412</v>
      </c>
      <c r="J812" s="43" t="s">
        <v>3199</v>
      </c>
      <c r="K812" s="16">
        <v>0</v>
      </c>
      <c r="L812" s="3" t="s">
        <v>2556</v>
      </c>
      <c r="M812" s="17">
        <f>INDEX(Validade!H:H,MATCH('Controle de Validade'!A812,Validade!C:C,0))</f>
        <v>0</v>
      </c>
      <c r="N812" s="18"/>
    </row>
    <row r="813" spans="1:14" ht="15" hidden="1" x14ac:dyDescent="0.2">
      <c r="A813" s="28" t="s">
        <v>1956</v>
      </c>
      <c r="B813" s="8" t="s">
        <v>2579</v>
      </c>
      <c r="C813" s="8" t="s">
        <v>1957</v>
      </c>
      <c r="D813" s="9" t="s">
        <v>990</v>
      </c>
      <c r="E813" s="9" t="s">
        <v>2388</v>
      </c>
      <c r="F813" s="10" t="s">
        <v>2392</v>
      </c>
      <c r="G813" s="9" t="s">
        <v>2447</v>
      </c>
      <c r="H813" s="16" t="s">
        <v>2570</v>
      </c>
      <c r="I813" s="58" t="s">
        <v>3186</v>
      </c>
      <c r="J813" s="39"/>
      <c r="K813" s="16">
        <v>1</v>
      </c>
      <c r="L813" s="3" t="s">
        <v>2556</v>
      </c>
      <c r="M813" s="17">
        <f>INDEX(Validade!H:H,MATCH('Controle de Validade'!A813,Validade!C:C,0))</f>
        <v>62458</v>
      </c>
      <c r="N813" s="18"/>
    </row>
    <row r="814" spans="1:14" ht="15" hidden="1" x14ac:dyDescent="0.2">
      <c r="A814" s="30" t="s">
        <v>1953</v>
      </c>
      <c r="B814" s="8" t="s">
        <v>2579</v>
      </c>
      <c r="C814" s="8" t="s">
        <v>1954</v>
      </c>
      <c r="D814" s="9" t="s">
        <v>1946</v>
      </c>
      <c r="E814" s="9" t="s">
        <v>2388</v>
      </c>
      <c r="F814" s="10" t="s">
        <v>2392</v>
      </c>
      <c r="G814" s="9" t="s">
        <v>2447</v>
      </c>
      <c r="H814" s="64" t="s">
        <v>2571</v>
      </c>
      <c r="I814" s="63" t="s">
        <v>2412</v>
      </c>
      <c r="J814" s="43" t="s">
        <v>3199</v>
      </c>
      <c r="K814" s="16">
        <v>0</v>
      </c>
      <c r="L814" s="3" t="s">
        <v>2556</v>
      </c>
      <c r="M814" s="17">
        <f>INDEX(Validade!H:H,MATCH('Controle de Validade'!A814,Validade!C:C,0))</f>
        <v>45847</v>
      </c>
      <c r="N814" s="18"/>
    </row>
    <row r="815" spans="1:14" ht="15" hidden="1" x14ac:dyDescent="0.2">
      <c r="A815" s="30" t="s">
        <v>1950</v>
      </c>
      <c r="B815" s="8" t="s">
        <v>2579</v>
      </c>
      <c r="C815" s="8" t="s">
        <v>1951</v>
      </c>
      <c r="D815" s="9" t="s">
        <v>1946</v>
      </c>
      <c r="E815" s="9" t="s">
        <v>2388</v>
      </c>
      <c r="F815" s="10" t="s">
        <v>2392</v>
      </c>
      <c r="G815" s="9" t="s">
        <v>2447</v>
      </c>
      <c r="H815" s="64" t="s">
        <v>2571</v>
      </c>
      <c r="I815" s="63" t="s">
        <v>2412</v>
      </c>
      <c r="J815" s="43" t="s">
        <v>3199</v>
      </c>
      <c r="K815" s="16">
        <v>0</v>
      </c>
      <c r="L815" s="3" t="s">
        <v>2556</v>
      </c>
      <c r="M815" s="17">
        <f>INDEX(Validade!H:H,MATCH('Controle de Validade'!A815,Validade!C:C,0))</f>
        <v>0</v>
      </c>
      <c r="N815" s="18"/>
    </row>
    <row r="816" spans="1:14" ht="15" hidden="1" x14ac:dyDescent="0.2">
      <c r="A816" s="28" t="s">
        <v>2144</v>
      </c>
      <c r="B816" s="8" t="s">
        <v>2583</v>
      </c>
      <c r="C816" s="8" t="s">
        <v>2908</v>
      </c>
      <c r="D816" s="9" t="e">
        <v>#N/A</v>
      </c>
      <c r="E816" s="9" t="s">
        <v>2393</v>
      </c>
      <c r="F816" s="10" t="s">
        <v>2392</v>
      </c>
      <c r="G816" s="9" t="s">
        <v>2410</v>
      </c>
      <c r="H816" s="16" t="s">
        <v>2570</v>
      </c>
      <c r="I816" s="39"/>
      <c r="J816" s="39"/>
      <c r="K816" s="16">
        <v>1</v>
      </c>
      <c r="L816" s="3" t="s">
        <v>2556</v>
      </c>
      <c r="M816" s="17" t="e">
        <f>INDEX(Validade!H:H,MATCH('Controle de Validade'!A816,Validade!C:C,0))</f>
        <v>#N/A</v>
      </c>
      <c r="N816" s="18"/>
    </row>
    <row r="817" spans="1:14" ht="15" hidden="1" x14ac:dyDescent="0.2">
      <c r="A817" s="30" t="s">
        <v>2339</v>
      </c>
      <c r="B817" s="8" t="s">
        <v>2581</v>
      </c>
      <c r="C817" s="8" t="s">
        <v>2910</v>
      </c>
      <c r="D817" s="9">
        <v>0</v>
      </c>
      <c r="E817" s="9" t="s">
        <v>2393</v>
      </c>
      <c r="F817" s="10" t="s">
        <v>2392</v>
      </c>
      <c r="G817" s="9" t="s">
        <v>2428</v>
      </c>
      <c r="H817" s="16" t="s">
        <v>2571</v>
      </c>
      <c r="I817" s="53" t="s">
        <v>2412</v>
      </c>
      <c r="J817" s="25" t="s">
        <v>2412</v>
      </c>
      <c r="K817" s="16">
        <v>0</v>
      </c>
      <c r="L817" s="3" t="s">
        <v>2556</v>
      </c>
      <c r="M817" s="17" t="e">
        <f>INDEX(Validade!H:H,MATCH('Controle de Validade'!A817,Validade!C:C,0))</f>
        <v>#N/A</v>
      </c>
      <c r="N817" s="18"/>
    </row>
    <row r="818" spans="1:14" ht="15" hidden="1" x14ac:dyDescent="0.2">
      <c r="A818" s="30" t="s">
        <v>1961</v>
      </c>
      <c r="B818" s="8" t="s">
        <v>2579</v>
      </c>
      <c r="C818" s="8" t="s">
        <v>1962</v>
      </c>
      <c r="D818" s="9" t="s">
        <v>1847</v>
      </c>
      <c r="E818" s="9" t="s">
        <v>2388</v>
      </c>
      <c r="F818" s="10" t="s">
        <v>2387</v>
      </c>
      <c r="G818" s="9" t="s">
        <v>2420</v>
      </c>
      <c r="H818" s="16" t="s">
        <v>2570</v>
      </c>
      <c r="I818" s="44" t="s">
        <v>3189</v>
      </c>
      <c r="J818" s="44" t="s">
        <v>2412</v>
      </c>
      <c r="K818" s="16">
        <v>1</v>
      </c>
      <c r="L818" s="3" t="s">
        <v>2556</v>
      </c>
      <c r="M818" s="17">
        <f>INDEX(Validade!H:H,MATCH('Controle de Validade'!A818,Validade!C:C,0))</f>
        <v>46278</v>
      </c>
      <c r="N818" s="18"/>
    </row>
    <row r="819" spans="1:14" ht="15" hidden="1" x14ac:dyDescent="0.2">
      <c r="A819" s="30" t="s">
        <v>890</v>
      </c>
      <c r="B819" s="8" t="s">
        <v>2579</v>
      </c>
      <c r="C819" s="8" t="s">
        <v>891</v>
      </c>
      <c r="D819" s="9" t="s">
        <v>2495</v>
      </c>
      <c r="E819" s="9" t="s">
        <v>2388</v>
      </c>
      <c r="F819" s="10" t="s">
        <v>2387</v>
      </c>
      <c r="G819" s="9" t="s">
        <v>2431</v>
      </c>
      <c r="H819" s="16" t="s">
        <v>2571</v>
      </c>
      <c r="I819" s="53" t="s">
        <v>2412</v>
      </c>
      <c r="J819" s="25" t="s">
        <v>2412</v>
      </c>
      <c r="K819" s="16">
        <v>0</v>
      </c>
      <c r="L819" s="3" t="s">
        <v>2556</v>
      </c>
      <c r="M819" s="17">
        <f>INDEX(Validade!H:H,MATCH('Controle de Validade'!A819,Validade!C:C,0))</f>
        <v>0</v>
      </c>
      <c r="N819" s="18"/>
    </row>
    <row r="820" spans="1:14" ht="15" hidden="1" x14ac:dyDescent="0.2">
      <c r="A820" s="30" t="s">
        <v>2368</v>
      </c>
      <c r="B820" s="8" t="s">
        <v>2579</v>
      </c>
      <c r="C820" s="8" t="s">
        <v>2911</v>
      </c>
      <c r="D820" s="9" t="s">
        <v>41</v>
      </c>
      <c r="E820" s="9" t="s">
        <v>2388</v>
      </c>
      <c r="F820" s="10" t="s">
        <v>2961</v>
      </c>
      <c r="G820" s="9" t="s">
        <v>2429</v>
      </c>
      <c r="H820" s="16" t="s">
        <v>2570</v>
      </c>
      <c r="I820" s="32" t="s">
        <v>2993</v>
      </c>
      <c r="J820" s="26" t="s">
        <v>2994</v>
      </c>
      <c r="K820" s="16">
        <v>1</v>
      </c>
      <c r="L820" s="3" t="s">
        <v>2556</v>
      </c>
      <c r="M820" s="17" t="e">
        <f>INDEX(Validade!H:H,MATCH('Controle de Validade'!A820,Validade!C:C,0))</f>
        <v>#N/A</v>
      </c>
      <c r="N820" s="18"/>
    </row>
    <row r="821" spans="1:14" ht="15" hidden="1" x14ac:dyDescent="0.2">
      <c r="A821" s="30" t="s">
        <v>2137</v>
      </c>
      <c r="B821" s="8" t="s">
        <v>2579</v>
      </c>
      <c r="C821" s="8" t="s">
        <v>2877</v>
      </c>
      <c r="D821" s="9" t="s">
        <v>2508</v>
      </c>
      <c r="E821" s="9" t="s">
        <v>2388</v>
      </c>
      <c r="F821" s="10" t="s">
        <v>2961</v>
      </c>
      <c r="G821" s="9" t="s">
        <v>2429</v>
      </c>
      <c r="H821" s="16" t="s">
        <v>2570</v>
      </c>
      <c r="I821" s="32" t="s">
        <v>2993</v>
      </c>
      <c r="J821" s="38" t="s">
        <v>2412</v>
      </c>
      <c r="K821" s="16">
        <v>1</v>
      </c>
      <c r="L821" s="3" t="s">
        <v>2556</v>
      </c>
      <c r="M821" s="17" t="e">
        <f>INDEX(Validade!H:H,MATCH('Controle de Validade'!A821,Validade!C:C,0))</f>
        <v>#N/A</v>
      </c>
      <c r="N821" s="18"/>
    </row>
    <row r="822" spans="1:14" ht="15" hidden="1" x14ac:dyDescent="0.2">
      <c r="A822" s="30" t="s">
        <v>2114</v>
      </c>
      <c r="B822" s="8" t="s">
        <v>2579</v>
      </c>
      <c r="C822" s="8" t="s">
        <v>2912</v>
      </c>
      <c r="D822" s="9" t="s">
        <v>3238</v>
      </c>
      <c r="E822" s="9" t="s">
        <v>2388</v>
      </c>
      <c r="F822" s="10" t="s">
        <v>2387</v>
      </c>
      <c r="G822" s="9" t="s">
        <v>2433</v>
      </c>
      <c r="H822" s="16" t="s">
        <v>2571</v>
      </c>
      <c r="I822" s="53" t="s">
        <v>2412</v>
      </c>
      <c r="J822" s="25" t="s">
        <v>2412</v>
      </c>
      <c r="K822" s="16">
        <v>0</v>
      </c>
      <c r="L822" s="3" t="s">
        <v>2558</v>
      </c>
      <c r="M822" s="17" t="e">
        <f>INDEX(Validade!H:H,MATCH('Controle de Validade'!A822,Validade!C:C,0))</f>
        <v>#N/A</v>
      </c>
      <c r="N822" s="18"/>
    </row>
    <row r="823" spans="1:14" ht="15" hidden="1" x14ac:dyDescent="0.2">
      <c r="A823" s="30" t="s">
        <v>1537</v>
      </c>
      <c r="B823" s="8" t="s">
        <v>2579</v>
      </c>
      <c r="C823" s="8" t="s">
        <v>1538</v>
      </c>
      <c r="D823" s="9" t="s">
        <v>28</v>
      </c>
      <c r="E823" s="9" t="s">
        <v>2388</v>
      </c>
      <c r="F823" s="10" t="s">
        <v>2387</v>
      </c>
      <c r="G823" s="9" t="s">
        <v>2410</v>
      </c>
      <c r="H823" s="16" t="s">
        <v>2570</v>
      </c>
      <c r="I823" s="38" t="s">
        <v>3187</v>
      </c>
      <c r="J823" s="39" t="s">
        <v>2948</v>
      </c>
      <c r="K823" s="16">
        <v>1</v>
      </c>
      <c r="L823" s="3" t="s">
        <v>2556</v>
      </c>
      <c r="M823" s="17">
        <f>INDEX(Validade!H:H,MATCH('Controle de Validade'!A823,Validade!C:C,0))</f>
        <v>45754</v>
      </c>
      <c r="N823" s="18"/>
    </row>
    <row r="824" spans="1:14" ht="15" hidden="1" x14ac:dyDescent="0.2">
      <c r="A824" s="30" t="s">
        <v>1165</v>
      </c>
      <c r="B824" s="8" t="s">
        <v>2580</v>
      </c>
      <c r="C824" s="8" t="s">
        <v>1166</v>
      </c>
      <c r="D824" s="9" t="s">
        <v>1019</v>
      </c>
      <c r="E824" s="9" t="s">
        <v>2388</v>
      </c>
      <c r="F824" s="10" t="s">
        <v>2387</v>
      </c>
      <c r="G824" s="9" t="s">
        <v>2400</v>
      </c>
      <c r="H824" s="29" t="s">
        <v>2571</v>
      </c>
      <c r="I824" s="53" t="s">
        <v>2412</v>
      </c>
      <c r="J824" s="25" t="s">
        <v>2412</v>
      </c>
      <c r="K824" s="16">
        <v>0</v>
      </c>
      <c r="L824" s="3" t="s">
        <v>2556</v>
      </c>
      <c r="M824" s="17">
        <f>INDEX(Validade!H:H,MATCH('Controle de Validade'!A824,Validade!C:C,0))</f>
        <v>0</v>
      </c>
      <c r="N824" s="18"/>
    </row>
    <row r="825" spans="1:14" ht="15" hidden="1" x14ac:dyDescent="0.2">
      <c r="A825" s="30" t="s">
        <v>2218</v>
      </c>
      <c r="B825" s="8" t="s">
        <v>2579</v>
      </c>
      <c r="C825" s="8" t="s">
        <v>2914</v>
      </c>
      <c r="D825" s="9">
        <v>0</v>
      </c>
      <c r="E825" s="9" t="s">
        <v>2388</v>
      </c>
      <c r="F825" s="10" t="s">
        <v>2387</v>
      </c>
      <c r="G825" s="9" t="s">
        <v>2479</v>
      </c>
      <c r="H825" s="16" t="s">
        <v>2571</v>
      </c>
      <c r="I825" s="53" t="s">
        <v>2412</v>
      </c>
      <c r="J825" s="25" t="s">
        <v>2412</v>
      </c>
      <c r="K825" s="16">
        <v>0</v>
      </c>
      <c r="L825" s="3" t="s">
        <v>2556</v>
      </c>
      <c r="M825" s="17" t="e">
        <f>INDEX(Validade!H:H,MATCH('Controle de Validade'!A825,Validade!C:C,0))</f>
        <v>#N/A</v>
      </c>
      <c r="N825" s="18"/>
    </row>
    <row r="826" spans="1:14" ht="15" hidden="1" x14ac:dyDescent="0.2">
      <c r="A826" s="30" t="s">
        <v>2217</v>
      </c>
      <c r="B826" s="8" t="s">
        <v>2579</v>
      </c>
      <c r="C826" s="8" t="s">
        <v>2917</v>
      </c>
      <c r="D826" s="9" t="s">
        <v>1847</v>
      </c>
      <c r="E826" s="9" t="s">
        <v>2388</v>
      </c>
      <c r="F826" s="10" t="s">
        <v>2387</v>
      </c>
      <c r="G826" s="9" t="s">
        <v>2394</v>
      </c>
      <c r="H826" s="16" t="s">
        <v>2571</v>
      </c>
      <c r="I826" s="53" t="s">
        <v>2412</v>
      </c>
      <c r="J826" s="25" t="s">
        <v>2412</v>
      </c>
      <c r="K826" s="16">
        <v>0</v>
      </c>
      <c r="L826" s="3" t="s">
        <v>2556</v>
      </c>
      <c r="M826" s="17" t="e">
        <f>INDEX(Validade!H:H,MATCH('Controle de Validade'!A826,Validade!C:C,0))</f>
        <v>#N/A</v>
      </c>
      <c r="N826" s="18"/>
    </row>
    <row r="827" spans="1:14" ht="15" hidden="1" x14ac:dyDescent="0.2">
      <c r="A827" s="30" t="s">
        <v>897</v>
      </c>
      <c r="B827" s="8" t="s">
        <v>2583</v>
      </c>
      <c r="C827" s="8" t="s">
        <v>898</v>
      </c>
      <c r="D827" s="9">
        <v>0</v>
      </c>
      <c r="E827" s="9">
        <v>0</v>
      </c>
      <c r="F827" s="10" t="s">
        <v>2392</v>
      </c>
      <c r="G827" s="9" t="s">
        <v>2410</v>
      </c>
      <c r="H827" s="16" t="s">
        <v>2571</v>
      </c>
      <c r="I827" s="53" t="s">
        <v>2412</v>
      </c>
      <c r="J827" s="25" t="s">
        <v>2412</v>
      </c>
      <c r="K827" s="16">
        <v>0</v>
      </c>
      <c r="L827" s="3" t="s">
        <v>2556</v>
      </c>
      <c r="M827" s="17">
        <f>INDEX(Validade!H:H,MATCH('Controle de Validade'!A827,Validade!C:C,0))</f>
        <v>62458</v>
      </c>
      <c r="N827" s="18"/>
    </row>
    <row r="828" spans="1:14" ht="15" hidden="1" x14ac:dyDescent="0.2">
      <c r="A828" s="30" t="s">
        <v>2318</v>
      </c>
      <c r="B828" s="8" t="s">
        <v>2579</v>
      </c>
      <c r="C828" s="8" t="s">
        <v>2918</v>
      </c>
      <c r="D828" s="9">
        <v>0</v>
      </c>
      <c r="E828" s="9">
        <v>0</v>
      </c>
      <c r="F828" s="10" t="s">
        <v>2392</v>
      </c>
      <c r="G828" s="9" t="s">
        <v>2410</v>
      </c>
      <c r="H828" s="16" t="s">
        <v>2571</v>
      </c>
      <c r="I828" s="53" t="s">
        <v>2412</v>
      </c>
      <c r="J828" s="25" t="s">
        <v>2412</v>
      </c>
      <c r="K828" s="16">
        <v>0</v>
      </c>
      <c r="L828" s="3" t="s">
        <v>2558</v>
      </c>
      <c r="M828" s="17" t="e">
        <f>INDEX(Validade!H:H,MATCH('Controle de Validade'!A828,Validade!C:C,0))</f>
        <v>#N/A</v>
      </c>
      <c r="N828" s="18"/>
    </row>
    <row r="829" spans="1:14" ht="15" hidden="1" x14ac:dyDescent="0.2">
      <c r="A829" s="30" t="s">
        <v>1171</v>
      </c>
      <c r="B829" s="8" t="s">
        <v>2581</v>
      </c>
      <c r="C829" s="8" t="s">
        <v>1172</v>
      </c>
      <c r="D829" s="9">
        <v>0</v>
      </c>
      <c r="E829" s="9">
        <v>0</v>
      </c>
      <c r="F829" s="10" t="s">
        <v>2392</v>
      </c>
      <c r="G829" s="9" t="s">
        <v>2410</v>
      </c>
      <c r="H829" s="16" t="s">
        <v>2571</v>
      </c>
      <c r="I829" s="53" t="s">
        <v>2412</v>
      </c>
      <c r="J829" s="25" t="s">
        <v>2412</v>
      </c>
      <c r="K829" s="16">
        <v>0</v>
      </c>
      <c r="L829" s="3" t="s">
        <v>2556</v>
      </c>
      <c r="M829" s="17">
        <f>INDEX(Validade!H:H,MATCH('Controle de Validade'!A829,Validade!C:C,0))</f>
        <v>0</v>
      </c>
      <c r="N829" s="18"/>
    </row>
    <row r="830" spans="1:14" ht="15" hidden="1" x14ac:dyDescent="0.2">
      <c r="A830" s="30" t="s">
        <v>1300</v>
      </c>
      <c r="B830" s="8" t="s">
        <v>2580</v>
      </c>
      <c r="C830" s="8" t="s">
        <v>1301</v>
      </c>
      <c r="D830" s="9">
        <v>0</v>
      </c>
      <c r="E830" s="9">
        <v>0</v>
      </c>
      <c r="F830" s="10" t="s">
        <v>2392</v>
      </c>
      <c r="G830" s="9" t="s">
        <v>2410</v>
      </c>
      <c r="H830" s="16" t="s">
        <v>2571</v>
      </c>
      <c r="I830" s="53" t="s">
        <v>2412</v>
      </c>
      <c r="J830" s="25" t="s">
        <v>2412</v>
      </c>
      <c r="K830" s="16">
        <v>0</v>
      </c>
      <c r="L830" s="3" t="s">
        <v>2556</v>
      </c>
      <c r="M830" s="17">
        <f>INDEX(Validade!H:H,MATCH('Controle de Validade'!A830,Validade!C:C,0))</f>
        <v>62458</v>
      </c>
      <c r="N830" s="18"/>
    </row>
    <row r="831" spans="1:14" ht="15" hidden="1" x14ac:dyDescent="0.2">
      <c r="A831" s="30" t="s">
        <v>1204</v>
      </c>
      <c r="B831" s="8" t="s">
        <v>2580</v>
      </c>
      <c r="C831" s="8" t="s">
        <v>1205</v>
      </c>
      <c r="D831" s="9">
        <v>0</v>
      </c>
      <c r="E831" s="9">
        <v>0</v>
      </c>
      <c r="F831" s="10" t="s">
        <v>2392</v>
      </c>
      <c r="G831" s="9" t="s">
        <v>2410</v>
      </c>
      <c r="H831" s="16" t="s">
        <v>2571</v>
      </c>
      <c r="I831" s="53" t="s">
        <v>2412</v>
      </c>
      <c r="J831" s="25" t="s">
        <v>2412</v>
      </c>
      <c r="K831" s="16">
        <v>0</v>
      </c>
      <c r="L831" s="3" t="s">
        <v>2556</v>
      </c>
      <c r="M831" s="17">
        <f>INDEX(Validade!H:H,MATCH('Controle de Validade'!A831,Validade!C:C,0))</f>
        <v>62458</v>
      </c>
      <c r="N831" s="18"/>
    </row>
    <row r="832" spans="1:14" ht="15" hidden="1" x14ac:dyDescent="0.2">
      <c r="A832" s="30" t="s">
        <v>1207</v>
      </c>
      <c r="B832" s="8" t="s">
        <v>2580</v>
      </c>
      <c r="C832" s="8" t="s">
        <v>1208</v>
      </c>
      <c r="D832" s="9">
        <v>0</v>
      </c>
      <c r="E832" s="9">
        <v>0</v>
      </c>
      <c r="F832" s="10" t="s">
        <v>2392</v>
      </c>
      <c r="G832" s="9" t="s">
        <v>2410</v>
      </c>
      <c r="H832" s="16" t="s">
        <v>2571</v>
      </c>
      <c r="I832" s="53" t="s">
        <v>2412</v>
      </c>
      <c r="J832" s="25" t="s">
        <v>2412</v>
      </c>
      <c r="K832" s="16">
        <v>0</v>
      </c>
      <c r="L832" s="3" t="s">
        <v>2556</v>
      </c>
      <c r="M832" s="17">
        <f>INDEX(Validade!H:H,MATCH('Controle de Validade'!A832,Validade!C:C,0))</f>
        <v>62458</v>
      </c>
      <c r="N832" s="18"/>
    </row>
    <row r="833" spans="1:14" ht="15" hidden="1" x14ac:dyDescent="0.2">
      <c r="A833" s="30" t="s">
        <v>2331</v>
      </c>
      <c r="B833" s="8" t="s">
        <v>2579</v>
      </c>
      <c r="C833" s="8" t="s">
        <v>2919</v>
      </c>
      <c r="D833" s="9">
        <v>0</v>
      </c>
      <c r="E833" s="9">
        <v>0</v>
      </c>
      <c r="F833" s="10" t="s">
        <v>2392</v>
      </c>
      <c r="G833" s="9" t="s">
        <v>2410</v>
      </c>
      <c r="H833" s="16" t="s">
        <v>2571</v>
      </c>
      <c r="I833" s="53" t="s">
        <v>2412</v>
      </c>
      <c r="J833" s="25" t="s">
        <v>2412</v>
      </c>
      <c r="K833" s="16">
        <v>0</v>
      </c>
      <c r="L833" s="3" t="s">
        <v>2558</v>
      </c>
      <c r="M833" s="17" t="e">
        <f>INDEX(Validade!H:H,MATCH('Controle de Validade'!A833,Validade!C:C,0))</f>
        <v>#N/A</v>
      </c>
      <c r="N833" s="18"/>
    </row>
    <row r="834" spans="1:14" ht="15" hidden="1" x14ac:dyDescent="0.2">
      <c r="A834" s="30" t="s">
        <v>2315</v>
      </c>
      <c r="B834" s="8" t="s">
        <v>2579</v>
      </c>
      <c r="C834" s="8" t="s">
        <v>2920</v>
      </c>
      <c r="D834" s="9">
        <v>0</v>
      </c>
      <c r="E834" s="9">
        <v>0</v>
      </c>
      <c r="F834" s="10" t="s">
        <v>2392</v>
      </c>
      <c r="G834" s="9" t="s">
        <v>2410</v>
      </c>
      <c r="H834" s="16" t="s">
        <v>2571</v>
      </c>
      <c r="I834" s="53" t="s">
        <v>2412</v>
      </c>
      <c r="J834" s="25" t="s">
        <v>2412</v>
      </c>
      <c r="K834" s="16">
        <v>0</v>
      </c>
      <c r="L834" s="3" t="s">
        <v>2558</v>
      </c>
      <c r="M834" s="17" t="e">
        <f>INDEX(Validade!H:H,MATCH('Controle de Validade'!A834,Validade!C:C,0))</f>
        <v>#N/A</v>
      </c>
      <c r="N834" s="18"/>
    </row>
    <row r="835" spans="1:14" ht="15" hidden="1" x14ac:dyDescent="0.2">
      <c r="A835" s="30" t="s">
        <v>2322</v>
      </c>
      <c r="B835" s="8" t="s">
        <v>2579</v>
      </c>
      <c r="C835" s="8" t="s">
        <v>2921</v>
      </c>
      <c r="D835" s="9">
        <v>0</v>
      </c>
      <c r="E835" s="9">
        <v>0</v>
      </c>
      <c r="F835" s="10" t="s">
        <v>2392</v>
      </c>
      <c r="G835" s="9" t="s">
        <v>2410</v>
      </c>
      <c r="H835" s="16" t="s">
        <v>2571</v>
      </c>
      <c r="I835" s="53" t="s">
        <v>2412</v>
      </c>
      <c r="J835" s="25" t="s">
        <v>2412</v>
      </c>
      <c r="K835" s="16">
        <v>0</v>
      </c>
      <c r="L835" s="3" t="s">
        <v>2558</v>
      </c>
      <c r="M835" s="17" t="e">
        <f>INDEX(Validade!H:H,MATCH('Controle de Validade'!A835,Validade!C:C,0))</f>
        <v>#N/A</v>
      </c>
      <c r="N835" s="18"/>
    </row>
    <row r="836" spans="1:14" ht="15" hidden="1" x14ac:dyDescent="0.2">
      <c r="A836" s="30" t="s">
        <v>2321</v>
      </c>
      <c r="B836" s="8" t="s">
        <v>2580</v>
      </c>
      <c r="C836" s="8" t="s">
        <v>2922</v>
      </c>
      <c r="D836" s="9">
        <v>0</v>
      </c>
      <c r="E836" s="9">
        <v>0</v>
      </c>
      <c r="F836" s="10" t="s">
        <v>2392</v>
      </c>
      <c r="G836" s="9" t="s">
        <v>2410</v>
      </c>
      <c r="H836" s="16" t="s">
        <v>2571</v>
      </c>
      <c r="I836" s="53" t="s">
        <v>2412</v>
      </c>
      <c r="J836" s="25" t="s">
        <v>2412</v>
      </c>
      <c r="K836" s="16">
        <v>0</v>
      </c>
      <c r="L836" s="3" t="s">
        <v>2556</v>
      </c>
      <c r="M836" s="17" t="e">
        <f>INDEX(Validade!H:H,MATCH('Controle de Validade'!A836,Validade!C:C,0))</f>
        <v>#N/A</v>
      </c>
      <c r="N836" s="18"/>
    </row>
    <row r="837" spans="1:14" ht="15" hidden="1" x14ac:dyDescent="0.2">
      <c r="A837" s="30" t="s">
        <v>2330</v>
      </c>
      <c r="B837" s="8" t="s">
        <v>2579</v>
      </c>
      <c r="C837" s="8" t="s">
        <v>2923</v>
      </c>
      <c r="D837" s="9">
        <v>0</v>
      </c>
      <c r="E837" s="9">
        <v>0</v>
      </c>
      <c r="F837" s="10" t="s">
        <v>2392</v>
      </c>
      <c r="G837" s="9" t="s">
        <v>2410</v>
      </c>
      <c r="H837" s="16" t="s">
        <v>2571</v>
      </c>
      <c r="I837" s="53" t="s">
        <v>2412</v>
      </c>
      <c r="J837" s="25" t="s">
        <v>2412</v>
      </c>
      <c r="K837" s="16">
        <v>0</v>
      </c>
      <c r="L837" s="3" t="s">
        <v>2558</v>
      </c>
      <c r="M837" s="17" t="e">
        <f>INDEX(Validade!H:H,MATCH('Controle de Validade'!A837,Validade!C:C,0))</f>
        <v>#N/A</v>
      </c>
      <c r="N837" s="18"/>
    </row>
    <row r="838" spans="1:14" ht="15" hidden="1" x14ac:dyDescent="0.2">
      <c r="A838" s="30" t="s">
        <v>2310</v>
      </c>
      <c r="B838" s="8" t="s">
        <v>2579</v>
      </c>
      <c r="C838" s="8" t="s">
        <v>2924</v>
      </c>
      <c r="D838" s="9">
        <v>0</v>
      </c>
      <c r="E838" s="9">
        <v>0</v>
      </c>
      <c r="F838" s="10" t="s">
        <v>2392</v>
      </c>
      <c r="G838" s="9" t="s">
        <v>2410</v>
      </c>
      <c r="H838" s="16" t="s">
        <v>2571</v>
      </c>
      <c r="I838" s="53" t="s">
        <v>2412</v>
      </c>
      <c r="J838" s="25" t="s">
        <v>2412</v>
      </c>
      <c r="K838" s="16">
        <v>0</v>
      </c>
      <c r="L838" s="3" t="s">
        <v>2558</v>
      </c>
      <c r="M838" s="17" t="e">
        <f>INDEX(Validade!H:H,MATCH('Controle de Validade'!A838,Validade!C:C,0))</f>
        <v>#N/A</v>
      </c>
      <c r="N838" s="18"/>
    </row>
    <row r="839" spans="1:14" ht="15" hidden="1" x14ac:dyDescent="0.2">
      <c r="A839" s="30" t="s">
        <v>2314</v>
      </c>
      <c r="B839" s="8" t="s">
        <v>2579</v>
      </c>
      <c r="C839" s="8" t="s">
        <v>2925</v>
      </c>
      <c r="D839" s="9">
        <v>0</v>
      </c>
      <c r="E839" s="9">
        <v>0</v>
      </c>
      <c r="F839" s="10" t="s">
        <v>2392</v>
      </c>
      <c r="G839" s="9" t="s">
        <v>2410</v>
      </c>
      <c r="H839" s="16" t="s">
        <v>2571</v>
      </c>
      <c r="I839" s="53" t="s">
        <v>2412</v>
      </c>
      <c r="J839" s="25" t="s">
        <v>2412</v>
      </c>
      <c r="K839" s="16">
        <v>0</v>
      </c>
      <c r="L839" s="3" t="s">
        <v>2558</v>
      </c>
      <c r="M839" s="17" t="e">
        <f>INDEX(Validade!H:H,MATCH('Controle de Validade'!A839,Validade!C:C,0))</f>
        <v>#N/A</v>
      </c>
      <c r="N839" s="18"/>
    </row>
    <row r="840" spans="1:14" ht="15" hidden="1" x14ac:dyDescent="0.2">
      <c r="A840" s="30" t="s">
        <v>2362</v>
      </c>
      <c r="B840" s="8" t="s">
        <v>2581</v>
      </c>
      <c r="C840" s="8" t="s">
        <v>2926</v>
      </c>
      <c r="D840" s="9">
        <v>0</v>
      </c>
      <c r="E840" s="9">
        <v>0</v>
      </c>
      <c r="F840" s="10" t="s">
        <v>2392</v>
      </c>
      <c r="G840" s="9" t="s">
        <v>2410</v>
      </c>
      <c r="H840" s="16" t="s">
        <v>2571</v>
      </c>
      <c r="I840" s="53" t="s">
        <v>2412</v>
      </c>
      <c r="J840" s="25" t="s">
        <v>2412</v>
      </c>
      <c r="K840" s="16">
        <v>0</v>
      </c>
      <c r="L840" s="3" t="s">
        <v>2556</v>
      </c>
      <c r="M840" s="17" t="e">
        <f>INDEX(Validade!H:H,MATCH('Controle de Validade'!A840,Validade!C:C,0))</f>
        <v>#N/A</v>
      </c>
      <c r="N840" s="18"/>
    </row>
    <row r="841" spans="1:14" ht="15" hidden="1" x14ac:dyDescent="0.2">
      <c r="A841" s="30" t="s">
        <v>1658</v>
      </c>
      <c r="B841" s="8" t="s">
        <v>2927</v>
      </c>
      <c r="C841" s="8" t="s">
        <v>1659</v>
      </c>
      <c r="D841" s="9">
        <v>0</v>
      </c>
      <c r="E841" s="9" t="s">
        <v>2388</v>
      </c>
      <c r="F841" s="10" t="s">
        <v>2387</v>
      </c>
      <c r="G841" s="9" t="s">
        <v>2410</v>
      </c>
      <c r="H841" s="16" t="s">
        <v>2571</v>
      </c>
      <c r="I841" s="53" t="s">
        <v>2412</v>
      </c>
      <c r="J841" s="25" t="s">
        <v>2412</v>
      </c>
      <c r="K841" s="16">
        <v>0</v>
      </c>
      <c r="L841" s="3" t="s">
        <v>2556</v>
      </c>
      <c r="M841" s="17">
        <f>INDEX(Validade!H:H,MATCH('Controle de Validade'!A841,Validade!C:C,0))</f>
        <v>62458</v>
      </c>
      <c r="N841" s="18"/>
    </row>
    <row r="842" spans="1:14" ht="15" hidden="1" x14ac:dyDescent="0.2">
      <c r="A842" s="30" t="s">
        <v>1900</v>
      </c>
      <c r="B842" s="8" t="s">
        <v>2579</v>
      </c>
      <c r="C842" s="8" t="s">
        <v>1901</v>
      </c>
      <c r="D842" s="9" t="s">
        <v>177</v>
      </c>
      <c r="E842" s="9" t="s">
        <v>2388</v>
      </c>
      <c r="F842" s="10" t="s">
        <v>2387</v>
      </c>
      <c r="G842" s="9" t="s">
        <v>2433</v>
      </c>
      <c r="H842" s="16" t="s">
        <v>2571</v>
      </c>
      <c r="I842" s="53" t="s">
        <v>2412</v>
      </c>
      <c r="J842" s="25" t="s">
        <v>2412</v>
      </c>
      <c r="K842" s="16">
        <v>0</v>
      </c>
      <c r="L842" s="3" t="s">
        <v>2556</v>
      </c>
      <c r="M842" s="17">
        <f>INDEX(Validade!H:H,MATCH('Controle de Validade'!A842,Validade!C:C,0))</f>
        <v>62458</v>
      </c>
      <c r="N842" s="18"/>
    </row>
    <row r="843" spans="1:14" ht="15" hidden="1" x14ac:dyDescent="0.2">
      <c r="A843" s="30" t="s">
        <v>2074</v>
      </c>
      <c r="B843" s="8" t="s">
        <v>2579</v>
      </c>
      <c r="C843" s="8" t="s">
        <v>2928</v>
      </c>
      <c r="D843" s="9" t="s">
        <v>15</v>
      </c>
      <c r="E843" s="9" t="s">
        <v>2388</v>
      </c>
      <c r="F843" s="10" t="s">
        <v>2387</v>
      </c>
      <c r="G843" s="9" t="s">
        <v>2410</v>
      </c>
      <c r="H843" s="16" t="s">
        <v>2571</v>
      </c>
      <c r="I843" s="53" t="s">
        <v>2412</v>
      </c>
      <c r="J843" s="25" t="s">
        <v>2412</v>
      </c>
      <c r="K843" s="16">
        <v>0</v>
      </c>
      <c r="L843" s="3" t="s">
        <v>2556</v>
      </c>
      <c r="M843" s="17" t="e">
        <f>INDEX(Validade!H:H,MATCH('Controle de Validade'!A843,Validade!C:C,0))</f>
        <v>#N/A</v>
      </c>
      <c r="N843" s="18"/>
    </row>
    <row r="844" spans="1:14" ht="15" hidden="1" x14ac:dyDescent="0.2">
      <c r="A844" s="30" t="s">
        <v>2076</v>
      </c>
      <c r="B844" s="8" t="s">
        <v>2579</v>
      </c>
      <c r="C844" s="8" t="s">
        <v>2929</v>
      </c>
      <c r="D844" s="9" t="s">
        <v>15</v>
      </c>
      <c r="E844" s="9" t="s">
        <v>2388</v>
      </c>
      <c r="F844" s="10" t="s">
        <v>2387</v>
      </c>
      <c r="G844" s="9" t="s">
        <v>2410</v>
      </c>
      <c r="H844" s="16" t="s">
        <v>2571</v>
      </c>
      <c r="I844" s="53" t="s">
        <v>2412</v>
      </c>
      <c r="J844" s="25" t="s">
        <v>2412</v>
      </c>
      <c r="K844" s="16">
        <v>0</v>
      </c>
      <c r="L844" s="3" t="s">
        <v>2556</v>
      </c>
      <c r="M844" s="17" t="e">
        <f>INDEX(Validade!H:H,MATCH('Controle de Validade'!A844,Validade!C:C,0))</f>
        <v>#N/A</v>
      </c>
      <c r="N844" s="18"/>
    </row>
    <row r="845" spans="1:14" ht="15" hidden="1" x14ac:dyDescent="0.2">
      <c r="A845" s="30" t="s">
        <v>2060</v>
      </c>
      <c r="B845" s="8" t="s">
        <v>2579</v>
      </c>
      <c r="C845" s="8" t="s">
        <v>2930</v>
      </c>
      <c r="D845" s="9" t="s">
        <v>1019</v>
      </c>
      <c r="E845" s="9" t="s">
        <v>2388</v>
      </c>
      <c r="F845" s="10" t="s">
        <v>2387</v>
      </c>
      <c r="G845" s="9" t="s">
        <v>2400</v>
      </c>
      <c r="H845" s="29" t="s">
        <v>2571</v>
      </c>
      <c r="I845" s="53" t="s">
        <v>2412</v>
      </c>
      <c r="J845" s="25" t="s">
        <v>2412</v>
      </c>
      <c r="K845" s="16">
        <v>0</v>
      </c>
      <c r="L845" s="3" t="s">
        <v>2556</v>
      </c>
      <c r="M845" s="17" t="e">
        <f>INDEX(Validade!H:H,MATCH('Controle de Validade'!A845,Validade!C:C,0))</f>
        <v>#N/A</v>
      </c>
      <c r="N845" s="18"/>
    </row>
    <row r="846" spans="1:14" ht="15" hidden="1" x14ac:dyDescent="0.2">
      <c r="A846" s="30" t="s">
        <v>2058</v>
      </c>
      <c r="B846" s="8" t="s">
        <v>2580</v>
      </c>
      <c r="C846" s="8" t="s">
        <v>2931</v>
      </c>
      <c r="D846" s="9" t="s">
        <v>1019</v>
      </c>
      <c r="E846" s="9" t="s">
        <v>2388</v>
      </c>
      <c r="F846" s="10" t="s">
        <v>2387</v>
      </c>
      <c r="G846" s="9" t="s">
        <v>2400</v>
      </c>
      <c r="H846" s="29" t="s">
        <v>2571</v>
      </c>
      <c r="I846" s="53" t="s">
        <v>2412</v>
      </c>
      <c r="J846" s="25" t="s">
        <v>2412</v>
      </c>
      <c r="K846" s="16">
        <v>0</v>
      </c>
      <c r="L846" s="3" t="s">
        <v>2556</v>
      </c>
      <c r="M846" s="17" t="e">
        <f>INDEX(Validade!H:H,MATCH('Controle de Validade'!A846,Validade!C:C,0))</f>
        <v>#N/A</v>
      </c>
      <c r="N846" s="18"/>
    </row>
    <row r="847" spans="1:14" ht="15" hidden="1" x14ac:dyDescent="0.2">
      <c r="A847" s="30" t="s">
        <v>2056</v>
      </c>
      <c r="B847" s="8" t="s">
        <v>2580</v>
      </c>
      <c r="C847" s="8" t="s">
        <v>2932</v>
      </c>
      <c r="D847" s="9" t="s">
        <v>1019</v>
      </c>
      <c r="E847" s="9" t="s">
        <v>2388</v>
      </c>
      <c r="F847" s="10" t="s">
        <v>2387</v>
      </c>
      <c r="G847" s="9" t="s">
        <v>2400</v>
      </c>
      <c r="H847" s="29" t="s">
        <v>2571</v>
      </c>
      <c r="I847" s="53" t="s">
        <v>2412</v>
      </c>
      <c r="J847" s="25" t="s">
        <v>2412</v>
      </c>
      <c r="K847" s="16">
        <v>0</v>
      </c>
      <c r="L847" s="3" t="s">
        <v>2556</v>
      </c>
      <c r="M847" s="17" t="e">
        <f>INDEX(Validade!H:H,MATCH('Controle de Validade'!A847,Validade!C:C,0))</f>
        <v>#N/A</v>
      </c>
      <c r="N847" s="18"/>
    </row>
    <row r="848" spans="1:14" ht="15" hidden="1" x14ac:dyDescent="0.2">
      <c r="A848" s="30" t="s">
        <v>2064</v>
      </c>
      <c r="B848" s="8" t="s">
        <v>2580</v>
      </c>
      <c r="C848" s="8" t="s">
        <v>2933</v>
      </c>
      <c r="D848" s="9" t="s">
        <v>1019</v>
      </c>
      <c r="E848" s="9" t="s">
        <v>2388</v>
      </c>
      <c r="F848" s="10" t="s">
        <v>2387</v>
      </c>
      <c r="G848" s="9" t="s">
        <v>2400</v>
      </c>
      <c r="H848" s="29" t="s">
        <v>2571</v>
      </c>
      <c r="I848" s="53" t="s">
        <v>2412</v>
      </c>
      <c r="J848" s="25" t="s">
        <v>2412</v>
      </c>
      <c r="K848" s="16">
        <v>0</v>
      </c>
      <c r="L848" s="3" t="s">
        <v>2556</v>
      </c>
      <c r="M848" s="17" t="e">
        <f>INDEX(Validade!H:H,MATCH('Controle de Validade'!A848,Validade!C:C,0))</f>
        <v>#N/A</v>
      </c>
      <c r="N848" s="18"/>
    </row>
    <row r="849" spans="1:14" ht="15" hidden="1" x14ac:dyDescent="0.2">
      <c r="A849" s="30" t="s">
        <v>1168</v>
      </c>
      <c r="B849" s="8" t="s">
        <v>2580</v>
      </c>
      <c r="C849" s="8" t="s">
        <v>1169</v>
      </c>
      <c r="D849" s="9" t="s">
        <v>1019</v>
      </c>
      <c r="E849" s="9" t="s">
        <v>2388</v>
      </c>
      <c r="F849" s="10" t="s">
        <v>2387</v>
      </c>
      <c r="G849" s="9" t="s">
        <v>2400</v>
      </c>
      <c r="H849" s="29" t="s">
        <v>2571</v>
      </c>
      <c r="I849" s="53" t="s">
        <v>2412</v>
      </c>
      <c r="J849" s="25" t="s">
        <v>2412</v>
      </c>
      <c r="K849" s="16">
        <v>0</v>
      </c>
      <c r="L849" s="3" t="s">
        <v>2556</v>
      </c>
      <c r="M849" s="17">
        <f>INDEX(Validade!H:H,MATCH('Controle de Validade'!A849,Validade!C:C,0))</f>
        <v>0</v>
      </c>
      <c r="N849" s="18"/>
    </row>
    <row r="850" spans="1:14" ht="15" hidden="1" x14ac:dyDescent="0.2">
      <c r="A850" s="30" t="s">
        <v>904</v>
      </c>
      <c r="B850" s="8" t="s">
        <v>2581</v>
      </c>
      <c r="C850" s="8" t="s">
        <v>905</v>
      </c>
      <c r="D850" s="9" t="s">
        <v>2534</v>
      </c>
      <c r="E850" s="9" t="s">
        <v>2393</v>
      </c>
      <c r="F850" s="10" t="s">
        <v>2392</v>
      </c>
      <c r="G850" s="9" t="s">
        <v>2394</v>
      </c>
      <c r="H850" s="16" t="s">
        <v>2571</v>
      </c>
      <c r="I850" s="53" t="s">
        <v>2412</v>
      </c>
      <c r="J850" s="25" t="s">
        <v>2412</v>
      </c>
      <c r="K850" s="16">
        <v>0</v>
      </c>
      <c r="L850" s="3" t="s">
        <v>2556</v>
      </c>
      <c r="M850" s="17">
        <f>INDEX(Validade!H:H,MATCH('Controle de Validade'!A850,Validade!C:C,0))</f>
        <v>0</v>
      </c>
      <c r="N850" s="18"/>
    </row>
    <row r="851" spans="1:14" ht="15" hidden="1" x14ac:dyDescent="0.2">
      <c r="A851" s="30" t="s">
        <v>893</v>
      </c>
      <c r="B851" s="8" t="s">
        <v>2581</v>
      </c>
      <c r="C851" s="8" t="s">
        <v>894</v>
      </c>
      <c r="D851" s="9" t="s">
        <v>963</v>
      </c>
      <c r="E851" s="9" t="s">
        <v>2393</v>
      </c>
      <c r="F851" s="10" t="s">
        <v>2392</v>
      </c>
      <c r="G851" s="9" t="s">
        <v>2394</v>
      </c>
      <c r="H851" s="16" t="s">
        <v>2571</v>
      </c>
      <c r="I851" s="53" t="s">
        <v>2412</v>
      </c>
      <c r="J851" s="25" t="s">
        <v>2412</v>
      </c>
      <c r="K851" s="16">
        <v>0</v>
      </c>
      <c r="L851" s="3" t="s">
        <v>2556</v>
      </c>
      <c r="M851" s="17">
        <f>INDEX(Validade!H:H,MATCH('Controle de Validade'!A851,Validade!C:C,0))</f>
        <v>0</v>
      </c>
      <c r="N851" s="18"/>
    </row>
    <row r="852" spans="1:14" ht="15" hidden="1" x14ac:dyDescent="0.2">
      <c r="A852" s="30" t="s">
        <v>2059</v>
      </c>
      <c r="B852" s="8" t="s">
        <v>2580</v>
      </c>
      <c r="C852" s="8" t="s">
        <v>2934</v>
      </c>
      <c r="D852" s="9" t="s">
        <v>1019</v>
      </c>
      <c r="E852" s="9" t="s">
        <v>2388</v>
      </c>
      <c r="F852" s="10" t="s">
        <v>2387</v>
      </c>
      <c r="G852" s="9" t="s">
        <v>2400</v>
      </c>
      <c r="H852" s="29" t="s">
        <v>2571</v>
      </c>
      <c r="I852" s="53" t="s">
        <v>2412</v>
      </c>
      <c r="J852" s="25" t="s">
        <v>2412</v>
      </c>
      <c r="K852" s="16">
        <v>0</v>
      </c>
      <c r="L852" s="3" t="s">
        <v>2556</v>
      </c>
      <c r="M852" s="17" t="e">
        <f>INDEX(Validade!H:H,MATCH('Controle de Validade'!A852,Validade!C:C,0))</f>
        <v>#N/A</v>
      </c>
      <c r="N852" s="18"/>
    </row>
    <row r="853" spans="1:14" ht="15" hidden="1" x14ac:dyDescent="0.2">
      <c r="A853" s="30" t="s">
        <v>2247</v>
      </c>
      <c r="B853" s="8" t="s">
        <v>2579</v>
      </c>
      <c r="C853" s="8" t="s">
        <v>2935</v>
      </c>
      <c r="D853" s="9" t="s">
        <v>2462</v>
      </c>
      <c r="E853" s="9" t="s">
        <v>2388</v>
      </c>
      <c r="F853" s="10" t="s">
        <v>2387</v>
      </c>
      <c r="G853" s="9" t="s">
        <v>2431</v>
      </c>
      <c r="H853" s="16" t="s">
        <v>2571</v>
      </c>
      <c r="I853" s="53" t="s">
        <v>2412</v>
      </c>
      <c r="J853" s="25" t="s">
        <v>2412</v>
      </c>
      <c r="K853" s="16">
        <v>0</v>
      </c>
      <c r="L853" s="3" t="s">
        <v>2556</v>
      </c>
      <c r="M853" s="17" t="e">
        <f>INDEX(Validade!H:H,MATCH('Controle de Validade'!A853,Validade!C:C,0))</f>
        <v>#N/A</v>
      </c>
      <c r="N853" s="18"/>
    </row>
    <row r="854" spans="1:14" ht="15" hidden="1" x14ac:dyDescent="0.2">
      <c r="A854" s="30" t="s">
        <v>2250</v>
      </c>
      <c r="B854" s="8" t="s">
        <v>2579</v>
      </c>
      <c r="C854" s="8" t="s">
        <v>2936</v>
      </c>
      <c r="D854" s="9" t="s">
        <v>28</v>
      </c>
      <c r="E854" s="9" t="s">
        <v>2388</v>
      </c>
      <c r="F854" s="10" t="s">
        <v>2387</v>
      </c>
      <c r="G854" s="9" t="s">
        <v>2471</v>
      </c>
      <c r="H854" s="16" t="s">
        <v>2570</v>
      </c>
      <c r="I854" s="38" t="s">
        <v>3187</v>
      </c>
      <c r="J854" s="26" t="s">
        <v>2948</v>
      </c>
      <c r="K854" s="16">
        <v>1</v>
      </c>
      <c r="L854" s="3" t="s">
        <v>2556</v>
      </c>
      <c r="M854" s="17" t="e">
        <f>INDEX(Validade!H:H,MATCH('Controle de Validade'!A854,Validade!C:C,0))</f>
        <v>#N/A</v>
      </c>
      <c r="N854" s="18"/>
    </row>
    <row r="855" spans="1:14" ht="15" hidden="1" x14ac:dyDescent="0.2">
      <c r="A855" s="30" t="s">
        <v>2249</v>
      </c>
      <c r="B855" s="8" t="s">
        <v>2579</v>
      </c>
      <c r="C855" s="8" t="s">
        <v>2937</v>
      </c>
      <c r="D855" s="9" t="s">
        <v>28</v>
      </c>
      <c r="E855" s="9" t="s">
        <v>2388</v>
      </c>
      <c r="F855" s="10" t="s">
        <v>2387</v>
      </c>
      <c r="G855" s="9" t="s">
        <v>2471</v>
      </c>
      <c r="H855" s="16" t="s">
        <v>2570</v>
      </c>
      <c r="I855" s="38" t="s">
        <v>3187</v>
      </c>
      <c r="J855" s="26" t="s">
        <v>2948</v>
      </c>
      <c r="K855" s="16">
        <v>1</v>
      </c>
      <c r="L855" s="3" t="s">
        <v>2556</v>
      </c>
      <c r="M855" s="17" t="e">
        <f>INDEX(Validade!H:H,MATCH('Controle de Validade'!A855,Validade!C:C,0))</f>
        <v>#N/A</v>
      </c>
      <c r="N855" s="18"/>
    </row>
    <row r="856" spans="1:14" ht="15" hidden="1" x14ac:dyDescent="0.2">
      <c r="A856" s="30" t="s">
        <v>2140</v>
      </c>
      <c r="B856" s="8" t="s">
        <v>2581</v>
      </c>
      <c r="C856" s="8" t="s">
        <v>2938</v>
      </c>
      <c r="D856" s="9" t="s">
        <v>963</v>
      </c>
      <c r="E856" s="9" t="s">
        <v>2393</v>
      </c>
      <c r="F856" s="10" t="s">
        <v>2392</v>
      </c>
      <c r="G856" s="9" t="s">
        <v>2394</v>
      </c>
      <c r="H856" s="16" t="s">
        <v>2571</v>
      </c>
      <c r="I856" s="53" t="s">
        <v>2412</v>
      </c>
      <c r="J856" s="25" t="s">
        <v>2412</v>
      </c>
      <c r="K856" s="16">
        <v>0</v>
      </c>
      <c r="L856" s="3" t="s">
        <v>2556</v>
      </c>
      <c r="M856" s="17" t="e">
        <f>INDEX(Validade!H:H,MATCH('Controle de Validade'!A856,Validade!C:C,0))</f>
        <v>#N/A</v>
      </c>
      <c r="N856" s="18"/>
    </row>
    <row r="857" spans="1:14" ht="15" hidden="1" x14ac:dyDescent="0.2">
      <c r="A857" s="30" t="s">
        <v>2113</v>
      </c>
      <c r="B857" s="8" t="s">
        <v>2581</v>
      </c>
      <c r="C857" s="8" t="s">
        <v>2939</v>
      </c>
      <c r="D857" s="9" t="s">
        <v>963</v>
      </c>
      <c r="E857" s="9" t="s">
        <v>2393</v>
      </c>
      <c r="F857" s="10" t="s">
        <v>2392</v>
      </c>
      <c r="G857" s="9" t="s">
        <v>2394</v>
      </c>
      <c r="H857" s="16" t="s">
        <v>2571</v>
      </c>
      <c r="I857" s="53" t="s">
        <v>2412</v>
      </c>
      <c r="J857" s="25" t="s">
        <v>2412</v>
      </c>
      <c r="K857" s="16">
        <v>0</v>
      </c>
      <c r="L857" s="3" t="s">
        <v>2556</v>
      </c>
      <c r="M857" s="17" t="e">
        <f>INDEX(Validade!H:H,MATCH('Controle de Validade'!A857,Validade!C:C,0))</f>
        <v>#N/A</v>
      </c>
      <c r="N857" s="18"/>
    </row>
    <row r="858" spans="1:14" ht="15" hidden="1" x14ac:dyDescent="0.2">
      <c r="A858" s="30" t="s">
        <v>2136</v>
      </c>
      <c r="B858" s="8" t="s">
        <v>2581</v>
      </c>
      <c r="C858" s="8" t="s">
        <v>2940</v>
      </c>
      <c r="D858" s="9" t="s">
        <v>963</v>
      </c>
      <c r="E858" s="9" t="s">
        <v>2393</v>
      </c>
      <c r="F858" s="10" t="s">
        <v>2392</v>
      </c>
      <c r="G858" s="9" t="s">
        <v>2394</v>
      </c>
      <c r="H858" s="16" t="s">
        <v>2571</v>
      </c>
      <c r="I858" s="53" t="s">
        <v>2412</v>
      </c>
      <c r="J858" s="25" t="s">
        <v>2412</v>
      </c>
      <c r="K858" s="16">
        <v>0</v>
      </c>
      <c r="L858" s="3" t="s">
        <v>2556</v>
      </c>
      <c r="M858" s="17" t="e">
        <f>INDEX(Validade!H:H,MATCH('Controle de Validade'!A858,Validade!C:C,0))</f>
        <v>#N/A</v>
      </c>
      <c r="N858" s="18"/>
    </row>
    <row r="859" spans="1:14" ht="15" hidden="1" x14ac:dyDescent="0.2">
      <c r="A859" s="30" t="s">
        <v>2197</v>
      </c>
      <c r="B859" s="8" t="s">
        <v>2579</v>
      </c>
      <c r="C859" s="8" t="s">
        <v>2941</v>
      </c>
      <c r="D859" s="9" t="s">
        <v>41</v>
      </c>
      <c r="E859" s="9" t="s">
        <v>2388</v>
      </c>
      <c r="F859" s="10" t="s">
        <v>2961</v>
      </c>
      <c r="G859" s="9" t="s">
        <v>2429</v>
      </c>
      <c r="H859" s="16" t="s">
        <v>2570</v>
      </c>
      <c r="I859" s="44" t="s">
        <v>2993</v>
      </c>
      <c r="J859" s="26" t="s">
        <v>2994</v>
      </c>
      <c r="K859" s="16">
        <v>1</v>
      </c>
      <c r="L859" s="3" t="s">
        <v>2556</v>
      </c>
      <c r="M859" s="17" t="e">
        <f>INDEX(Validade!H:H,MATCH('Controle de Validade'!A859,Validade!C:C,0))</f>
        <v>#N/A</v>
      </c>
      <c r="N859" s="18"/>
    </row>
    <row r="860" spans="1:14" ht="15" hidden="1" x14ac:dyDescent="0.2">
      <c r="A860" s="30" t="s">
        <v>2292</v>
      </c>
      <c r="B860" s="8" t="s">
        <v>2927</v>
      </c>
      <c r="C860" s="8" t="s">
        <v>2966</v>
      </c>
      <c r="D860" s="9" t="s">
        <v>702</v>
      </c>
      <c r="E860" s="9" t="s">
        <v>2388</v>
      </c>
      <c r="F860" s="10" t="s">
        <v>2387</v>
      </c>
      <c r="G860" s="9" t="s">
        <v>2394</v>
      </c>
      <c r="H860" s="16" t="s">
        <v>2571</v>
      </c>
      <c r="I860" s="53" t="s">
        <v>2412</v>
      </c>
      <c r="J860" s="25" t="s">
        <v>2412</v>
      </c>
      <c r="L860" s="3" t="s">
        <v>2556</v>
      </c>
      <c r="M860" s="17" t="e">
        <f>INDEX(Validade!H:H,MATCH('Controle de Validade'!A860,Validade!C:C,0))</f>
        <v>#N/A</v>
      </c>
    </row>
    <row r="861" spans="1:14" ht="15" hidden="1" x14ac:dyDescent="0.2">
      <c r="A861" s="30" t="s">
        <v>1050</v>
      </c>
      <c r="B861" s="8" t="s">
        <v>2579</v>
      </c>
      <c r="C861" s="8" t="s">
        <v>1051</v>
      </c>
      <c r="D861" s="9" t="s">
        <v>922</v>
      </c>
      <c r="E861" s="9" t="s">
        <v>2388</v>
      </c>
      <c r="F861" s="10" t="s">
        <v>2392</v>
      </c>
      <c r="G861" s="9" t="s">
        <v>2451</v>
      </c>
      <c r="H861" s="16" t="s">
        <v>2571</v>
      </c>
      <c r="I861" s="53" t="s">
        <v>2412</v>
      </c>
      <c r="J861" s="25" t="s">
        <v>2412</v>
      </c>
      <c r="K861" s="16">
        <v>0</v>
      </c>
      <c r="L861" s="3" t="s">
        <v>2556</v>
      </c>
      <c r="M861" s="17">
        <f>INDEX(Validade!H:H,MATCH('Controle de Validade'!A861,Validade!C:C,0))</f>
        <v>62458</v>
      </c>
    </row>
    <row r="862" spans="1:14" ht="15" hidden="1" x14ac:dyDescent="0.2">
      <c r="A862" s="30" t="s">
        <v>1003</v>
      </c>
      <c r="B862" s="8" t="s">
        <v>2580</v>
      </c>
      <c r="C862" s="8" t="s">
        <v>1004</v>
      </c>
      <c r="D862" s="9" t="s">
        <v>2540</v>
      </c>
      <c r="E862" s="9" t="s">
        <v>2393</v>
      </c>
      <c r="F862" s="10" t="s">
        <v>2392</v>
      </c>
      <c r="G862" s="9" t="s">
        <v>2447</v>
      </c>
      <c r="H862" s="16" t="s">
        <v>2570</v>
      </c>
      <c r="I862" s="38" t="s">
        <v>3187</v>
      </c>
      <c r="J862" s="52" t="s">
        <v>2412</v>
      </c>
      <c r="K862" s="16">
        <v>1</v>
      </c>
      <c r="L862" s="3" t="s">
        <v>2556</v>
      </c>
      <c r="M862" s="17">
        <f>INDEX(Validade!H:H,MATCH('Controle de Validade'!A862,Validade!C:C,0))</f>
        <v>46638</v>
      </c>
    </row>
    <row r="863" spans="1:14" ht="15" hidden="1" x14ac:dyDescent="0.2">
      <c r="A863" s="28" t="s">
        <v>2305</v>
      </c>
      <c r="B863" s="8" t="s">
        <v>2579</v>
      </c>
      <c r="C863" s="8" t="s">
        <v>2967</v>
      </c>
      <c r="D863" s="9" t="s">
        <v>2504</v>
      </c>
      <c r="E863" s="9" t="s">
        <v>2388</v>
      </c>
      <c r="F863" s="10" t="s">
        <v>2961</v>
      </c>
      <c r="G863" s="9" t="s">
        <v>2389</v>
      </c>
      <c r="H863" s="16" t="s">
        <v>2570</v>
      </c>
      <c r="I863" s="39"/>
      <c r="J863" s="43"/>
      <c r="K863" s="16">
        <v>1</v>
      </c>
      <c r="L863" s="3" t="s">
        <v>2556</v>
      </c>
      <c r="M863" s="17" t="e">
        <f>INDEX(Validade!H:H,MATCH('Controle de Validade'!A863,Validade!C:C,0))</f>
        <v>#N/A</v>
      </c>
      <c r="N863" s="18"/>
    </row>
    <row r="864" spans="1:14" ht="15" hidden="1" x14ac:dyDescent="0.2">
      <c r="A864" s="30" t="s">
        <v>203</v>
      </c>
      <c r="B864" s="8" t="s">
        <v>2579</v>
      </c>
      <c r="C864" s="8" t="s">
        <v>204</v>
      </c>
      <c r="D864" s="9" t="s">
        <v>28</v>
      </c>
      <c r="E864" s="9" t="s">
        <v>2388</v>
      </c>
      <c r="F864" s="10" t="s">
        <v>2387</v>
      </c>
      <c r="G864" s="9" t="s">
        <v>2471</v>
      </c>
      <c r="H864" s="16" t="s">
        <v>2570</v>
      </c>
      <c r="I864" s="38" t="s">
        <v>3187</v>
      </c>
      <c r="J864" s="26" t="s">
        <v>2948</v>
      </c>
      <c r="K864" s="16">
        <v>1</v>
      </c>
      <c r="L864" s="3" t="s">
        <v>2556</v>
      </c>
      <c r="M864" s="17">
        <f>INDEX(Validade!H:H,MATCH('Controle de Validade'!A864,Validade!C:C,0))</f>
        <v>47300</v>
      </c>
      <c r="N864" s="18"/>
    </row>
    <row r="865" spans="1:14" ht="15" hidden="1" x14ac:dyDescent="0.2">
      <c r="A865" s="30" t="s">
        <v>854</v>
      </c>
      <c r="B865" s="8" t="s">
        <v>2579</v>
      </c>
      <c r="C865" s="8" t="s">
        <v>855</v>
      </c>
      <c r="D865" s="9" t="s">
        <v>2510</v>
      </c>
      <c r="E865" s="9">
        <v>0</v>
      </c>
      <c r="F865" s="10" t="s">
        <v>2387</v>
      </c>
      <c r="G865" s="9" t="s">
        <v>2453</v>
      </c>
      <c r="H865" s="16" t="s">
        <v>2571</v>
      </c>
      <c r="I865" s="53" t="s">
        <v>2412</v>
      </c>
      <c r="J865" s="25" t="s">
        <v>2412</v>
      </c>
      <c r="K865" s="16">
        <v>0</v>
      </c>
      <c r="L865" s="3" t="s">
        <v>2556</v>
      </c>
      <c r="M865" s="17">
        <f>INDEX(Validade!H:H,MATCH('Controle de Validade'!A865,Validade!C:C,0))</f>
        <v>0</v>
      </c>
    </row>
    <row r="866" spans="1:14" ht="15" hidden="1" x14ac:dyDescent="0.2">
      <c r="A866" s="30" t="s">
        <v>2294</v>
      </c>
      <c r="B866" s="8" t="s">
        <v>2927</v>
      </c>
      <c r="C866" s="8" t="s">
        <v>2968</v>
      </c>
      <c r="D866" s="9" t="s">
        <v>2549</v>
      </c>
      <c r="E866" s="9" t="s">
        <v>2393</v>
      </c>
      <c r="F866" s="10" t="s">
        <v>2392</v>
      </c>
      <c r="G866" s="9" t="s">
        <v>2410</v>
      </c>
      <c r="H866" s="16" t="s">
        <v>2571</v>
      </c>
      <c r="I866" s="53" t="s">
        <v>2412</v>
      </c>
      <c r="J866" s="25" t="s">
        <v>2412</v>
      </c>
      <c r="K866" s="16">
        <v>0</v>
      </c>
      <c r="L866" s="3" t="s">
        <v>2556</v>
      </c>
      <c r="M866" s="17" t="e">
        <f>INDEX(Validade!H:H,MATCH('Controle de Validade'!A866,Validade!C:C,0))</f>
        <v>#N/A</v>
      </c>
    </row>
    <row r="867" spans="1:14" ht="15" hidden="1" x14ac:dyDescent="0.2">
      <c r="A867" s="30" t="s">
        <v>222</v>
      </c>
      <c r="B867" s="8" t="s">
        <v>2579</v>
      </c>
      <c r="C867" s="8" t="s">
        <v>223</v>
      </c>
      <c r="D867" s="9" t="s">
        <v>15</v>
      </c>
      <c r="E867" s="9" t="s">
        <v>2388</v>
      </c>
      <c r="F867" s="10" t="s">
        <v>2387</v>
      </c>
      <c r="G867" s="9" t="s">
        <v>2479</v>
      </c>
      <c r="H867" s="16" t="s">
        <v>2571</v>
      </c>
      <c r="I867" s="53" t="s">
        <v>2412</v>
      </c>
      <c r="J867" s="25" t="s">
        <v>2412</v>
      </c>
      <c r="K867" s="16">
        <v>0</v>
      </c>
      <c r="L867" s="3" t="s">
        <v>2556</v>
      </c>
      <c r="M867" s="17">
        <f>INDEX(Validade!H:H,MATCH('Controle de Validade'!A867,Validade!C:C,0))</f>
        <v>62458</v>
      </c>
    </row>
    <row r="868" spans="1:14" ht="15" hidden="1" x14ac:dyDescent="0.2">
      <c r="A868" s="30" t="s">
        <v>193</v>
      </c>
      <c r="B868" s="8" t="s">
        <v>2579</v>
      </c>
      <c r="C868" s="8" t="s">
        <v>194</v>
      </c>
      <c r="D868" s="9" t="s">
        <v>3238</v>
      </c>
      <c r="E868" s="9" t="s">
        <v>2388</v>
      </c>
      <c r="F868" s="10" t="s">
        <v>2387</v>
      </c>
      <c r="G868" s="9" t="s">
        <v>2479</v>
      </c>
      <c r="H868" s="16" t="s">
        <v>2571</v>
      </c>
      <c r="I868" s="53" t="s">
        <v>2412</v>
      </c>
      <c r="J868" s="25" t="s">
        <v>2412</v>
      </c>
      <c r="K868" s="16">
        <v>0</v>
      </c>
      <c r="L868" s="3" t="s">
        <v>2556</v>
      </c>
      <c r="M868" s="17">
        <f>INDEX(Validade!H:H,MATCH('Controle de Validade'!A868,Validade!C:C,0))</f>
        <v>62458</v>
      </c>
    </row>
    <row r="869" spans="1:14" ht="15" hidden="1" x14ac:dyDescent="0.2">
      <c r="A869" s="30" t="s">
        <v>2225</v>
      </c>
      <c r="B869" s="8" t="s">
        <v>2579</v>
      </c>
      <c r="C869" s="8" t="s">
        <v>2969</v>
      </c>
      <c r="D869" s="9" t="s">
        <v>15</v>
      </c>
      <c r="E869" s="9" t="s">
        <v>2388</v>
      </c>
      <c r="F869" s="10" t="s">
        <v>2387</v>
      </c>
      <c r="G869" s="9" t="s">
        <v>2479</v>
      </c>
      <c r="H869" s="16" t="s">
        <v>2571</v>
      </c>
      <c r="I869" s="53" t="s">
        <v>2412</v>
      </c>
      <c r="J869" s="25" t="s">
        <v>2412</v>
      </c>
      <c r="K869" s="16">
        <v>0</v>
      </c>
      <c r="L869" s="3" t="s">
        <v>2556</v>
      </c>
      <c r="M869" s="17" t="e">
        <f>INDEX(Validade!H:H,MATCH('Controle de Validade'!A869,Validade!C:C,0))</f>
        <v>#N/A</v>
      </c>
    </row>
    <row r="870" spans="1:14" ht="15" hidden="1" x14ac:dyDescent="0.2">
      <c r="A870" s="30" t="s">
        <v>228</v>
      </c>
      <c r="B870" s="8" t="s">
        <v>2579</v>
      </c>
      <c r="C870" s="8" t="s">
        <v>229</v>
      </c>
      <c r="D870" s="9" t="s">
        <v>2487</v>
      </c>
      <c r="E870" s="9" t="s">
        <v>2388</v>
      </c>
      <c r="F870" s="10" t="s">
        <v>2392</v>
      </c>
      <c r="G870" s="9" t="s">
        <v>2463</v>
      </c>
      <c r="H870" s="16" t="s">
        <v>2571</v>
      </c>
      <c r="I870" s="53" t="s">
        <v>2412</v>
      </c>
      <c r="J870" s="25" t="s">
        <v>2412</v>
      </c>
      <c r="K870" s="16">
        <v>0</v>
      </c>
      <c r="L870" s="3" t="s">
        <v>2556</v>
      </c>
      <c r="M870" s="17">
        <f>INDEX(Validade!H:H,MATCH('Controle de Validade'!A870,Validade!C:C,0))</f>
        <v>0</v>
      </c>
    </row>
    <row r="871" spans="1:14" ht="15" hidden="1" x14ac:dyDescent="0.2">
      <c r="A871" s="30" t="s">
        <v>234</v>
      </c>
      <c r="B871" s="8" t="s">
        <v>2579</v>
      </c>
      <c r="C871" s="8" t="s">
        <v>235</v>
      </c>
      <c r="D871" s="9" t="s">
        <v>2513</v>
      </c>
      <c r="E871" s="9" t="s">
        <v>2388</v>
      </c>
      <c r="F871" s="10" t="s">
        <v>2392</v>
      </c>
      <c r="G871" s="9" t="s">
        <v>2463</v>
      </c>
      <c r="H871" s="16" t="s">
        <v>2571</v>
      </c>
      <c r="I871" s="53" t="s">
        <v>2412</v>
      </c>
      <c r="J871" s="25" t="s">
        <v>2412</v>
      </c>
      <c r="K871" s="16">
        <v>0</v>
      </c>
      <c r="L871" s="3" t="s">
        <v>2556</v>
      </c>
      <c r="M871" s="17">
        <f>INDEX(Validade!H:H,MATCH('Controle de Validade'!A871,Validade!C:C,0))</f>
        <v>0</v>
      </c>
    </row>
    <row r="872" spans="1:14" ht="15" hidden="1" x14ac:dyDescent="0.2">
      <c r="A872" s="30" t="s">
        <v>219</v>
      </c>
      <c r="B872" s="8" t="s">
        <v>2579</v>
      </c>
      <c r="C872" s="8" t="s">
        <v>220</v>
      </c>
      <c r="D872" s="9" t="s">
        <v>15</v>
      </c>
      <c r="E872" s="9" t="s">
        <v>2388</v>
      </c>
      <c r="F872" s="10" t="s">
        <v>2387</v>
      </c>
      <c r="G872" s="9" t="s">
        <v>2479</v>
      </c>
      <c r="H872" s="16" t="s">
        <v>2571</v>
      </c>
      <c r="I872" s="53" t="s">
        <v>2412</v>
      </c>
      <c r="J872" s="25" t="s">
        <v>2412</v>
      </c>
      <c r="K872" s="16">
        <v>0</v>
      </c>
      <c r="L872" s="3" t="s">
        <v>2556</v>
      </c>
      <c r="M872" s="17">
        <f>INDEX(Validade!H:H,MATCH('Controle de Validade'!A872,Validade!C:C,0))</f>
        <v>62458</v>
      </c>
    </row>
    <row r="873" spans="1:14" ht="15" hidden="1" x14ac:dyDescent="0.2">
      <c r="A873" s="30" t="s">
        <v>216</v>
      </c>
      <c r="B873" s="8" t="s">
        <v>2579</v>
      </c>
      <c r="C873" s="8" t="s">
        <v>217</v>
      </c>
      <c r="D873" s="9" t="s">
        <v>15</v>
      </c>
      <c r="E873" s="9" t="s">
        <v>2388</v>
      </c>
      <c r="F873" s="10" t="s">
        <v>2387</v>
      </c>
      <c r="G873" s="9" t="s">
        <v>2479</v>
      </c>
      <c r="H873" s="16" t="s">
        <v>2571</v>
      </c>
      <c r="I873" s="53" t="s">
        <v>2412</v>
      </c>
      <c r="J873" s="25" t="s">
        <v>2412</v>
      </c>
      <c r="K873" s="16">
        <v>0</v>
      </c>
      <c r="L873" s="3" t="s">
        <v>2556</v>
      </c>
      <c r="M873" s="17">
        <f>INDEX(Validade!H:H,MATCH('Controle de Validade'!A873,Validade!C:C,0))</f>
        <v>62458</v>
      </c>
    </row>
    <row r="874" spans="1:14" ht="15" hidden="1" x14ac:dyDescent="0.2">
      <c r="A874" s="30" t="s">
        <v>1055</v>
      </c>
      <c r="B874" s="8" t="s">
        <v>2579</v>
      </c>
      <c r="C874" s="8" t="s">
        <v>1056</v>
      </c>
      <c r="D874" s="9" t="s">
        <v>41</v>
      </c>
      <c r="E874" s="9" t="s">
        <v>2388</v>
      </c>
      <c r="F874" s="10" t="s">
        <v>2961</v>
      </c>
      <c r="G874" s="9" t="s">
        <v>2429</v>
      </c>
      <c r="H874" s="16" t="s">
        <v>2570</v>
      </c>
      <c r="I874" s="32" t="s">
        <v>2993</v>
      </c>
      <c r="J874" s="26" t="s">
        <v>2994</v>
      </c>
      <c r="K874" s="16">
        <v>1</v>
      </c>
      <c r="L874" s="3" t="s">
        <v>2556</v>
      </c>
      <c r="M874" s="17">
        <f>INDEX(Validade!H:H,MATCH('Controle de Validade'!A874,Validade!C:C,0))</f>
        <v>45853</v>
      </c>
      <c r="N874" s="18"/>
    </row>
    <row r="875" spans="1:14" ht="15" hidden="1" x14ac:dyDescent="0.2">
      <c r="A875" s="30" t="s">
        <v>207</v>
      </c>
      <c r="B875" s="8" t="s">
        <v>2579</v>
      </c>
      <c r="C875" s="8" t="s">
        <v>208</v>
      </c>
      <c r="D875" s="9" t="e">
        <v>#N/A</v>
      </c>
      <c r="E875" s="9" t="s">
        <v>2388</v>
      </c>
      <c r="F875" s="10" t="s">
        <v>2387</v>
      </c>
      <c r="G875" s="9" t="s">
        <v>2410</v>
      </c>
      <c r="H875" s="16" t="s">
        <v>2571</v>
      </c>
      <c r="I875" s="53" t="s">
        <v>2412</v>
      </c>
      <c r="J875" s="25" t="s">
        <v>2412</v>
      </c>
      <c r="K875" s="16">
        <v>0</v>
      </c>
      <c r="L875" s="3" t="s">
        <v>2556</v>
      </c>
      <c r="M875" s="17">
        <f>INDEX(Validade!H:H,MATCH('Controle de Validade'!A875,Validade!C:C,0))</f>
        <v>62458</v>
      </c>
    </row>
    <row r="876" spans="1:14" ht="15" hidden="1" x14ac:dyDescent="0.2">
      <c r="A876" s="30" t="s">
        <v>196</v>
      </c>
      <c r="B876" s="8" t="s">
        <v>2579</v>
      </c>
      <c r="C876" s="8" t="s">
        <v>197</v>
      </c>
      <c r="D876" s="9" t="s">
        <v>15</v>
      </c>
      <c r="E876" s="9" t="s">
        <v>2388</v>
      </c>
      <c r="F876" s="10" t="s">
        <v>2387</v>
      </c>
      <c r="G876" s="9" t="s">
        <v>2479</v>
      </c>
      <c r="H876" s="16" t="s">
        <v>2571</v>
      </c>
      <c r="I876" s="53" t="s">
        <v>2412</v>
      </c>
      <c r="J876" s="25" t="s">
        <v>2412</v>
      </c>
      <c r="K876" s="16">
        <v>0</v>
      </c>
      <c r="L876" s="3" t="s">
        <v>2556</v>
      </c>
      <c r="M876" s="17">
        <f>INDEX(Validade!H:H,MATCH('Controle de Validade'!A876,Validade!C:C,0))</f>
        <v>62458</v>
      </c>
    </row>
    <row r="877" spans="1:14" ht="15" hidden="1" x14ac:dyDescent="0.2">
      <c r="A877" s="30" t="s">
        <v>190</v>
      </c>
      <c r="B877" s="8" t="s">
        <v>2579</v>
      </c>
      <c r="C877" s="8" t="s">
        <v>191</v>
      </c>
      <c r="D877" s="9" t="s">
        <v>15</v>
      </c>
      <c r="E877" s="9" t="s">
        <v>2388</v>
      </c>
      <c r="F877" s="10" t="s">
        <v>2387</v>
      </c>
      <c r="G877" s="9" t="s">
        <v>2479</v>
      </c>
      <c r="H877" s="16" t="s">
        <v>2571</v>
      </c>
      <c r="I877" s="53" t="s">
        <v>2412</v>
      </c>
      <c r="J877" s="25" t="s">
        <v>2412</v>
      </c>
      <c r="K877" s="16">
        <v>0</v>
      </c>
      <c r="L877" s="3" t="s">
        <v>2556</v>
      </c>
      <c r="M877" s="17">
        <f>INDEX(Validade!H:H,MATCH('Controle de Validade'!A877,Validade!C:C,0))</f>
        <v>0</v>
      </c>
    </row>
    <row r="878" spans="1:14" ht="15" hidden="1" x14ac:dyDescent="0.2">
      <c r="A878" s="30" t="s">
        <v>225</v>
      </c>
      <c r="B878" s="8" t="s">
        <v>2579</v>
      </c>
      <c r="C878" s="8" t="s">
        <v>226</v>
      </c>
      <c r="D878" s="9" t="s">
        <v>15</v>
      </c>
      <c r="E878" s="9" t="s">
        <v>2388</v>
      </c>
      <c r="F878" s="10" t="s">
        <v>2387</v>
      </c>
      <c r="G878" s="9" t="s">
        <v>2479</v>
      </c>
      <c r="H878" s="16" t="s">
        <v>2571</v>
      </c>
      <c r="I878" s="53" t="s">
        <v>2412</v>
      </c>
      <c r="J878" s="25" t="s">
        <v>2412</v>
      </c>
      <c r="K878" s="16">
        <v>0</v>
      </c>
      <c r="L878" s="3" t="s">
        <v>2556</v>
      </c>
      <c r="M878" s="17">
        <f>INDEX(Validade!H:H,MATCH('Controle de Validade'!A878,Validade!C:C,0))</f>
        <v>0</v>
      </c>
    </row>
    <row r="879" spans="1:14" ht="15" hidden="1" x14ac:dyDescent="0.2">
      <c r="A879" s="30" t="s">
        <v>382</v>
      </c>
      <c r="B879" s="8" t="s">
        <v>2580</v>
      </c>
      <c r="C879" s="8" t="s">
        <v>383</v>
      </c>
      <c r="D879" s="9" t="s">
        <v>2396</v>
      </c>
      <c r="E879" s="9" t="s">
        <v>2393</v>
      </c>
      <c r="F879" s="10" t="s">
        <v>2392</v>
      </c>
      <c r="G879" s="9" t="s">
        <v>2397</v>
      </c>
      <c r="H879" s="16" t="s">
        <v>2571</v>
      </c>
      <c r="I879" s="53" t="s">
        <v>2412</v>
      </c>
      <c r="J879" s="25" t="s">
        <v>2412</v>
      </c>
      <c r="K879" s="16">
        <v>0</v>
      </c>
      <c r="L879" s="3" t="s">
        <v>2556</v>
      </c>
      <c r="M879" s="17">
        <f>INDEX(Validade!H:H,MATCH('Controle de Validade'!A879,Validade!C:C,0))</f>
        <v>0</v>
      </c>
    </row>
    <row r="880" spans="1:14" ht="15" hidden="1" x14ac:dyDescent="0.2">
      <c r="A880" s="30" t="s">
        <v>1088</v>
      </c>
      <c r="B880" s="8" t="s">
        <v>2580</v>
      </c>
      <c r="C880" s="8" t="s">
        <v>383</v>
      </c>
      <c r="D880" s="9" t="s">
        <v>903</v>
      </c>
      <c r="E880" s="9" t="s">
        <v>2393</v>
      </c>
      <c r="F880" s="10" t="s">
        <v>2392</v>
      </c>
      <c r="G880" s="9" t="s">
        <v>2397</v>
      </c>
      <c r="H880" s="16" t="s">
        <v>2571</v>
      </c>
      <c r="I880" s="53" t="s">
        <v>2412</v>
      </c>
      <c r="J880" s="25" t="s">
        <v>2412</v>
      </c>
      <c r="K880" s="16">
        <v>0</v>
      </c>
      <c r="L880" s="3" t="s">
        <v>2556</v>
      </c>
      <c r="M880" s="17">
        <f>INDEX(Validade!H:H,MATCH('Controle de Validade'!A880,Validade!C:C,0))</f>
        <v>0</v>
      </c>
    </row>
    <row r="881" spans="1:14" ht="15" hidden="1" x14ac:dyDescent="0.2">
      <c r="A881" s="30" t="s">
        <v>384</v>
      </c>
      <c r="B881" s="8" t="s">
        <v>2580</v>
      </c>
      <c r="C881" s="8" t="s">
        <v>385</v>
      </c>
      <c r="D881" s="9" t="s">
        <v>903</v>
      </c>
      <c r="E881" s="9" t="s">
        <v>2393</v>
      </c>
      <c r="F881" s="10" t="s">
        <v>2392</v>
      </c>
      <c r="G881" s="9" t="s">
        <v>2397</v>
      </c>
      <c r="H881" s="16" t="s">
        <v>2571</v>
      </c>
      <c r="I881" s="53" t="s">
        <v>2412</v>
      </c>
      <c r="J881" s="25" t="s">
        <v>2412</v>
      </c>
      <c r="K881" s="16">
        <v>0</v>
      </c>
      <c r="L881" s="3" t="s">
        <v>2556</v>
      </c>
      <c r="M881" s="17">
        <f>INDEX(Validade!H:H,MATCH('Controle de Validade'!A881,Validade!C:C,0))</f>
        <v>0</v>
      </c>
    </row>
    <row r="882" spans="1:14" ht="15" hidden="1" x14ac:dyDescent="0.2">
      <c r="A882" s="30" t="s">
        <v>1090</v>
      </c>
      <c r="B882" s="8" t="s">
        <v>2580</v>
      </c>
      <c r="C882" s="8" t="s">
        <v>385</v>
      </c>
      <c r="D882" s="9" t="s">
        <v>903</v>
      </c>
      <c r="E882" s="9" t="s">
        <v>2393</v>
      </c>
      <c r="F882" s="10" t="s">
        <v>2392</v>
      </c>
      <c r="G882" s="9" t="s">
        <v>2397</v>
      </c>
      <c r="H882" s="16" t="s">
        <v>2571</v>
      </c>
      <c r="I882" s="53" t="s">
        <v>2412</v>
      </c>
      <c r="J882" s="25" t="s">
        <v>2412</v>
      </c>
      <c r="K882" s="16">
        <v>0</v>
      </c>
      <c r="L882" s="3" t="s">
        <v>2556</v>
      </c>
      <c r="M882" s="17">
        <f>INDEX(Validade!H:H,MATCH('Controle de Validade'!A882,Validade!C:C,0))</f>
        <v>0</v>
      </c>
    </row>
    <row r="883" spans="1:14" ht="15" hidden="1" x14ac:dyDescent="0.2">
      <c r="A883" s="30" t="s">
        <v>2223</v>
      </c>
      <c r="B883" s="8" t="s">
        <v>2579</v>
      </c>
      <c r="C883" s="8" t="s">
        <v>2970</v>
      </c>
      <c r="D883" s="9" t="s">
        <v>15</v>
      </c>
      <c r="E883" s="9" t="s">
        <v>2388</v>
      </c>
      <c r="F883" s="10" t="s">
        <v>2387</v>
      </c>
      <c r="G883" s="9" t="s">
        <v>2479</v>
      </c>
      <c r="H883" s="16" t="s">
        <v>2571</v>
      </c>
      <c r="I883" s="53" t="s">
        <v>2412</v>
      </c>
      <c r="J883" s="25" t="s">
        <v>2412</v>
      </c>
      <c r="K883" s="16">
        <v>0</v>
      </c>
      <c r="L883" s="3" t="s">
        <v>2556</v>
      </c>
      <c r="M883" s="17" t="e">
        <f>INDEX(Validade!H:H,MATCH('Controle de Validade'!A883,Validade!C:C,0))</f>
        <v>#N/A</v>
      </c>
    </row>
    <row r="884" spans="1:14" ht="15" hidden="1" x14ac:dyDescent="0.2">
      <c r="A884" s="30" t="s">
        <v>2224</v>
      </c>
      <c r="B884" s="8" t="s">
        <v>2579</v>
      </c>
      <c r="C884" s="8" t="s">
        <v>2971</v>
      </c>
      <c r="D884" s="9" t="s">
        <v>15</v>
      </c>
      <c r="E884" s="9" t="s">
        <v>2388</v>
      </c>
      <c r="F884" s="10" t="s">
        <v>2387</v>
      </c>
      <c r="G884" s="9" t="s">
        <v>2479</v>
      </c>
      <c r="H884" s="16" t="s">
        <v>2571</v>
      </c>
      <c r="I884" s="53" t="s">
        <v>2412</v>
      </c>
      <c r="J884" s="25" t="s">
        <v>2412</v>
      </c>
      <c r="K884" s="16">
        <v>0</v>
      </c>
      <c r="L884" s="3" t="s">
        <v>2556</v>
      </c>
      <c r="M884" s="17" t="e">
        <f>INDEX(Validade!H:H,MATCH('Controle de Validade'!A884,Validade!C:C,0))</f>
        <v>#N/A</v>
      </c>
    </row>
    <row r="885" spans="1:14" ht="15" hidden="1" x14ac:dyDescent="0.2">
      <c r="A885" s="30" t="s">
        <v>2255</v>
      </c>
      <c r="B885" s="8" t="s">
        <v>2579</v>
      </c>
      <c r="C885" s="8" t="s">
        <v>2972</v>
      </c>
      <c r="D885" s="9" t="s">
        <v>2485</v>
      </c>
      <c r="E885" s="9" t="s">
        <v>2388</v>
      </c>
      <c r="F885" s="10" t="s">
        <v>2387</v>
      </c>
      <c r="G885" s="9" t="s">
        <v>2479</v>
      </c>
      <c r="H885" s="16" t="s">
        <v>2571</v>
      </c>
      <c r="I885" s="53" t="s">
        <v>2412</v>
      </c>
      <c r="J885" s="25" t="s">
        <v>2412</v>
      </c>
      <c r="K885" s="16">
        <v>0</v>
      </c>
      <c r="L885" s="3" t="s">
        <v>2556</v>
      </c>
      <c r="M885" s="17" t="e">
        <f>INDEX(Validade!H:H,MATCH('Controle de Validade'!A885,Validade!C:C,0))</f>
        <v>#N/A</v>
      </c>
    </row>
    <row r="886" spans="1:14" ht="15" hidden="1" x14ac:dyDescent="0.2">
      <c r="A886" s="30" t="s">
        <v>232</v>
      </c>
      <c r="B886" s="8" t="s">
        <v>2579</v>
      </c>
      <c r="C886" s="8" t="s">
        <v>233</v>
      </c>
      <c r="D886" s="9" t="s">
        <v>2485</v>
      </c>
      <c r="E886" s="9" t="s">
        <v>2388</v>
      </c>
      <c r="F886" s="10" t="s">
        <v>2387</v>
      </c>
      <c r="G886" s="9" t="s">
        <v>2479</v>
      </c>
      <c r="H886" s="16" t="s">
        <v>2571</v>
      </c>
      <c r="I886" s="53" t="s">
        <v>2412</v>
      </c>
      <c r="J886" s="25" t="s">
        <v>2412</v>
      </c>
      <c r="K886" s="16">
        <v>0</v>
      </c>
      <c r="L886" s="3" t="s">
        <v>2556</v>
      </c>
      <c r="M886" s="17">
        <f>INDEX(Validade!H:H,MATCH('Controle de Validade'!A886,Validade!C:C,0))</f>
        <v>45932</v>
      </c>
    </row>
    <row r="887" spans="1:14" ht="15" hidden="1" x14ac:dyDescent="0.2">
      <c r="A887" s="30" t="s">
        <v>2205</v>
      </c>
      <c r="B887" s="8" t="s">
        <v>2579</v>
      </c>
      <c r="C887" s="8" t="s">
        <v>2973</v>
      </c>
      <c r="D887" s="9" t="s">
        <v>2485</v>
      </c>
      <c r="E887" s="9" t="s">
        <v>2388</v>
      </c>
      <c r="F887" s="10" t="s">
        <v>2387</v>
      </c>
      <c r="G887" s="9" t="s">
        <v>2479</v>
      </c>
      <c r="H887" s="16" t="s">
        <v>2571</v>
      </c>
      <c r="I887" s="53" t="s">
        <v>2412</v>
      </c>
      <c r="J887" s="25" t="s">
        <v>2412</v>
      </c>
      <c r="K887" s="16">
        <v>0</v>
      </c>
      <c r="L887" s="3" t="s">
        <v>2556</v>
      </c>
      <c r="M887" s="17" t="e">
        <f>INDEX(Validade!H:H,MATCH('Controle de Validade'!A887,Validade!C:C,0))</f>
        <v>#N/A</v>
      </c>
    </row>
    <row r="888" spans="1:14" ht="15" hidden="1" x14ac:dyDescent="0.2">
      <c r="A888" s="30" t="s">
        <v>210</v>
      </c>
      <c r="B888" s="8" t="s">
        <v>2579</v>
      </c>
      <c r="C888" s="8" t="s">
        <v>211</v>
      </c>
      <c r="D888" s="9" t="s">
        <v>213</v>
      </c>
      <c r="E888" s="9" t="s">
        <v>2393</v>
      </c>
      <c r="F888" s="10" t="s">
        <v>2392</v>
      </c>
      <c r="G888" s="9" t="s">
        <v>2463</v>
      </c>
      <c r="H888" s="16" t="s">
        <v>2571</v>
      </c>
      <c r="I888" s="53" t="s">
        <v>2412</v>
      </c>
      <c r="J888" s="25" t="s">
        <v>2412</v>
      </c>
      <c r="K888" s="16">
        <v>0</v>
      </c>
      <c r="L888" s="3" t="s">
        <v>2556</v>
      </c>
      <c r="M888" s="17">
        <f>INDEX(Validade!H:H,MATCH('Controle de Validade'!A888,Validade!C:C,0))</f>
        <v>0</v>
      </c>
    </row>
    <row r="889" spans="1:14" ht="15" hidden="1" x14ac:dyDescent="0.2">
      <c r="A889" s="30" t="s">
        <v>1061</v>
      </c>
      <c r="B889" s="8" t="s">
        <v>2579</v>
      </c>
      <c r="C889" s="8" t="s">
        <v>1062</v>
      </c>
      <c r="D889" s="9" t="s">
        <v>1063</v>
      </c>
      <c r="E889" s="9" t="s">
        <v>2388</v>
      </c>
      <c r="F889" s="10" t="s">
        <v>2392</v>
      </c>
      <c r="G889" s="9" t="s">
        <v>2453</v>
      </c>
      <c r="H889" s="16" t="s">
        <v>2571</v>
      </c>
      <c r="I889" s="53" t="s">
        <v>2412</v>
      </c>
      <c r="J889" s="25" t="s">
        <v>2412</v>
      </c>
      <c r="K889" s="16">
        <v>0</v>
      </c>
      <c r="L889" s="3" t="s">
        <v>2556</v>
      </c>
      <c r="M889" s="17">
        <f>INDEX(Validade!H:H,MATCH('Controle de Validade'!A889,Validade!C:C,0))</f>
        <v>0</v>
      </c>
    </row>
    <row r="890" spans="1:14" ht="15" hidden="1" x14ac:dyDescent="0.2">
      <c r="A890" s="30" t="s">
        <v>1058</v>
      </c>
      <c r="B890" s="8" t="s">
        <v>2579</v>
      </c>
      <c r="C890" s="8" t="s">
        <v>1059</v>
      </c>
      <c r="D890" s="9" t="s">
        <v>144</v>
      </c>
      <c r="E890" s="9" t="s">
        <v>2388</v>
      </c>
      <c r="F890" s="10" t="s">
        <v>2392</v>
      </c>
      <c r="G890" s="9" t="s">
        <v>2463</v>
      </c>
      <c r="H890" s="16" t="s">
        <v>2571</v>
      </c>
      <c r="I890" s="53" t="s">
        <v>2412</v>
      </c>
      <c r="J890" s="25" t="s">
        <v>2412</v>
      </c>
      <c r="K890" s="16">
        <v>0</v>
      </c>
      <c r="L890" s="3" t="s">
        <v>2556</v>
      </c>
      <c r="M890" s="17">
        <f>INDEX(Validade!H:H,MATCH('Controle de Validade'!A890,Validade!C:C,0))</f>
        <v>0</v>
      </c>
    </row>
    <row r="891" spans="1:14" ht="15" hidden="1" x14ac:dyDescent="0.2">
      <c r="A891" s="30" t="s">
        <v>1102</v>
      </c>
      <c r="B891" s="8" t="s">
        <v>2579</v>
      </c>
      <c r="C891" s="8" t="s">
        <v>1103</v>
      </c>
      <c r="D891" s="9" t="s">
        <v>148</v>
      </c>
      <c r="E891" s="9" t="s">
        <v>2388</v>
      </c>
      <c r="F891" s="10" t="s">
        <v>2392</v>
      </c>
      <c r="G891" s="9" t="s">
        <v>2463</v>
      </c>
      <c r="H891" s="16" t="s">
        <v>2571</v>
      </c>
      <c r="I891" s="53" t="s">
        <v>2412</v>
      </c>
      <c r="J891" s="25" t="s">
        <v>2412</v>
      </c>
      <c r="K891" s="16">
        <v>0</v>
      </c>
      <c r="L891" s="3" t="s">
        <v>2556</v>
      </c>
      <c r="M891" s="17">
        <f>INDEX(Validade!H:H,MATCH('Controle de Validade'!A891,Validade!C:C,0))</f>
        <v>0</v>
      </c>
    </row>
    <row r="892" spans="1:14" ht="15" hidden="1" x14ac:dyDescent="0.2">
      <c r="A892" s="30" t="s">
        <v>1069</v>
      </c>
      <c r="B892" s="8" t="s">
        <v>2579</v>
      </c>
      <c r="C892" s="8" t="s">
        <v>1070</v>
      </c>
      <c r="D892" s="9" t="s">
        <v>1030</v>
      </c>
      <c r="E892" s="9" t="s">
        <v>2388</v>
      </c>
      <c r="F892" s="10" t="s">
        <v>2961</v>
      </c>
      <c r="G892" s="9" t="s">
        <v>2414</v>
      </c>
      <c r="H892" s="16" t="s">
        <v>2570</v>
      </c>
      <c r="I892" s="32" t="s">
        <v>2993</v>
      </c>
      <c r="J892" s="26" t="s">
        <v>2962</v>
      </c>
      <c r="K892" s="16">
        <v>1</v>
      </c>
      <c r="L892" s="3" t="s">
        <v>2556</v>
      </c>
      <c r="M892" s="17">
        <f>INDEX(Validade!H:H,MATCH('Controle de Validade'!A892,Validade!C:C,0))</f>
        <v>45923</v>
      </c>
      <c r="N892" s="18"/>
    </row>
    <row r="893" spans="1:14" ht="15" hidden="1" x14ac:dyDescent="0.2">
      <c r="A893" s="30" t="s">
        <v>1073</v>
      </c>
      <c r="B893" s="8" t="s">
        <v>2579</v>
      </c>
      <c r="C893" s="8" t="s">
        <v>1074</v>
      </c>
      <c r="D893" s="9" t="s">
        <v>1030</v>
      </c>
      <c r="E893" s="9" t="s">
        <v>2388</v>
      </c>
      <c r="F893" s="10" t="s">
        <v>2961</v>
      </c>
      <c r="G893" s="9" t="s">
        <v>2414</v>
      </c>
      <c r="H893" s="16" t="s">
        <v>2570</v>
      </c>
      <c r="I893" s="32" t="s">
        <v>2993</v>
      </c>
      <c r="J893" s="26" t="s">
        <v>2962</v>
      </c>
      <c r="K893" s="16">
        <v>1</v>
      </c>
      <c r="L893" s="3" t="s">
        <v>2556</v>
      </c>
      <c r="M893" s="17">
        <f>INDEX(Validade!H:H,MATCH('Controle de Validade'!A893,Validade!C:C,0))</f>
        <v>45923</v>
      </c>
      <c r="N893" s="18"/>
    </row>
    <row r="894" spans="1:14" ht="15" hidden="1" x14ac:dyDescent="0.2">
      <c r="A894" s="30" t="s">
        <v>1076</v>
      </c>
      <c r="B894" s="8" t="s">
        <v>2579</v>
      </c>
      <c r="C894" s="8" t="s">
        <v>1077</v>
      </c>
      <c r="D894" s="9" t="s">
        <v>1030</v>
      </c>
      <c r="E894" s="9" t="s">
        <v>2388</v>
      </c>
      <c r="F894" s="10" t="s">
        <v>2961</v>
      </c>
      <c r="G894" s="9" t="s">
        <v>2414</v>
      </c>
      <c r="H894" s="16" t="s">
        <v>2570</v>
      </c>
      <c r="I894" s="32" t="s">
        <v>2993</v>
      </c>
      <c r="J894" s="26" t="s">
        <v>2962</v>
      </c>
      <c r="K894" s="16">
        <v>1</v>
      </c>
      <c r="L894" s="3" t="s">
        <v>2556</v>
      </c>
      <c r="M894" s="17">
        <f>INDEX(Validade!H:H,MATCH('Controle de Validade'!A894,Validade!C:C,0))</f>
        <v>45923</v>
      </c>
      <c r="N894" s="18"/>
    </row>
    <row r="895" spans="1:14" ht="15" hidden="1" x14ac:dyDescent="0.2">
      <c r="A895" s="30" t="s">
        <v>1078</v>
      </c>
      <c r="B895" s="8" t="s">
        <v>2579</v>
      </c>
      <c r="C895" s="8" t="s">
        <v>1079</v>
      </c>
      <c r="D895" s="9" t="s">
        <v>1030</v>
      </c>
      <c r="E895" s="9" t="s">
        <v>2388</v>
      </c>
      <c r="F895" s="10" t="s">
        <v>2961</v>
      </c>
      <c r="G895" s="9" t="s">
        <v>2414</v>
      </c>
      <c r="H895" s="16" t="s">
        <v>2570</v>
      </c>
      <c r="I895" s="32" t="s">
        <v>2993</v>
      </c>
      <c r="J895" s="26" t="s">
        <v>2962</v>
      </c>
      <c r="K895" s="16">
        <v>1</v>
      </c>
      <c r="L895" s="3" t="s">
        <v>2556</v>
      </c>
      <c r="M895" s="17">
        <f>INDEX(Validade!H:H,MATCH('Controle de Validade'!A895,Validade!C:C,0))</f>
        <v>45923</v>
      </c>
      <c r="N895" s="18"/>
    </row>
    <row r="896" spans="1:14" ht="15" hidden="1" x14ac:dyDescent="0.2">
      <c r="A896" s="30" t="s">
        <v>1080</v>
      </c>
      <c r="B896" s="8" t="s">
        <v>2579</v>
      </c>
      <c r="C896" s="8" t="s">
        <v>1081</v>
      </c>
      <c r="D896" s="9" t="s">
        <v>1030</v>
      </c>
      <c r="E896" s="9" t="s">
        <v>2388</v>
      </c>
      <c r="F896" s="10" t="s">
        <v>2961</v>
      </c>
      <c r="G896" s="9" t="s">
        <v>2414</v>
      </c>
      <c r="H896" s="16" t="s">
        <v>2570</v>
      </c>
      <c r="I896" s="32" t="s">
        <v>2993</v>
      </c>
      <c r="J896" s="26" t="s">
        <v>2962</v>
      </c>
      <c r="K896" s="16">
        <v>1</v>
      </c>
      <c r="L896" s="3" t="s">
        <v>2556</v>
      </c>
      <c r="M896" s="17">
        <f>INDEX(Validade!H:H,MATCH('Controle de Validade'!A896,Validade!C:C,0))</f>
        <v>45703</v>
      </c>
      <c r="N896" s="18"/>
    </row>
    <row r="897" spans="1:14" ht="15" hidden="1" x14ac:dyDescent="0.2">
      <c r="A897" s="30" t="s">
        <v>1082</v>
      </c>
      <c r="B897" s="8" t="s">
        <v>2579</v>
      </c>
      <c r="C897" s="8" t="s">
        <v>1083</v>
      </c>
      <c r="D897" s="9" t="s">
        <v>1030</v>
      </c>
      <c r="E897" s="9" t="s">
        <v>2388</v>
      </c>
      <c r="F897" s="10" t="s">
        <v>2961</v>
      </c>
      <c r="G897" s="9" t="s">
        <v>2414</v>
      </c>
      <c r="H897" s="16" t="s">
        <v>2570</v>
      </c>
      <c r="I897" s="32" t="s">
        <v>2993</v>
      </c>
      <c r="J897" s="26" t="s">
        <v>2962</v>
      </c>
      <c r="K897" s="16">
        <v>1</v>
      </c>
      <c r="L897" s="3" t="s">
        <v>2556</v>
      </c>
      <c r="M897" s="17">
        <f>INDEX(Validade!H:H,MATCH('Controle de Validade'!A897,Validade!C:C,0))</f>
        <v>45749</v>
      </c>
      <c r="N897" s="18"/>
    </row>
    <row r="898" spans="1:14" ht="15" hidden="1" x14ac:dyDescent="0.2">
      <c r="A898" s="30" t="s">
        <v>1084</v>
      </c>
      <c r="B898" s="8" t="s">
        <v>2579</v>
      </c>
      <c r="C898" s="8" t="s">
        <v>1085</v>
      </c>
      <c r="D898" s="9" t="s">
        <v>1030</v>
      </c>
      <c r="E898" s="9" t="s">
        <v>2388</v>
      </c>
      <c r="F898" s="10" t="s">
        <v>2961</v>
      </c>
      <c r="G898" s="9" t="s">
        <v>2414</v>
      </c>
      <c r="H898" s="16" t="s">
        <v>2570</v>
      </c>
      <c r="I898" s="32" t="s">
        <v>2993</v>
      </c>
      <c r="J898" s="26" t="s">
        <v>2962</v>
      </c>
      <c r="K898" s="16">
        <v>1</v>
      </c>
      <c r="L898" s="3" t="s">
        <v>2556</v>
      </c>
      <c r="M898" s="17">
        <f>INDEX(Validade!H:H,MATCH('Controle de Validade'!A898,Validade!C:C,0))</f>
        <v>45923</v>
      </c>
      <c r="N898" s="18"/>
    </row>
    <row r="899" spans="1:14" ht="15" hidden="1" x14ac:dyDescent="0.2">
      <c r="A899" s="30" t="s">
        <v>1066</v>
      </c>
      <c r="B899" s="8" t="s">
        <v>2579</v>
      </c>
      <c r="C899" s="8" t="s">
        <v>1067</v>
      </c>
      <c r="D899" s="9" t="s">
        <v>28</v>
      </c>
      <c r="E899" s="9" t="s">
        <v>2388</v>
      </c>
      <c r="F899" s="10" t="s">
        <v>2387</v>
      </c>
      <c r="G899" s="9" t="s">
        <v>2471</v>
      </c>
      <c r="H899" s="16" t="s">
        <v>2570</v>
      </c>
      <c r="I899" s="38" t="s">
        <v>3187</v>
      </c>
      <c r="J899" s="26" t="s">
        <v>2948</v>
      </c>
      <c r="K899" s="16">
        <v>1</v>
      </c>
      <c r="L899" s="3" t="s">
        <v>2556</v>
      </c>
      <c r="M899" s="17">
        <f>INDEX(Validade!H:H,MATCH('Controle de Validade'!A899,Validade!C:C,0))</f>
        <v>47288</v>
      </c>
      <c r="N899" s="18"/>
    </row>
    <row r="900" spans="1:14" ht="15" hidden="1" x14ac:dyDescent="0.2">
      <c r="A900" s="30" t="s">
        <v>201</v>
      </c>
      <c r="B900" s="8" t="s">
        <v>2579</v>
      </c>
      <c r="C900" s="8" t="s">
        <v>202</v>
      </c>
      <c r="D900" s="9" t="s">
        <v>28</v>
      </c>
      <c r="E900" s="9" t="s">
        <v>2388</v>
      </c>
      <c r="F900" s="10" t="s">
        <v>2387</v>
      </c>
      <c r="G900" s="9" t="s">
        <v>2471</v>
      </c>
      <c r="H900" s="16" t="s">
        <v>2570</v>
      </c>
      <c r="I900" s="38" t="s">
        <v>3187</v>
      </c>
      <c r="J900" s="26" t="s">
        <v>2948</v>
      </c>
      <c r="K900" s="16">
        <v>1</v>
      </c>
      <c r="L900" s="3" t="s">
        <v>2556</v>
      </c>
      <c r="M900" s="17">
        <f>INDEX(Validade!H:H,MATCH('Controle de Validade'!A900,Validade!C:C,0))</f>
        <v>47257</v>
      </c>
      <c r="N900" s="18"/>
    </row>
    <row r="901" spans="1:14" ht="15" hidden="1" x14ac:dyDescent="0.2">
      <c r="A901" s="30" t="s">
        <v>205</v>
      </c>
      <c r="B901" s="8" t="s">
        <v>2579</v>
      </c>
      <c r="C901" s="8" t="s">
        <v>206</v>
      </c>
      <c r="D901" s="9" t="s">
        <v>28</v>
      </c>
      <c r="E901" s="9" t="s">
        <v>2388</v>
      </c>
      <c r="F901" s="10" t="s">
        <v>2387</v>
      </c>
      <c r="G901" s="9" t="s">
        <v>2471</v>
      </c>
      <c r="H901" s="16" t="s">
        <v>2570</v>
      </c>
      <c r="I901" s="38" t="s">
        <v>3187</v>
      </c>
      <c r="J901" s="26" t="s">
        <v>2948</v>
      </c>
      <c r="K901" s="16">
        <v>1</v>
      </c>
      <c r="L901" s="3" t="s">
        <v>2556</v>
      </c>
      <c r="M901" s="17">
        <f>INDEX(Validade!H:H,MATCH('Controle de Validade'!A901,Validade!C:C,0))</f>
        <v>47287</v>
      </c>
      <c r="N901" s="18"/>
    </row>
    <row r="902" spans="1:14" ht="15" hidden="1" x14ac:dyDescent="0.2">
      <c r="A902" s="30" t="s">
        <v>214</v>
      </c>
      <c r="B902" s="8" t="s">
        <v>2579</v>
      </c>
      <c r="C902" s="8" t="s">
        <v>215</v>
      </c>
      <c r="D902" s="9" t="s">
        <v>28</v>
      </c>
      <c r="E902" s="9" t="s">
        <v>2388</v>
      </c>
      <c r="F902" s="10" t="s">
        <v>2387</v>
      </c>
      <c r="G902" s="9" t="s">
        <v>2471</v>
      </c>
      <c r="H902" s="16" t="s">
        <v>2570</v>
      </c>
      <c r="I902" s="38" t="s">
        <v>3187</v>
      </c>
      <c r="J902" s="26" t="s">
        <v>2948</v>
      </c>
      <c r="K902" s="16">
        <v>1</v>
      </c>
      <c r="L902" s="3" t="s">
        <v>2556</v>
      </c>
      <c r="M902" s="17">
        <f>INDEX(Validade!H:H,MATCH('Controle de Validade'!A902,Validade!C:C,0))</f>
        <v>47329</v>
      </c>
      <c r="N902" s="18"/>
    </row>
    <row r="903" spans="1:14" ht="15" hidden="1" x14ac:dyDescent="0.2">
      <c r="A903" s="30" t="s">
        <v>237</v>
      </c>
      <c r="B903" s="8" t="s">
        <v>2579</v>
      </c>
      <c r="C903" s="8" t="s">
        <v>238</v>
      </c>
      <c r="D903" s="9" t="s">
        <v>28</v>
      </c>
      <c r="E903" s="9" t="s">
        <v>2388</v>
      </c>
      <c r="F903" s="10" t="s">
        <v>2387</v>
      </c>
      <c r="G903" s="9" t="s">
        <v>2471</v>
      </c>
      <c r="H903" s="16" t="s">
        <v>2570</v>
      </c>
      <c r="I903" s="38" t="s">
        <v>3187</v>
      </c>
      <c r="J903" s="26" t="s">
        <v>2948</v>
      </c>
      <c r="K903" s="16">
        <v>1</v>
      </c>
      <c r="L903" s="3" t="s">
        <v>2556</v>
      </c>
      <c r="M903" s="17">
        <f>INDEX(Validade!H:H,MATCH('Controle de Validade'!A903,Validade!C:C,0))</f>
        <v>47230</v>
      </c>
      <c r="N903" s="18"/>
    </row>
    <row r="904" spans="1:14" ht="15" hidden="1" x14ac:dyDescent="0.2">
      <c r="A904" s="30" t="s">
        <v>1097</v>
      </c>
      <c r="B904" s="8" t="s">
        <v>2579</v>
      </c>
      <c r="C904" s="8" t="s">
        <v>1098</v>
      </c>
      <c r="D904" s="9" t="s">
        <v>28</v>
      </c>
      <c r="E904" s="9" t="s">
        <v>2388</v>
      </c>
      <c r="F904" s="10" t="s">
        <v>2387</v>
      </c>
      <c r="G904" s="9" t="s">
        <v>2471</v>
      </c>
      <c r="H904" s="16" t="s">
        <v>2570</v>
      </c>
      <c r="I904" s="38" t="s">
        <v>3187</v>
      </c>
      <c r="J904" s="26" t="s">
        <v>2948</v>
      </c>
      <c r="K904" s="16">
        <v>1</v>
      </c>
      <c r="L904" s="3" t="s">
        <v>2556</v>
      </c>
      <c r="M904" s="17">
        <f>INDEX(Validade!H:H,MATCH('Controle de Validade'!A904,Validade!C:C,0))</f>
        <v>47251</v>
      </c>
      <c r="N904" s="18"/>
    </row>
    <row r="905" spans="1:14" ht="15" hidden="1" x14ac:dyDescent="0.2">
      <c r="A905" s="30" t="s">
        <v>1094</v>
      </c>
      <c r="B905" s="8" t="s">
        <v>2579</v>
      </c>
      <c r="C905" s="8" t="s">
        <v>1095</v>
      </c>
      <c r="D905" s="9" t="s">
        <v>28</v>
      </c>
      <c r="E905" s="9" t="s">
        <v>2388</v>
      </c>
      <c r="F905" s="10" t="s">
        <v>2387</v>
      </c>
      <c r="G905" s="9" t="s">
        <v>2471</v>
      </c>
      <c r="H905" s="16" t="s">
        <v>2570</v>
      </c>
      <c r="I905" s="38" t="s">
        <v>3187</v>
      </c>
      <c r="J905" s="26" t="s">
        <v>2948</v>
      </c>
      <c r="K905" s="16">
        <v>1</v>
      </c>
      <c r="L905" s="3" t="s">
        <v>2556</v>
      </c>
      <c r="M905" s="17">
        <f>INDEX(Validade!H:H,MATCH('Controle de Validade'!A905,Validade!C:C,0))</f>
        <v>47237</v>
      </c>
      <c r="N905" s="18"/>
    </row>
    <row r="906" spans="1:14" ht="15" hidden="1" x14ac:dyDescent="0.2">
      <c r="A906" s="30" t="s">
        <v>187</v>
      </c>
      <c r="B906" s="8" t="s">
        <v>2579</v>
      </c>
      <c r="C906" s="8" t="s">
        <v>188</v>
      </c>
      <c r="D906" s="9" t="s">
        <v>15</v>
      </c>
      <c r="E906" s="9" t="s">
        <v>2388</v>
      </c>
      <c r="F906" s="10" t="s">
        <v>2387</v>
      </c>
      <c r="G906" s="9" t="s">
        <v>2479</v>
      </c>
      <c r="H906" s="16" t="s">
        <v>2571</v>
      </c>
      <c r="I906" s="53" t="s">
        <v>2412</v>
      </c>
      <c r="J906" s="25" t="s">
        <v>2412</v>
      </c>
      <c r="K906" s="16">
        <v>0</v>
      </c>
      <c r="L906" s="3" t="s">
        <v>2556</v>
      </c>
      <c r="M906" s="17">
        <f>INDEX(Validade!H:H,MATCH('Controle de Validade'!A906,Validade!C:C,0))</f>
        <v>62458</v>
      </c>
    </row>
    <row r="907" spans="1:14" ht="15" hidden="1" x14ac:dyDescent="0.2">
      <c r="A907" s="30" t="s">
        <v>199</v>
      </c>
      <c r="B907" s="8" t="s">
        <v>2579</v>
      </c>
      <c r="C907" s="8" t="s">
        <v>200</v>
      </c>
      <c r="D907" s="9" t="s">
        <v>15</v>
      </c>
      <c r="E907" s="9" t="s">
        <v>2388</v>
      </c>
      <c r="F907" s="10" t="s">
        <v>2387</v>
      </c>
      <c r="G907" s="9" t="s">
        <v>2479</v>
      </c>
      <c r="H907" s="16" t="s">
        <v>2571</v>
      </c>
      <c r="I907" s="53" t="s">
        <v>2412</v>
      </c>
      <c r="J907" s="25" t="s">
        <v>2412</v>
      </c>
      <c r="K907" s="16">
        <v>0</v>
      </c>
      <c r="L907" s="3" t="s">
        <v>2556</v>
      </c>
      <c r="M907" s="17">
        <f>INDEX(Validade!H:H,MATCH('Controle de Validade'!A907,Validade!C:C,0))</f>
        <v>62458</v>
      </c>
    </row>
    <row r="908" spans="1:14" ht="15" hidden="1" x14ac:dyDescent="0.2">
      <c r="A908" s="30" t="s">
        <v>1086</v>
      </c>
      <c r="B908" s="8" t="s">
        <v>2579</v>
      </c>
      <c r="C908" s="8" t="s">
        <v>1087</v>
      </c>
      <c r="D908" s="9" t="s">
        <v>929</v>
      </c>
      <c r="E908" s="9" t="s">
        <v>2388</v>
      </c>
      <c r="F908" s="10" t="s">
        <v>2961</v>
      </c>
      <c r="G908" s="9" t="s">
        <v>2423</v>
      </c>
      <c r="H908" s="16" t="s">
        <v>2570</v>
      </c>
      <c r="I908" s="32" t="s">
        <v>2993</v>
      </c>
      <c r="J908" s="52" t="s">
        <v>2412</v>
      </c>
      <c r="K908" s="16">
        <v>1</v>
      </c>
      <c r="L908" s="3" t="s">
        <v>2556</v>
      </c>
      <c r="M908" s="17">
        <f>INDEX(Validade!H:H,MATCH('Controle de Validade'!A908,Validade!C:C,0))</f>
        <v>0</v>
      </c>
    </row>
    <row r="909" spans="1:14" ht="15" hidden="1" x14ac:dyDescent="0.2">
      <c r="A909" s="30" t="s">
        <v>493</v>
      </c>
      <c r="B909" s="8" t="s">
        <v>2579</v>
      </c>
      <c r="C909" s="8" t="s">
        <v>494</v>
      </c>
      <c r="D909" s="9" t="s">
        <v>28</v>
      </c>
      <c r="E909" s="9" t="s">
        <v>2388</v>
      </c>
      <c r="F909" s="10" t="s">
        <v>2387</v>
      </c>
      <c r="G909" s="9" t="s">
        <v>2471</v>
      </c>
      <c r="H909" s="16" t="s">
        <v>2570</v>
      </c>
      <c r="I909" s="38" t="s">
        <v>3187</v>
      </c>
      <c r="J909" s="26" t="s">
        <v>2948</v>
      </c>
      <c r="K909" s="16">
        <v>1</v>
      </c>
      <c r="L909" s="3" t="s">
        <v>2556</v>
      </c>
      <c r="M909" s="17">
        <f>INDEX(Validade!H:H,MATCH('Controle de Validade'!A909,Validade!C:C,0))</f>
        <v>46797</v>
      </c>
      <c r="N909" s="18"/>
    </row>
    <row r="910" spans="1:14" ht="15" hidden="1" x14ac:dyDescent="0.2">
      <c r="A910" s="30" t="s">
        <v>94</v>
      </c>
      <c r="B910" s="8" t="s">
        <v>2579</v>
      </c>
      <c r="C910" s="8" t="s">
        <v>95</v>
      </c>
      <c r="D910" s="9" t="s">
        <v>28</v>
      </c>
      <c r="E910" s="9" t="s">
        <v>2388</v>
      </c>
      <c r="F910" s="10" t="s">
        <v>2387</v>
      </c>
      <c r="G910" s="9" t="s">
        <v>2471</v>
      </c>
      <c r="H910" s="16" t="s">
        <v>2570</v>
      </c>
      <c r="I910" s="38" t="s">
        <v>3187</v>
      </c>
      <c r="J910" s="26" t="s">
        <v>2948</v>
      </c>
      <c r="K910" s="16">
        <v>1</v>
      </c>
      <c r="L910" s="3" t="s">
        <v>2556</v>
      </c>
      <c r="M910" s="17">
        <f>INDEX(Validade!H:H,MATCH('Controle de Validade'!A910,Validade!C:C,0))</f>
        <v>47092</v>
      </c>
      <c r="N910" s="18"/>
    </row>
    <row r="911" spans="1:14" ht="15" hidden="1" x14ac:dyDescent="0.2">
      <c r="A911" s="30" t="s">
        <v>67</v>
      </c>
      <c r="B911" s="8" t="s">
        <v>2579</v>
      </c>
      <c r="C911" s="8" t="s">
        <v>68</v>
      </c>
      <c r="D911" s="9" t="s">
        <v>28</v>
      </c>
      <c r="E911" s="9" t="s">
        <v>2388</v>
      </c>
      <c r="F911" s="10" t="s">
        <v>2387</v>
      </c>
      <c r="G911" s="9" t="s">
        <v>2471</v>
      </c>
      <c r="H911" s="16" t="s">
        <v>2570</v>
      </c>
      <c r="I911" s="38" t="s">
        <v>3187</v>
      </c>
      <c r="J911" s="26" t="s">
        <v>2948</v>
      </c>
      <c r="K911" s="16">
        <v>1</v>
      </c>
      <c r="L911" s="3" t="s">
        <v>2556</v>
      </c>
      <c r="M911" s="17">
        <f>INDEX(Validade!H:H,MATCH('Controle de Validade'!A911,Validade!C:C,0))</f>
        <v>46900</v>
      </c>
      <c r="N911" s="18"/>
    </row>
    <row r="912" spans="1:14" ht="15" hidden="1" x14ac:dyDescent="0.2">
      <c r="A912" s="30" t="s">
        <v>65</v>
      </c>
      <c r="B912" s="8" t="s">
        <v>2579</v>
      </c>
      <c r="C912" s="8" t="s">
        <v>66</v>
      </c>
      <c r="D912" s="9" t="s">
        <v>28</v>
      </c>
      <c r="E912" s="9" t="s">
        <v>2388</v>
      </c>
      <c r="F912" s="10" t="s">
        <v>2387</v>
      </c>
      <c r="G912" s="9" t="s">
        <v>2471</v>
      </c>
      <c r="H912" s="16" t="s">
        <v>2570</v>
      </c>
      <c r="I912" s="38" t="s">
        <v>3187</v>
      </c>
      <c r="J912" s="26" t="s">
        <v>2948</v>
      </c>
      <c r="K912" s="16">
        <v>1</v>
      </c>
      <c r="L912" s="3" t="s">
        <v>2556</v>
      </c>
      <c r="M912" s="17">
        <f>INDEX(Validade!H:H,MATCH('Controle de Validade'!A912,Validade!C:C,0))</f>
        <v>46797</v>
      </c>
      <c r="N912" s="18"/>
    </row>
    <row r="913" spans="1:14" ht="15" hidden="1" x14ac:dyDescent="0.2">
      <c r="A913" s="30" t="s">
        <v>39</v>
      </c>
      <c r="B913" s="8" t="s">
        <v>2579</v>
      </c>
      <c r="C913" s="8" t="s">
        <v>40</v>
      </c>
      <c r="D913" s="9" t="s">
        <v>41</v>
      </c>
      <c r="E913" s="9" t="s">
        <v>2388</v>
      </c>
      <c r="F913" s="10" t="s">
        <v>2961</v>
      </c>
      <c r="G913" s="9" t="s">
        <v>2429</v>
      </c>
      <c r="H913" s="16" t="s">
        <v>2570</v>
      </c>
      <c r="I913" s="32" t="s">
        <v>2993</v>
      </c>
      <c r="J913" s="26" t="s">
        <v>2994</v>
      </c>
      <c r="K913" s="16">
        <v>1</v>
      </c>
      <c r="L913" s="3" t="s">
        <v>2556</v>
      </c>
      <c r="M913" s="17">
        <f>INDEX(Validade!H:H,MATCH('Controle de Validade'!A913,Validade!C:C,0))</f>
        <v>45987</v>
      </c>
      <c r="N913" s="18"/>
    </row>
    <row r="914" spans="1:14" ht="15" hidden="1" x14ac:dyDescent="0.2">
      <c r="A914" s="30" t="s">
        <v>678</v>
      </c>
      <c r="B914" s="8" t="s">
        <v>2579</v>
      </c>
      <c r="C914" s="8" t="s">
        <v>679</v>
      </c>
      <c r="D914" s="9" t="s">
        <v>3238</v>
      </c>
      <c r="E914" s="9" t="s">
        <v>2388</v>
      </c>
      <c r="F914" s="10" t="s">
        <v>2387</v>
      </c>
      <c r="G914" s="9" t="s">
        <v>2479</v>
      </c>
      <c r="H914" s="16" t="s">
        <v>2571</v>
      </c>
      <c r="I914" s="53" t="s">
        <v>2412</v>
      </c>
      <c r="J914" s="25" t="s">
        <v>2412</v>
      </c>
      <c r="K914" s="16">
        <v>0</v>
      </c>
      <c r="L914" s="3" t="s">
        <v>2556</v>
      </c>
      <c r="M914" s="17">
        <f>INDEX(Validade!H:H,MATCH('Controle de Validade'!A914,Validade!C:C,0))</f>
        <v>62458</v>
      </c>
    </row>
    <row r="915" spans="1:14" ht="15" hidden="1" x14ac:dyDescent="0.2">
      <c r="A915" s="30" t="s">
        <v>738</v>
      </c>
      <c r="B915" s="8" t="s">
        <v>2579</v>
      </c>
      <c r="C915" s="8" t="s">
        <v>739</v>
      </c>
      <c r="D915" s="9" t="s">
        <v>2475</v>
      </c>
      <c r="E915" s="9" t="s">
        <v>2476</v>
      </c>
      <c r="F915" s="10" t="s">
        <v>2387</v>
      </c>
      <c r="G915" s="9" t="s">
        <v>2456</v>
      </c>
      <c r="H915" s="16" t="s">
        <v>2571</v>
      </c>
      <c r="I915" s="53" t="s">
        <v>2412</v>
      </c>
      <c r="J915" s="25" t="s">
        <v>2412</v>
      </c>
      <c r="K915" s="16">
        <v>0</v>
      </c>
      <c r="L915" s="3" t="s">
        <v>2556</v>
      </c>
      <c r="M915" s="17">
        <f>INDEX(Validade!H:H,MATCH('Controle de Validade'!A915,Validade!C:C,0))</f>
        <v>0</v>
      </c>
    </row>
    <row r="916" spans="1:14" ht="15" hidden="1" x14ac:dyDescent="0.2">
      <c r="A916" s="30" t="s">
        <v>741</v>
      </c>
      <c r="B916" s="8" t="s">
        <v>2579</v>
      </c>
      <c r="C916" s="8" t="s">
        <v>742</v>
      </c>
      <c r="D916" s="9" t="s">
        <v>2475</v>
      </c>
      <c r="E916" s="9" t="s">
        <v>2476</v>
      </c>
      <c r="F916" s="10" t="s">
        <v>2387</v>
      </c>
      <c r="G916" s="9" t="s">
        <v>2456</v>
      </c>
      <c r="H916" s="16" t="s">
        <v>2571</v>
      </c>
      <c r="I916" s="53" t="s">
        <v>2412</v>
      </c>
      <c r="J916" s="25" t="s">
        <v>2412</v>
      </c>
      <c r="K916" s="16">
        <v>0</v>
      </c>
      <c r="L916" s="3" t="s">
        <v>2556</v>
      </c>
      <c r="M916" s="17">
        <f>INDEX(Validade!H:H,MATCH('Controle de Validade'!A916,Validade!C:C,0))</f>
        <v>0</v>
      </c>
    </row>
    <row r="917" spans="1:14" ht="15" hidden="1" x14ac:dyDescent="0.2">
      <c r="A917" s="30" t="s">
        <v>744</v>
      </c>
      <c r="B917" s="8" t="s">
        <v>2579</v>
      </c>
      <c r="C917" s="8" t="s">
        <v>745</v>
      </c>
      <c r="D917" s="9" t="s">
        <v>2475</v>
      </c>
      <c r="E917" s="9" t="s">
        <v>2476</v>
      </c>
      <c r="F917" s="10" t="s">
        <v>2387</v>
      </c>
      <c r="G917" s="9" t="s">
        <v>2456</v>
      </c>
      <c r="H917" s="16" t="s">
        <v>2571</v>
      </c>
      <c r="I917" s="53" t="s">
        <v>2412</v>
      </c>
      <c r="J917" s="25" t="s">
        <v>2412</v>
      </c>
      <c r="K917" s="16">
        <v>0</v>
      </c>
      <c r="L917" s="3" t="s">
        <v>2556</v>
      </c>
      <c r="M917" s="17">
        <f>INDEX(Validade!H:H,MATCH('Controle de Validade'!A917,Validade!C:C,0))</f>
        <v>0</v>
      </c>
    </row>
    <row r="918" spans="1:14" ht="15" hidden="1" x14ac:dyDescent="0.2">
      <c r="A918" s="30" t="s">
        <v>751</v>
      </c>
      <c r="B918" s="8" t="s">
        <v>2579</v>
      </c>
      <c r="C918" s="8" t="s">
        <v>752</v>
      </c>
      <c r="D918" s="9" t="s">
        <v>749</v>
      </c>
      <c r="E918" s="9" t="s">
        <v>2476</v>
      </c>
      <c r="F918" s="10" t="s">
        <v>2387</v>
      </c>
      <c r="G918" s="9" t="s">
        <v>2456</v>
      </c>
      <c r="H918" s="16" t="s">
        <v>2571</v>
      </c>
      <c r="I918" s="53" t="s">
        <v>2412</v>
      </c>
      <c r="J918" s="25" t="s">
        <v>2412</v>
      </c>
      <c r="K918" s="16">
        <v>0</v>
      </c>
      <c r="L918" s="3" t="s">
        <v>2556</v>
      </c>
      <c r="M918" s="17">
        <f>INDEX(Validade!H:H,MATCH('Controle de Validade'!A918,Validade!C:C,0))</f>
        <v>0</v>
      </c>
    </row>
    <row r="919" spans="1:14" ht="15" hidden="1" x14ac:dyDescent="0.2">
      <c r="A919" s="30" t="s">
        <v>2131</v>
      </c>
      <c r="B919" s="8" t="s">
        <v>2579</v>
      </c>
      <c r="C919" s="8" t="s">
        <v>2974</v>
      </c>
      <c r="D919" s="9" t="s">
        <v>749</v>
      </c>
      <c r="E919" s="9" t="s">
        <v>2476</v>
      </c>
      <c r="F919" s="10" t="s">
        <v>2387</v>
      </c>
      <c r="G919" s="9" t="s">
        <v>2456</v>
      </c>
      <c r="H919" s="16" t="s">
        <v>2571</v>
      </c>
      <c r="I919" s="53" t="s">
        <v>2412</v>
      </c>
      <c r="J919" s="25" t="s">
        <v>2412</v>
      </c>
      <c r="K919" s="16">
        <v>0</v>
      </c>
      <c r="L919" s="3" t="s">
        <v>2556</v>
      </c>
      <c r="M919" s="17" t="e">
        <f>INDEX(Validade!H:H,MATCH('Controle de Validade'!A919,Validade!C:C,0))</f>
        <v>#N/A</v>
      </c>
    </row>
    <row r="920" spans="1:14" ht="15" hidden="1" x14ac:dyDescent="0.2">
      <c r="A920" s="30" t="s">
        <v>1181</v>
      </c>
      <c r="B920" s="8" t="s">
        <v>2580</v>
      </c>
      <c r="C920" s="8" t="s">
        <v>1182</v>
      </c>
      <c r="D920" s="9" t="s">
        <v>963</v>
      </c>
      <c r="E920" s="9" t="s">
        <v>2393</v>
      </c>
      <c r="F920" s="10" t="s">
        <v>2392</v>
      </c>
      <c r="G920" s="9" t="s">
        <v>2397</v>
      </c>
      <c r="H920" s="16" t="s">
        <v>2571</v>
      </c>
      <c r="I920" s="53" t="s">
        <v>2412</v>
      </c>
      <c r="J920" s="25" t="s">
        <v>2412</v>
      </c>
      <c r="K920" s="16">
        <v>0</v>
      </c>
      <c r="L920" s="3" t="s">
        <v>2556</v>
      </c>
      <c r="M920" s="17">
        <f>INDEX(Validade!H:H,MATCH('Controle de Validade'!A920,Validade!C:C,0))</f>
        <v>0</v>
      </c>
    </row>
    <row r="921" spans="1:14" ht="15" hidden="1" x14ac:dyDescent="0.2">
      <c r="A921" s="30" t="s">
        <v>1174</v>
      </c>
      <c r="B921" s="8" t="s">
        <v>2580</v>
      </c>
      <c r="C921" s="8" t="s">
        <v>1175</v>
      </c>
      <c r="D921" s="9" t="s">
        <v>963</v>
      </c>
      <c r="E921" s="9" t="s">
        <v>2393</v>
      </c>
      <c r="F921" s="10" t="s">
        <v>2392</v>
      </c>
      <c r="G921" s="9" t="s">
        <v>2397</v>
      </c>
      <c r="H921" s="16" t="s">
        <v>2571</v>
      </c>
      <c r="I921" s="53" t="s">
        <v>2412</v>
      </c>
      <c r="J921" s="25" t="s">
        <v>2412</v>
      </c>
      <c r="K921" s="16">
        <v>0</v>
      </c>
      <c r="L921" s="3" t="s">
        <v>2556</v>
      </c>
      <c r="M921" s="17">
        <f>INDEX(Validade!H:H,MATCH('Controle de Validade'!A921,Validade!C:C,0))</f>
        <v>0</v>
      </c>
    </row>
    <row r="922" spans="1:14" ht="15" hidden="1" x14ac:dyDescent="0.2">
      <c r="A922" s="30" t="s">
        <v>1492</v>
      </c>
      <c r="B922" s="8" t="s">
        <v>2579</v>
      </c>
      <c r="C922" s="8" t="s">
        <v>1493</v>
      </c>
      <c r="D922" s="9" t="s">
        <v>2489</v>
      </c>
      <c r="E922" s="9" t="s">
        <v>2393</v>
      </c>
      <c r="F922" s="10" t="s">
        <v>2387</v>
      </c>
      <c r="G922" s="9" t="s">
        <v>2456</v>
      </c>
      <c r="H922" s="16" t="s">
        <v>2571</v>
      </c>
      <c r="I922" s="53" t="s">
        <v>2412</v>
      </c>
      <c r="J922" s="25" t="s">
        <v>2412</v>
      </c>
      <c r="K922" s="16">
        <v>0</v>
      </c>
      <c r="L922" s="3" t="s">
        <v>2556</v>
      </c>
      <c r="M922" s="17">
        <f>INDEX(Validade!H:H,MATCH('Controle de Validade'!A922,Validade!C:C,0))</f>
        <v>0</v>
      </c>
    </row>
    <row r="923" spans="1:14" ht="15" hidden="1" x14ac:dyDescent="0.2">
      <c r="A923" s="30" t="s">
        <v>1604</v>
      </c>
      <c r="B923" s="8" t="s">
        <v>2579</v>
      </c>
      <c r="C923" s="8" t="s">
        <v>1605</v>
      </c>
      <c r="D923" s="9" t="s">
        <v>943</v>
      </c>
      <c r="E923" s="9" t="s">
        <v>2393</v>
      </c>
      <c r="F923" s="10" t="s">
        <v>2392</v>
      </c>
      <c r="G923" s="9" t="s">
        <v>2505</v>
      </c>
      <c r="H923" s="16" t="s">
        <v>2571</v>
      </c>
      <c r="I923" s="53" t="s">
        <v>2412</v>
      </c>
      <c r="J923" s="25" t="s">
        <v>2412</v>
      </c>
      <c r="K923" s="16">
        <v>0</v>
      </c>
      <c r="L923" s="3" t="s">
        <v>2556</v>
      </c>
      <c r="M923" s="17">
        <f>INDEX(Validade!H:H,MATCH('Controle de Validade'!A923,Validade!C:C,0))</f>
        <v>62458</v>
      </c>
    </row>
    <row r="924" spans="1:14" ht="15" hidden="1" x14ac:dyDescent="0.2">
      <c r="A924" s="30" t="s">
        <v>1200</v>
      </c>
      <c r="B924" s="8" t="s">
        <v>2579</v>
      </c>
      <c r="C924" s="8" t="s">
        <v>1201</v>
      </c>
      <c r="D924" s="9" t="s">
        <v>1202</v>
      </c>
      <c r="E924" s="9" t="s">
        <v>2393</v>
      </c>
      <c r="F924" s="10" t="s">
        <v>2392</v>
      </c>
      <c r="G924" s="9" t="s">
        <v>2397</v>
      </c>
      <c r="H924" s="16" t="s">
        <v>2571</v>
      </c>
      <c r="I924" s="53" t="s">
        <v>2412</v>
      </c>
      <c r="J924" s="25" t="s">
        <v>2412</v>
      </c>
      <c r="K924" s="16">
        <v>0</v>
      </c>
      <c r="L924" s="3" t="s">
        <v>2556</v>
      </c>
      <c r="M924" s="17">
        <f>INDEX(Validade!H:H,MATCH('Controle de Validade'!A924,Validade!C:C,0))</f>
        <v>0</v>
      </c>
    </row>
    <row r="925" spans="1:14" ht="15" hidden="1" x14ac:dyDescent="0.2">
      <c r="A925" s="30" t="s">
        <v>1194</v>
      </c>
      <c r="B925" s="8" t="s">
        <v>2580</v>
      </c>
      <c r="C925" s="8" t="s">
        <v>1195</v>
      </c>
      <c r="D925" s="9" t="s">
        <v>963</v>
      </c>
      <c r="E925" s="9" t="s">
        <v>2393</v>
      </c>
      <c r="F925" s="10" t="s">
        <v>2392</v>
      </c>
      <c r="G925" s="9" t="s">
        <v>2397</v>
      </c>
      <c r="H925" s="16" t="s">
        <v>2571</v>
      </c>
      <c r="I925" s="53" t="s">
        <v>2412</v>
      </c>
      <c r="J925" s="25" t="s">
        <v>2412</v>
      </c>
      <c r="K925" s="16">
        <v>0</v>
      </c>
      <c r="L925" s="3" t="s">
        <v>2556</v>
      </c>
      <c r="M925" s="17">
        <f>INDEX(Validade!H:H,MATCH('Controle de Validade'!A925,Validade!C:C,0))</f>
        <v>0</v>
      </c>
    </row>
    <row r="926" spans="1:14" ht="15" hidden="1" x14ac:dyDescent="0.2">
      <c r="A926" s="30" t="s">
        <v>388</v>
      </c>
      <c r="B926" s="8" t="s">
        <v>2580</v>
      </c>
      <c r="C926" s="8" t="s">
        <v>389</v>
      </c>
      <c r="D926" s="9" t="s">
        <v>390</v>
      </c>
      <c r="E926" s="9" t="s">
        <v>2393</v>
      </c>
      <c r="F926" s="10" t="s">
        <v>2392</v>
      </c>
      <c r="G926" s="9" t="s">
        <v>2397</v>
      </c>
      <c r="H926" s="16" t="s">
        <v>2571</v>
      </c>
      <c r="I926" s="53" t="s">
        <v>2412</v>
      </c>
      <c r="J926" s="25" t="s">
        <v>2412</v>
      </c>
      <c r="K926" s="16">
        <v>0</v>
      </c>
      <c r="L926" s="3" t="s">
        <v>2556</v>
      </c>
      <c r="M926" s="17">
        <f>INDEX(Validade!H:H,MATCH('Controle de Validade'!A926,Validade!C:C,0))</f>
        <v>0</v>
      </c>
    </row>
    <row r="927" spans="1:14" ht="15" hidden="1" x14ac:dyDescent="0.2">
      <c r="A927" s="30" t="s">
        <v>380</v>
      </c>
      <c r="B927" s="8" t="s">
        <v>2580</v>
      </c>
      <c r="C927" s="8" t="s">
        <v>381</v>
      </c>
      <c r="D927" s="9" t="s">
        <v>2396</v>
      </c>
      <c r="E927" s="9" t="s">
        <v>2393</v>
      </c>
      <c r="F927" s="10" t="s">
        <v>2392</v>
      </c>
      <c r="G927" s="9" t="s">
        <v>2397</v>
      </c>
      <c r="H927" s="16" t="s">
        <v>2571</v>
      </c>
      <c r="I927" s="53" t="s">
        <v>2412</v>
      </c>
      <c r="J927" s="25" t="s">
        <v>2412</v>
      </c>
      <c r="K927" s="16">
        <v>0</v>
      </c>
      <c r="L927" s="3" t="s">
        <v>2556</v>
      </c>
      <c r="M927" s="17">
        <f>INDEX(Validade!H:H,MATCH('Controle de Validade'!A927,Validade!C:C,0))</f>
        <v>62458</v>
      </c>
    </row>
    <row r="928" spans="1:14" ht="15" hidden="1" x14ac:dyDescent="0.2">
      <c r="A928" s="30" t="s">
        <v>1178</v>
      </c>
      <c r="B928" s="8" t="s">
        <v>2580</v>
      </c>
      <c r="C928" s="8" t="s">
        <v>1179</v>
      </c>
      <c r="D928" s="9" t="s">
        <v>963</v>
      </c>
      <c r="E928" s="9" t="s">
        <v>2393</v>
      </c>
      <c r="F928" s="10" t="s">
        <v>2392</v>
      </c>
      <c r="G928" s="9" t="s">
        <v>2397</v>
      </c>
      <c r="H928" s="16" t="s">
        <v>2571</v>
      </c>
      <c r="I928" s="53" t="s">
        <v>2412</v>
      </c>
      <c r="J928" s="25" t="s">
        <v>2412</v>
      </c>
      <c r="K928" s="16">
        <v>0</v>
      </c>
      <c r="L928" s="3" t="s">
        <v>2556</v>
      </c>
      <c r="M928" s="17">
        <f>INDEX(Validade!H:H,MATCH('Controle de Validade'!A928,Validade!C:C,0))</f>
        <v>0</v>
      </c>
    </row>
    <row r="929" spans="1:14" ht="15" hidden="1" x14ac:dyDescent="0.2">
      <c r="A929" s="30" t="s">
        <v>703</v>
      </c>
      <c r="B929" s="8" t="s">
        <v>2579</v>
      </c>
      <c r="C929" s="8" t="s">
        <v>704</v>
      </c>
      <c r="D929" s="9" t="s">
        <v>41</v>
      </c>
      <c r="E929" s="9" t="s">
        <v>2388</v>
      </c>
      <c r="F929" s="10" t="s">
        <v>2961</v>
      </c>
      <c r="G929" s="9" t="s">
        <v>2429</v>
      </c>
      <c r="H929" s="16" t="s">
        <v>2570</v>
      </c>
      <c r="I929" s="32" t="s">
        <v>2993</v>
      </c>
      <c r="J929" s="26" t="s">
        <v>2994</v>
      </c>
      <c r="K929" s="16">
        <v>1</v>
      </c>
      <c r="L929" s="3" t="s">
        <v>2556</v>
      </c>
      <c r="M929" s="17">
        <f>INDEX(Validade!H:H,MATCH('Controle de Validade'!A929,Validade!C:C,0))</f>
        <v>45912</v>
      </c>
      <c r="N929" s="18"/>
    </row>
    <row r="930" spans="1:14" ht="15" hidden="1" x14ac:dyDescent="0.2">
      <c r="A930" s="30" t="s">
        <v>699</v>
      </c>
      <c r="B930" s="8" t="s">
        <v>2927</v>
      </c>
      <c r="C930" s="8" t="s">
        <v>700</v>
      </c>
      <c r="D930" s="9" t="s">
        <v>702</v>
      </c>
      <c r="E930" s="9" t="s">
        <v>2388</v>
      </c>
      <c r="F930" s="10" t="s">
        <v>2387</v>
      </c>
      <c r="G930" s="9" t="s">
        <v>2420</v>
      </c>
      <c r="H930" s="27" t="s">
        <v>2570</v>
      </c>
      <c r="I930" s="44" t="s">
        <v>3190</v>
      </c>
      <c r="J930" s="44" t="s">
        <v>2412</v>
      </c>
      <c r="K930" s="16">
        <v>1</v>
      </c>
      <c r="L930" s="3" t="s">
        <v>2556</v>
      </c>
      <c r="M930" s="17">
        <f>INDEX(Validade!H:H,MATCH('Controle de Validade'!A930,Validade!C:C,0))</f>
        <v>45714</v>
      </c>
      <c r="N930" s="16"/>
    </row>
    <row r="931" spans="1:14" ht="15" hidden="1" x14ac:dyDescent="0.2">
      <c r="A931" s="30" t="s">
        <v>612</v>
      </c>
      <c r="B931" s="8" t="s">
        <v>2579</v>
      </c>
      <c r="C931" s="8" t="s">
        <v>613</v>
      </c>
      <c r="D931" s="9" t="s">
        <v>15</v>
      </c>
      <c r="E931" s="9" t="s">
        <v>2388</v>
      </c>
      <c r="F931" s="10" t="s">
        <v>2387</v>
      </c>
      <c r="G931" s="9" t="s">
        <v>2479</v>
      </c>
      <c r="H931" s="16" t="s">
        <v>2571</v>
      </c>
      <c r="I931" s="53" t="s">
        <v>2412</v>
      </c>
      <c r="J931" s="25" t="s">
        <v>2412</v>
      </c>
      <c r="K931" s="16">
        <v>0</v>
      </c>
      <c r="L931" s="3" t="s">
        <v>2556</v>
      </c>
      <c r="M931" s="17">
        <f>INDEX(Validade!H:H,MATCH('Controle de Validade'!A931,Validade!C:C,0))</f>
        <v>62458</v>
      </c>
    </row>
    <row r="932" spans="1:14" ht="15" hidden="1" x14ac:dyDescent="0.2">
      <c r="A932" s="30" t="s">
        <v>609</v>
      </c>
      <c r="B932" s="8" t="s">
        <v>2579</v>
      </c>
      <c r="C932" s="8" t="s">
        <v>610</v>
      </c>
      <c r="D932" s="9" t="s">
        <v>15</v>
      </c>
      <c r="E932" s="9" t="s">
        <v>2388</v>
      </c>
      <c r="F932" s="10" t="s">
        <v>2387</v>
      </c>
      <c r="G932" s="9" t="s">
        <v>2479</v>
      </c>
      <c r="H932" s="16" t="s">
        <v>2571</v>
      </c>
      <c r="I932" s="53" t="s">
        <v>2412</v>
      </c>
      <c r="J932" s="25" t="s">
        <v>2412</v>
      </c>
      <c r="K932" s="16">
        <v>0</v>
      </c>
      <c r="L932" s="3" t="s">
        <v>2556</v>
      </c>
      <c r="M932" s="17">
        <f>INDEX(Validade!H:H,MATCH('Controle de Validade'!A932,Validade!C:C,0))</f>
        <v>62458</v>
      </c>
    </row>
    <row r="933" spans="1:14" ht="15" hidden="1" x14ac:dyDescent="0.2">
      <c r="A933" s="30" t="s">
        <v>601</v>
      </c>
      <c r="B933" s="8" t="s">
        <v>2579</v>
      </c>
      <c r="C933" s="8" t="s">
        <v>602</v>
      </c>
      <c r="D933" s="9" t="s">
        <v>3238</v>
      </c>
      <c r="E933" s="9" t="s">
        <v>2388</v>
      </c>
      <c r="F933" s="10" t="s">
        <v>2387</v>
      </c>
      <c r="G933" s="9" t="s">
        <v>2479</v>
      </c>
      <c r="H933" s="16" t="s">
        <v>2571</v>
      </c>
      <c r="I933" s="53" t="s">
        <v>2412</v>
      </c>
      <c r="J933" s="25" t="s">
        <v>2412</v>
      </c>
      <c r="K933" s="16">
        <v>0</v>
      </c>
      <c r="L933" s="3" t="s">
        <v>2556</v>
      </c>
      <c r="M933" s="17">
        <f>INDEX(Validade!H:H,MATCH('Controle de Validade'!A933,Validade!C:C,0))</f>
        <v>62458</v>
      </c>
    </row>
    <row r="934" spans="1:14" ht="15" hidden="1" x14ac:dyDescent="0.2">
      <c r="A934" s="30" t="s">
        <v>598</v>
      </c>
      <c r="B934" s="8" t="s">
        <v>2579</v>
      </c>
      <c r="C934" s="8" t="s">
        <v>599</v>
      </c>
      <c r="D934" s="9" t="s">
        <v>15</v>
      </c>
      <c r="E934" s="9" t="s">
        <v>2388</v>
      </c>
      <c r="F934" s="10" t="s">
        <v>2387</v>
      </c>
      <c r="G934" s="9" t="s">
        <v>2479</v>
      </c>
      <c r="H934" s="16" t="s">
        <v>2571</v>
      </c>
      <c r="I934" s="53" t="s">
        <v>2412</v>
      </c>
      <c r="J934" s="25" t="s">
        <v>2412</v>
      </c>
      <c r="K934" s="16">
        <v>0</v>
      </c>
      <c r="L934" s="3" t="s">
        <v>2556</v>
      </c>
      <c r="M934" s="17">
        <f>INDEX(Validade!H:H,MATCH('Controle de Validade'!A934,Validade!C:C,0))</f>
        <v>62458</v>
      </c>
    </row>
    <row r="935" spans="1:14" ht="15" hidden="1" x14ac:dyDescent="0.2">
      <c r="A935" s="30" t="s">
        <v>582</v>
      </c>
      <c r="B935" s="8" t="s">
        <v>2579</v>
      </c>
      <c r="C935" s="8" t="s">
        <v>583</v>
      </c>
      <c r="D935" s="9" t="s">
        <v>15</v>
      </c>
      <c r="E935" s="9" t="s">
        <v>2388</v>
      </c>
      <c r="F935" s="10" t="s">
        <v>2387</v>
      </c>
      <c r="G935" s="9" t="s">
        <v>2479</v>
      </c>
      <c r="H935" s="16" t="s">
        <v>2571</v>
      </c>
      <c r="I935" s="53" t="s">
        <v>2412</v>
      </c>
      <c r="J935" s="25" t="s">
        <v>2412</v>
      </c>
      <c r="K935" s="16">
        <v>0</v>
      </c>
      <c r="L935" s="3" t="s">
        <v>2556</v>
      </c>
      <c r="M935" s="17">
        <f>INDEX(Validade!H:H,MATCH('Controle de Validade'!A935,Validade!C:C,0))</f>
        <v>62458</v>
      </c>
    </row>
    <row r="936" spans="1:14" ht="15" hidden="1" x14ac:dyDescent="0.2">
      <c r="A936" s="30" t="s">
        <v>579</v>
      </c>
      <c r="B936" s="8" t="s">
        <v>2579</v>
      </c>
      <c r="C936" s="8" t="s">
        <v>580</v>
      </c>
      <c r="D936" s="9" t="s">
        <v>15</v>
      </c>
      <c r="E936" s="9" t="s">
        <v>2388</v>
      </c>
      <c r="F936" s="10" t="s">
        <v>2387</v>
      </c>
      <c r="G936" s="9" t="s">
        <v>2479</v>
      </c>
      <c r="H936" s="16" t="s">
        <v>2571</v>
      </c>
      <c r="I936" s="53" t="s">
        <v>2412</v>
      </c>
      <c r="J936" s="25" t="s">
        <v>2412</v>
      </c>
      <c r="K936" s="16">
        <v>0</v>
      </c>
      <c r="L936" s="3" t="s">
        <v>2556</v>
      </c>
      <c r="M936" s="17">
        <f>INDEX(Validade!H:H,MATCH('Controle de Validade'!A936,Validade!C:C,0))</f>
        <v>62458</v>
      </c>
    </row>
    <row r="937" spans="1:14" ht="15" hidden="1" x14ac:dyDescent="0.2">
      <c r="A937" s="30" t="s">
        <v>550</v>
      </c>
      <c r="B937" s="8" t="s">
        <v>2579</v>
      </c>
      <c r="C937" s="8" t="s">
        <v>268</v>
      </c>
      <c r="D937" s="9" t="e">
        <v>#N/A</v>
      </c>
      <c r="E937" s="9" t="s">
        <v>2388</v>
      </c>
      <c r="F937" s="10" t="s">
        <v>2387</v>
      </c>
      <c r="G937" s="9" t="s">
        <v>2410</v>
      </c>
      <c r="H937" s="16" t="s">
        <v>2571</v>
      </c>
      <c r="I937" s="53" t="s">
        <v>2412</v>
      </c>
      <c r="J937" s="25" t="s">
        <v>2412</v>
      </c>
      <c r="K937" s="16">
        <v>0</v>
      </c>
      <c r="L937" s="3" t="s">
        <v>2556</v>
      </c>
      <c r="M937" s="17">
        <f>INDEX(Validade!H:H,MATCH('Controle de Validade'!A937,Validade!C:C,0))</f>
        <v>62458</v>
      </c>
    </row>
    <row r="938" spans="1:14" ht="15" hidden="1" x14ac:dyDescent="0.2">
      <c r="A938" s="30" t="s">
        <v>2340</v>
      </c>
      <c r="B938" s="8" t="s">
        <v>2579</v>
      </c>
      <c r="C938" s="8" t="s">
        <v>2975</v>
      </c>
      <c r="D938" s="9" t="e">
        <v>#N/A</v>
      </c>
      <c r="E938" s="9" t="s">
        <v>2388</v>
      </c>
      <c r="F938" s="10" t="s">
        <v>2387</v>
      </c>
      <c r="G938" s="9" t="s">
        <v>2410</v>
      </c>
      <c r="H938" s="16" t="s">
        <v>2571</v>
      </c>
      <c r="I938" s="53" t="s">
        <v>2412</v>
      </c>
      <c r="J938" s="25" t="s">
        <v>2412</v>
      </c>
      <c r="K938" s="16">
        <v>0</v>
      </c>
      <c r="L938" s="3" t="s">
        <v>2556</v>
      </c>
      <c r="M938" s="17" t="e">
        <f>INDEX(Validade!H:H,MATCH('Controle de Validade'!A938,Validade!C:C,0))</f>
        <v>#N/A</v>
      </c>
    </row>
    <row r="939" spans="1:14" ht="15" hidden="1" x14ac:dyDescent="0.2">
      <c r="A939" s="30" t="s">
        <v>497</v>
      </c>
      <c r="B939" s="8" t="s">
        <v>2579</v>
      </c>
      <c r="C939" s="8" t="s">
        <v>498</v>
      </c>
      <c r="D939" s="9" t="s">
        <v>28</v>
      </c>
      <c r="E939" s="9" t="s">
        <v>2388</v>
      </c>
      <c r="F939" s="10" t="s">
        <v>2387</v>
      </c>
      <c r="G939" s="9" t="s">
        <v>2471</v>
      </c>
      <c r="H939" s="16" t="s">
        <v>2570</v>
      </c>
      <c r="I939" s="38" t="s">
        <v>3187</v>
      </c>
      <c r="J939" s="26" t="s">
        <v>2948</v>
      </c>
      <c r="K939" s="16">
        <v>1</v>
      </c>
      <c r="L939" s="3" t="s">
        <v>2556</v>
      </c>
      <c r="M939" s="17">
        <f>INDEX(Validade!H:H,MATCH('Controle de Validade'!A939,Validade!C:C,0))</f>
        <v>47085</v>
      </c>
      <c r="N939" s="18"/>
    </row>
    <row r="940" spans="1:14" ht="15" hidden="1" x14ac:dyDescent="0.2">
      <c r="A940" s="30" t="s">
        <v>495</v>
      </c>
      <c r="B940" s="8" t="s">
        <v>2579</v>
      </c>
      <c r="C940" s="8" t="s">
        <v>496</v>
      </c>
      <c r="D940" s="9" t="s">
        <v>28</v>
      </c>
      <c r="E940" s="9" t="s">
        <v>2388</v>
      </c>
      <c r="F940" s="10" t="s">
        <v>2387</v>
      </c>
      <c r="G940" s="9" t="s">
        <v>2471</v>
      </c>
      <c r="H940" s="16" t="s">
        <v>2570</v>
      </c>
      <c r="I940" s="38" t="s">
        <v>3187</v>
      </c>
      <c r="J940" s="26" t="s">
        <v>2948</v>
      </c>
      <c r="K940" s="16">
        <v>1</v>
      </c>
      <c r="L940" s="3" t="s">
        <v>2556</v>
      </c>
      <c r="M940" s="17">
        <f>INDEX(Validade!H:H,MATCH('Controle de Validade'!A940,Validade!C:C,0))</f>
        <v>46882</v>
      </c>
      <c r="N940" s="18"/>
    </row>
    <row r="941" spans="1:14" ht="15" hidden="1" x14ac:dyDescent="0.2">
      <c r="A941" s="30" t="s">
        <v>490</v>
      </c>
      <c r="B941" s="8" t="s">
        <v>2579</v>
      </c>
      <c r="C941" s="8" t="s">
        <v>491</v>
      </c>
      <c r="D941" s="9" t="s">
        <v>28</v>
      </c>
      <c r="E941" s="9" t="s">
        <v>2388</v>
      </c>
      <c r="F941" s="10" t="s">
        <v>2387</v>
      </c>
      <c r="G941" s="9" t="s">
        <v>2471</v>
      </c>
      <c r="H941" s="16" t="s">
        <v>2570</v>
      </c>
      <c r="I941" s="38" t="s">
        <v>3187</v>
      </c>
      <c r="J941" s="26" t="s">
        <v>2948</v>
      </c>
      <c r="K941" s="16">
        <v>1</v>
      </c>
      <c r="L941" s="3" t="s">
        <v>2556</v>
      </c>
      <c r="M941" s="17">
        <f>INDEX(Validade!H:H,MATCH('Controle de Validade'!A941,Validade!C:C,0))</f>
        <v>47162</v>
      </c>
      <c r="N941" s="18"/>
    </row>
    <row r="942" spans="1:14" ht="15" hidden="1" x14ac:dyDescent="0.2">
      <c r="A942" s="30" t="s">
        <v>480</v>
      </c>
      <c r="B942" s="8" t="s">
        <v>2579</v>
      </c>
      <c r="C942" s="8" t="s">
        <v>481</v>
      </c>
      <c r="D942" s="9" t="s">
        <v>28</v>
      </c>
      <c r="E942" s="9" t="s">
        <v>2388</v>
      </c>
      <c r="F942" s="10" t="s">
        <v>2387</v>
      </c>
      <c r="G942" s="9" t="s">
        <v>2471</v>
      </c>
      <c r="H942" s="16" t="s">
        <v>2570</v>
      </c>
      <c r="I942" s="38" t="s">
        <v>3187</v>
      </c>
      <c r="J942" s="26" t="s">
        <v>2948</v>
      </c>
      <c r="K942" s="16">
        <v>1</v>
      </c>
      <c r="L942" s="3" t="s">
        <v>2556</v>
      </c>
      <c r="M942" s="17">
        <f>INDEX(Validade!H:H,MATCH('Controle de Validade'!A942,Validade!C:C,0))</f>
        <v>47084</v>
      </c>
      <c r="N942" s="18"/>
    </row>
    <row r="943" spans="1:14" ht="15" hidden="1" x14ac:dyDescent="0.2">
      <c r="A943" s="30" t="s">
        <v>1561</v>
      </c>
      <c r="B943" s="8" t="s">
        <v>2579</v>
      </c>
      <c r="C943" s="8" t="s">
        <v>1562</v>
      </c>
      <c r="D943" s="9" t="s">
        <v>1471</v>
      </c>
      <c r="E943" s="9" t="s">
        <v>2393</v>
      </c>
      <c r="F943" s="10" t="s">
        <v>2387</v>
      </c>
      <c r="G943" s="9" t="s">
        <v>2414</v>
      </c>
      <c r="H943" s="16" t="s">
        <v>2571</v>
      </c>
      <c r="I943" s="53" t="s">
        <v>2412</v>
      </c>
      <c r="J943" s="25" t="s">
        <v>2412</v>
      </c>
      <c r="K943" s="16">
        <v>0</v>
      </c>
      <c r="L943" s="3" t="s">
        <v>2556</v>
      </c>
      <c r="M943" s="17">
        <f>INDEX(Validade!H:H,MATCH('Controle de Validade'!A943,Validade!C:C,0))</f>
        <v>0</v>
      </c>
      <c r="N943" s="18"/>
    </row>
    <row r="944" spans="1:14" ht="15" hidden="1" x14ac:dyDescent="0.2">
      <c r="A944" s="30" t="s">
        <v>446</v>
      </c>
      <c r="B944" s="8" t="s">
        <v>2579</v>
      </c>
      <c r="C944" s="8" t="s">
        <v>447</v>
      </c>
      <c r="D944" s="9" t="s">
        <v>28</v>
      </c>
      <c r="E944" s="9" t="s">
        <v>2388</v>
      </c>
      <c r="F944" s="10" t="s">
        <v>2387</v>
      </c>
      <c r="G944" s="9" t="s">
        <v>2471</v>
      </c>
      <c r="H944" s="16" t="s">
        <v>2570</v>
      </c>
      <c r="I944" s="38" t="s">
        <v>3187</v>
      </c>
      <c r="J944" s="26" t="s">
        <v>2948</v>
      </c>
      <c r="K944" s="16">
        <v>1</v>
      </c>
      <c r="L944" s="3" t="s">
        <v>2556</v>
      </c>
      <c r="M944" s="17">
        <f>INDEX(Validade!H:H,MATCH('Controle de Validade'!A944,Validade!C:C,0))</f>
        <v>47079</v>
      </c>
      <c r="N944" s="18"/>
    </row>
    <row r="945" spans="1:14" ht="15" hidden="1" x14ac:dyDescent="0.2">
      <c r="A945" s="30" t="s">
        <v>1501</v>
      </c>
      <c r="B945" s="8" t="s">
        <v>2579</v>
      </c>
      <c r="C945" s="8" t="s">
        <v>1502</v>
      </c>
      <c r="D945" s="9" t="s">
        <v>2489</v>
      </c>
      <c r="E945" s="9" t="s">
        <v>2393</v>
      </c>
      <c r="F945" s="10" t="s">
        <v>2387</v>
      </c>
      <c r="G945" s="9" t="s">
        <v>2456</v>
      </c>
      <c r="H945" s="16" t="s">
        <v>2571</v>
      </c>
      <c r="I945" s="53" t="s">
        <v>2412</v>
      </c>
      <c r="J945" s="25" t="s">
        <v>2412</v>
      </c>
      <c r="K945" s="16">
        <v>0</v>
      </c>
      <c r="L945" s="3" t="s">
        <v>2556</v>
      </c>
      <c r="M945" s="17">
        <f>INDEX(Validade!H:H,MATCH('Controle de Validade'!A945,Validade!C:C,0))</f>
        <v>0</v>
      </c>
    </row>
    <row r="946" spans="1:14" ht="15" hidden="1" x14ac:dyDescent="0.2">
      <c r="A946" s="30" t="s">
        <v>1498</v>
      </c>
      <c r="B946" s="8" t="s">
        <v>2579</v>
      </c>
      <c r="C946" s="8" t="s">
        <v>1499</v>
      </c>
      <c r="D946" s="9" t="s">
        <v>2489</v>
      </c>
      <c r="E946" s="9" t="s">
        <v>2393</v>
      </c>
      <c r="F946" s="10" t="s">
        <v>2387</v>
      </c>
      <c r="G946" s="9" t="s">
        <v>2456</v>
      </c>
      <c r="H946" s="16" t="s">
        <v>2571</v>
      </c>
      <c r="I946" s="53" t="s">
        <v>2412</v>
      </c>
      <c r="J946" s="25" t="s">
        <v>2412</v>
      </c>
      <c r="K946" s="16">
        <v>0</v>
      </c>
      <c r="L946" s="3" t="s">
        <v>2556</v>
      </c>
      <c r="M946" s="17">
        <f>INDEX(Validade!H:H,MATCH('Controle de Validade'!A946,Validade!C:C,0))</f>
        <v>0</v>
      </c>
    </row>
    <row r="947" spans="1:14" ht="15" hidden="1" x14ac:dyDescent="0.2">
      <c r="A947" s="30" t="s">
        <v>402</v>
      </c>
      <c r="B947" s="8" t="s">
        <v>2581</v>
      </c>
      <c r="C947" s="8" t="s">
        <v>403</v>
      </c>
      <c r="D947" s="9" t="s">
        <v>2992</v>
      </c>
      <c r="E947" s="9" t="s">
        <v>2388</v>
      </c>
      <c r="F947" s="10" t="s">
        <v>2961</v>
      </c>
      <c r="G947" s="9" t="s">
        <v>2405</v>
      </c>
      <c r="H947" s="16" t="s">
        <v>2570</v>
      </c>
      <c r="I947" s="44" t="s">
        <v>3186</v>
      </c>
      <c r="J947" s="44" t="s">
        <v>2412</v>
      </c>
      <c r="K947" s="16">
        <v>1</v>
      </c>
      <c r="L947" s="3" t="s">
        <v>2556</v>
      </c>
      <c r="M947" s="17">
        <f>INDEX(Validade!H:H,MATCH('Controle de Validade'!A947,Validade!C:C,0))</f>
        <v>46236</v>
      </c>
    </row>
    <row r="948" spans="1:14" ht="15" hidden="1" x14ac:dyDescent="0.2">
      <c r="A948" s="28" t="s">
        <v>392</v>
      </c>
      <c r="B948" s="8" t="s">
        <v>2581</v>
      </c>
      <c r="C948" s="8" t="s">
        <v>393</v>
      </c>
      <c r="D948" s="9" t="s">
        <v>2404</v>
      </c>
      <c r="E948" s="9" t="s">
        <v>2388</v>
      </c>
      <c r="F948" s="10" t="s">
        <v>2961</v>
      </c>
      <c r="G948" s="9" t="s">
        <v>2405</v>
      </c>
      <c r="H948" s="59" t="s">
        <v>2571</v>
      </c>
      <c r="I948" s="39"/>
      <c r="J948" s="43"/>
      <c r="K948" s="16">
        <v>1</v>
      </c>
      <c r="L948" s="3" t="s">
        <v>2556</v>
      </c>
      <c r="M948" s="17">
        <f>INDEX(Validade!H:H,MATCH('Controle de Validade'!A948,Validade!C:C,0))</f>
        <v>54509</v>
      </c>
      <c r="N948" s="18"/>
    </row>
    <row r="949" spans="1:14" ht="15" hidden="1" x14ac:dyDescent="0.2">
      <c r="A949" s="30" t="s">
        <v>1277</v>
      </c>
      <c r="B949" s="8" t="s">
        <v>2580</v>
      </c>
      <c r="C949" s="8" t="s">
        <v>1278</v>
      </c>
      <c r="D949" s="9" t="s">
        <v>2455</v>
      </c>
      <c r="E949" s="9" t="s">
        <v>2393</v>
      </c>
      <c r="F949" s="10" t="s">
        <v>2392</v>
      </c>
      <c r="G949" s="9" t="s">
        <v>2403</v>
      </c>
      <c r="H949" s="16" t="s">
        <v>2571</v>
      </c>
      <c r="I949" s="53" t="s">
        <v>2412</v>
      </c>
      <c r="J949" s="25" t="s">
        <v>2412</v>
      </c>
      <c r="K949" s="16">
        <v>0</v>
      </c>
      <c r="L949" s="3" t="s">
        <v>2556</v>
      </c>
      <c r="M949" s="17">
        <f>INDEX(Validade!H:H,MATCH('Controle de Validade'!A949,Validade!C:C,0))</f>
        <v>62458</v>
      </c>
    </row>
    <row r="950" spans="1:14" ht="15" hidden="1" x14ac:dyDescent="0.2">
      <c r="A950" s="30" t="s">
        <v>376</v>
      </c>
      <c r="B950" s="8" t="s">
        <v>2580</v>
      </c>
      <c r="C950" s="8" t="s">
        <v>377</v>
      </c>
      <c r="D950" s="9" t="s">
        <v>963</v>
      </c>
      <c r="E950" s="9" t="s">
        <v>2393</v>
      </c>
      <c r="F950" s="10" t="s">
        <v>2392</v>
      </c>
      <c r="G950" s="9" t="s">
        <v>2397</v>
      </c>
      <c r="H950" s="16" t="s">
        <v>2571</v>
      </c>
      <c r="I950" s="53" t="s">
        <v>2412</v>
      </c>
      <c r="J950" s="25" t="s">
        <v>2412</v>
      </c>
      <c r="K950" s="16">
        <v>0</v>
      </c>
      <c r="L950" s="3" t="s">
        <v>2556</v>
      </c>
      <c r="M950" s="17">
        <f>INDEX(Validade!H:H,MATCH('Controle de Validade'!A950,Validade!C:C,0))</f>
        <v>0</v>
      </c>
    </row>
    <row r="951" spans="1:14" ht="15" hidden="1" x14ac:dyDescent="0.2">
      <c r="A951" s="30" t="s">
        <v>711</v>
      </c>
      <c r="B951" s="8" t="s">
        <v>2579</v>
      </c>
      <c r="C951" s="8" t="s">
        <v>712</v>
      </c>
      <c r="D951" s="9" t="s">
        <v>2440</v>
      </c>
      <c r="E951" s="9" t="s">
        <v>2388</v>
      </c>
      <c r="F951" s="10" t="s">
        <v>2961</v>
      </c>
      <c r="G951" s="9" t="s">
        <v>2442</v>
      </c>
      <c r="H951" s="16" t="s">
        <v>2570</v>
      </c>
      <c r="I951" s="52" t="s">
        <v>3196</v>
      </c>
      <c r="J951" s="53" t="s">
        <v>2412</v>
      </c>
      <c r="K951" s="16">
        <v>1</v>
      </c>
      <c r="L951" s="3" t="s">
        <v>2556</v>
      </c>
      <c r="M951" s="17">
        <f>INDEX(Validade!H:H,MATCH('Controle de Validade'!A951,Validade!C:C,0))</f>
        <v>47239</v>
      </c>
      <c r="N951" s="18"/>
    </row>
    <row r="952" spans="1:14" ht="15" hidden="1" x14ac:dyDescent="0.2">
      <c r="A952" s="30" t="s">
        <v>1696</v>
      </c>
      <c r="B952" s="8" t="s">
        <v>2579</v>
      </c>
      <c r="C952" s="8" t="s">
        <v>1697</v>
      </c>
      <c r="D952" s="9" t="s">
        <v>2440</v>
      </c>
      <c r="E952" s="9" t="s">
        <v>2388</v>
      </c>
      <c r="F952" s="10" t="s">
        <v>2961</v>
      </c>
      <c r="G952" s="9" t="s">
        <v>2442</v>
      </c>
      <c r="H952" s="16" t="s">
        <v>2570</v>
      </c>
      <c r="I952" s="52" t="s">
        <v>3196</v>
      </c>
      <c r="J952" s="53" t="s">
        <v>2412</v>
      </c>
      <c r="K952" s="16">
        <v>1</v>
      </c>
      <c r="L952" s="3" t="s">
        <v>2556</v>
      </c>
      <c r="M952" s="17">
        <f>INDEX(Validade!H:H,MATCH('Controle de Validade'!A952,Validade!C:C,0))</f>
        <v>47268</v>
      </c>
      <c r="N952" s="18"/>
    </row>
    <row r="953" spans="1:14" ht="15" hidden="1" x14ac:dyDescent="0.2">
      <c r="A953" s="30" t="s">
        <v>378</v>
      </c>
      <c r="B953" s="8" t="s">
        <v>2580</v>
      </c>
      <c r="C953" s="8" t="s">
        <v>379</v>
      </c>
      <c r="D953" s="9" t="s">
        <v>2396</v>
      </c>
      <c r="E953" s="9" t="s">
        <v>2393</v>
      </c>
      <c r="F953" s="10" t="s">
        <v>2392</v>
      </c>
      <c r="G953" s="9" t="s">
        <v>2397</v>
      </c>
      <c r="H953" s="16" t="s">
        <v>2571</v>
      </c>
      <c r="I953" s="53" t="s">
        <v>2412</v>
      </c>
      <c r="J953" s="25" t="s">
        <v>2412</v>
      </c>
      <c r="K953" s="16">
        <v>0</v>
      </c>
      <c r="L953" s="3" t="s">
        <v>2556</v>
      </c>
      <c r="M953" s="17">
        <f>INDEX(Validade!H:H,MATCH('Controle de Validade'!A953,Validade!C:C,0))</f>
        <v>0</v>
      </c>
    </row>
    <row r="954" spans="1:14" ht="15" hidden="1" x14ac:dyDescent="0.2">
      <c r="A954" s="30" t="s">
        <v>386</v>
      </c>
      <c r="B954" s="8" t="s">
        <v>2580</v>
      </c>
      <c r="C954" s="8" t="s">
        <v>387</v>
      </c>
      <c r="D954" s="9" t="s">
        <v>2396</v>
      </c>
      <c r="E954" s="9" t="s">
        <v>2393</v>
      </c>
      <c r="F954" s="10" t="s">
        <v>2392</v>
      </c>
      <c r="G954" s="9" t="s">
        <v>2397</v>
      </c>
      <c r="H954" s="16" t="s">
        <v>2571</v>
      </c>
      <c r="I954" s="53" t="s">
        <v>2412</v>
      </c>
      <c r="J954" s="25" t="s">
        <v>2412</v>
      </c>
      <c r="K954" s="16">
        <v>0</v>
      </c>
      <c r="L954" s="3" t="s">
        <v>2556</v>
      </c>
      <c r="M954" s="17">
        <f>INDEX(Validade!H:H,MATCH('Controle de Validade'!A954,Validade!C:C,0))</f>
        <v>0</v>
      </c>
    </row>
    <row r="955" spans="1:14" ht="15" hidden="1" x14ac:dyDescent="0.2">
      <c r="A955" s="30" t="s">
        <v>1307</v>
      </c>
      <c r="B955" s="8" t="s">
        <v>2580</v>
      </c>
      <c r="C955" s="8" t="s">
        <v>1308</v>
      </c>
      <c r="D955" s="9" t="s">
        <v>1305</v>
      </c>
      <c r="E955" s="9" t="s">
        <v>2393</v>
      </c>
      <c r="F955" s="10" t="s">
        <v>2392</v>
      </c>
      <c r="G955" s="9" t="s">
        <v>2403</v>
      </c>
      <c r="H955" s="16" t="s">
        <v>2571</v>
      </c>
      <c r="I955" s="53" t="s">
        <v>2412</v>
      </c>
      <c r="J955" s="25" t="s">
        <v>2412</v>
      </c>
      <c r="K955" s="16">
        <v>0</v>
      </c>
      <c r="L955" s="3" t="s">
        <v>2556</v>
      </c>
      <c r="M955" s="17">
        <f>INDEX(Validade!H:H,MATCH('Controle de Validade'!A955,Validade!C:C,0))</f>
        <v>0</v>
      </c>
    </row>
    <row r="956" spans="1:14" ht="15" hidden="1" x14ac:dyDescent="0.2">
      <c r="A956" s="30" t="s">
        <v>1394</v>
      </c>
      <c r="B956" s="8" t="s">
        <v>2580</v>
      </c>
      <c r="C956" s="8" t="s">
        <v>1395</v>
      </c>
      <c r="D956" s="9" t="s">
        <v>1189</v>
      </c>
      <c r="E956" s="9" t="s">
        <v>2388</v>
      </c>
      <c r="F956" s="10" t="s">
        <v>2387</v>
      </c>
      <c r="G956" s="9" t="s">
        <v>2400</v>
      </c>
      <c r="H956" s="41" t="s">
        <v>2571</v>
      </c>
      <c r="I956" s="42" t="s">
        <v>2412</v>
      </c>
      <c r="J956" s="41" t="s">
        <v>2412</v>
      </c>
      <c r="K956" s="16">
        <v>1</v>
      </c>
      <c r="L956" s="3" t="s">
        <v>2556</v>
      </c>
      <c r="M956" s="17">
        <f>INDEX(Validade!H:H,MATCH('Controle de Validade'!A956,Validade!C:C,0))</f>
        <v>62458</v>
      </c>
    </row>
    <row r="957" spans="1:14" ht="15" hidden="1" x14ac:dyDescent="0.2">
      <c r="A957" s="30" t="s">
        <v>1391</v>
      </c>
      <c r="B957" s="8" t="s">
        <v>2580</v>
      </c>
      <c r="C957" s="8" t="s">
        <v>1392</v>
      </c>
      <c r="D957" s="9" t="s">
        <v>1189</v>
      </c>
      <c r="E957" s="9" t="s">
        <v>2388</v>
      </c>
      <c r="F957" s="10" t="s">
        <v>2387</v>
      </c>
      <c r="G957" s="9" t="s">
        <v>2400</v>
      </c>
      <c r="H957" s="41" t="s">
        <v>2571</v>
      </c>
      <c r="I957" s="42" t="s">
        <v>2412</v>
      </c>
      <c r="J957" s="41" t="s">
        <v>2412</v>
      </c>
      <c r="K957" s="16">
        <v>1</v>
      </c>
      <c r="L957" s="3" t="s">
        <v>2556</v>
      </c>
      <c r="M957" s="17">
        <f>INDEX(Validade!H:H,MATCH('Controle de Validade'!A957,Validade!C:C,0))</f>
        <v>62458</v>
      </c>
    </row>
    <row r="958" spans="1:14" ht="15" hidden="1" x14ac:dyDescent="0.2">
      <c r="A958" s="30" t="s">
        <v>1388</v>
      </c>
      <c r="B958" s="8" t="s">
        <v>2580</v>
      </c>
      <c r="C958" s="8" t="s">
        <v>1389</v>
      </c>
      <c r="D958" s="9" t="s">
        <v>1019</v>
      </c>
      <c r="E958" s="9" t="s">
        <v>2388</v>
      </c>
      <c r="F958" s="10" t="s">
        <v>2387</v>
      </c>
      <c r="G958" s="9" t="s">
        <v>2400</v>
      </c>
      <c r="H958" s="29" t="s">
        <v>2571</v>
      </c>
      <c r="I958" s="53" t="s">
        <v>2412</v>
      </c>
      <c r="J958" s="25" t="s">
        <v>2412</v>
      </c>
      <c r="K958" s="16">
        <v>0</v>
      </c>
      <c r="L958" s="3" t="s">
        <v>2556</v>
      </c>
      <c r="M958" s="17">
        <f>INDEX(Validade!H:H,MATCH('Controle de Validade'!A958,Validade!C:C,0))</f>
        <v>62458</v>
      </c>
    </row>
    <row r="959" spans="1:14" ht="15" hidden="1" x14ac:dyDescent="0.2">
      <c r="A959" s="30" t="s">
        <v>941</v>
      </c>
      <c r="B959" s="8" t="s">
        <v>2579</v>
      </c>
      <c r="C959" s="8" t="s">
        <v>942</v>
      </c>
      <c r="D959" s="9" t="s">
        <v>943</v>
      </c>
      <c r="E959" s="9" t="s">
        <v>2393</v>
      </c>
      <c r="F959" s="10" t="s">
        <v>2392</v>
      </c>
      <c r="G959" s="9" t="s">
        <v>2505</v>
      </c>
      <c r="H959" s="16" t="s">
        <v>2571</v>
      </c>
      <c r="I959" s="53" t="s">
        <v>2412</v>
      </c>
      <c r="J959" s="25" t="s">
        <v>2412</v>
      </c>
      <c r="K959" s="16">
        <v>0</v>
      </c>
      <c r="L959" s="3" t="s">
        <v>2556</v>
      </c>
      <c r="M959" s="17">
        <f>INDEX(Validade!H:H,MATCH('Controle de Validade'!A959,Validade!C:C,0))</f>
        <v>0</v>
      </c>
    </row>
    <row r="960" spans="1:14" ht="15" hidden="1" x14ac:dyDescent="0.2">
      <c r="A960" s="30" t="s">
        <v>121</v>
      </c>
      <c r="B960" s="8" t="s">
        <v>2579</v>
      </c>
      <c r="C960" s="8" t="s">
        <v>122</v>
      </c>
      <c r="D960" s="9" t="s">
        <v>28</v>
      </c>
      <c r="E960" s="9" t="s">
        <v>2388</v>
      </c>
      <c r="F960" s="10" t="s">
        <v>2387</v>
      </c>
      <c r="G960" s="9" t="s">
        <v>2471</v>
      </c>
      <c r="H960" s="16" t="s">
        <v>2570</v>
      </c>
      <c r="I960" s="38" t="s">
        <v>3187</v>
      </c>
      <c r="J960" s="26" t="s">
        <v>2948</v>
      </c>
      <c r="K960" s="16">
        <v>1</v>
      </c>
      <c r="L960" s="3" t="s">
        <v>2556</v>
      </c>
      <c r="M960" s="17">
        <f>INDEX(Validade!H:H,MATCH('Controle de Validade'!A960,Validade!C:C,0))</f>
        <v>47358</v>
      </c>
      <c r="N960" s="18"/>
    </row>
    <row r="961" spans="1:14" ht="15" hidden="1" x14ac:dyDescent="0.2">
      <c r="A961" s="30" t="s">
        <v>513</v>
      </c>
      <c r="B961" s="8" t="s">
        <v>2579</v>
      </c>
      <c r="C961" s="8" t="s">
        <v>514</v>
      </c>
      <c r="D961" s="9" t="s">
        <v>28</v>
      </c>
      <c r="E961" s="9" t="s">
        <v>2388</v>
      </c>
      <c r="F961" s="10" t="s">
        <v>2387</v>
      </c>
      <c r="G961" s="9" t="s">
        <v>2471</v>
      </c>
      <c r="H961" s="16" t="s">
        <v>2570</v>
      </c>
      <c r="I961" s="38" t="s">
        <v>3187</v>
      </c>
      <c r="J961" s="26" t="s">
        <v>2948</v>
      </c>
      <c r="K961" s="16">
        <v>1</v>
      </c>
      <c r="L961" s="3" t="s">
        <v>2556</v>
      </c>
      <c r="M961" s="17">
        <f>INDEX(Validade!H:H,MATCH('Controle de Validade'!A961,Validade!C:C,0))</f>
        <v>47184</v>
      </c>
      <c r="N961" s="18"/>
    </row>
    <row r="962" spans="1:14" ht="15" hidden="1" x14ac:dyDescent="0.2">
      <c r="A962" s="30" t="s">
        <v>506</v>
      </c>
      <c r="B962" s="8" t="s">
        <v>2579</v>
      </c>
      <c r="C962" s="8" t="s">
        <v>507</v>
      </c>
      <c r="D962" s="9" t="s">
        <v>28</v>
      </c>
      <c r="E962" s="9" t="s">
        <v>2388</v>
      </c>
      <c r="F962" s="10" t="s">
        <v>2387</v>
      </c>
      <c r="G962" s="9" t="s">
        <v>2471</v>
      </c>
      <c r="H962" s="16" t="s">
        <v>2570</v>
      </c>
      <c r="I962" s="38" t="s">
        <v>3187</v>
      </c>
      <c r="J962" s="26" t="s">
        <v>2948</v>
      </c>
      <c r="K962" s="16">
        <v>1</v>
      </c>
      <c r="L962" s="3" t="s">
        <v>2556</v>
      </c>
      <c r="M962" s="17">
        <f>INDEX(Validade!H:H,MATCH('Controle de Validade'!A962,Validade!C:C,0))</f>
        <v>47149</v>
      </c>
      <c r="N962" s="18"/>
    </row>
    <row r="963" spans="1:14" ht="15" hidden="1" x14ac:dyDescent="0.2">
      <c r="A963" s="30" t="s">
        <v>478</v>
      </c>
      <c r="B963" s="8" t="s">
        <v>2579</v>
      </c>
      <c r="C963" s="8" t="s">
        <v>479</v>
      </c>
      <c r="D963" s="9" t="s">
        <v>28</v>
      </c>
      <c r="E963" s="9" t="s">
        <v>2388</v>
      </c>
      <c r="F963" s="10" t="s">
        <v>2387</v>
      </c>
      <c r="G963" s="9" t="s">
        <v>2471</v>
      </c>
      <c r="H963" s="16" t="s">
        <v>2570</v>
      </c>
      <c r="I963" s="38" t="s">
        <v>3187</v>
      </c>
      <c r="J963" s="26" t="s">
        <v>2948</v>
      </c>
      <c r="K963" s="16">
        <v>1</v>
      </c>
      <c r="L963" s="3" t="s">
        <v>2556</v>
      </c>
      <c r="M963" s="17">
        <f>INDEX(Validade!H:H,MATCH('Controle de Validade'!A963,Validade!C:C,0))</f>
        <v>47264</v>
      </c>
      <c r="N963" s="18"/>
    </row>
    <row r="964" spans="1:14" ht="15" hidden="1" x14ac:dyDescent="0.2">
      <c r="A964" s="30" t="s">
        <v>97</v>
      </c>
      <c r="B964" s="8" t="s">
        <v>2579</v>
      </c>
      <c r="C964" s="8" t="s">
        <v>98</v>
      </c>
      <c r="D964" s="9" t="s">
        <v>28</v>
      </c>
      <c r="E964" s="9" t="s">
        <v>2388</v>
      </c>
      <c r="F964" s="10" t="s">
        <v>2387</v>
      </c>
      <c r="G964" s="9" t="s">
        <v>2471</v>
      </c>
      <c r="H964" s="16" t="s">
        <v>2570</v>
      </c>
      <c r="I964" s="38" t="s">
        <v>3187</v>
      </c>
      <c r="J964" s="26" t="s">
        <v>2948</v>
      </c>
      <c r="K964" s="16">
        <v>1</v>
      </c>
      <c r="L964" s="3" t="s">
        <v>2556</v>
      </c>
      <c r="M964" s="17">
        <f>INDEX(Validade!H:H,MATCH('Controle de Validade'!A964,Validade!C:C,0))</f>
        <v>47016</v>
      </c>
      <c r="N964" s="18"/>
    </row>
    <row r="965" spans="1:14" ht="15" hidden="1" x14ac:dyDescent="0.2">
      <c r="A965" s="30" t="s">
        <v>1555</v>
      </c>
      <c r="B965" s="8" t="s">
        <v>2579</v>
      </c>
      <c r="C965" s="8" t="s">
        <v>1556</v>
      </c>
      <c r="D965" s="9" t="s">
        <v>1471</v>
      </c>
      <c r="E965" s="9" t="s">
        <v>2393</v>
      </c>
      <c r="F965" s="10" t="s">
        <v>2387</v>
      </c>
      <c r="G965" s="9" t="s">
        <v>2414</v>
      </c>
      <c r="H965" s="16" t="s">
        <v>2571</v>
      </c>
      <c r="I965" s="53" t="s">
        <v>2412</v>
      </c>
      <c r="J965" s="25" t="s">
        <v>2412</v>
      </c>
      <c r="K965" s="16">
        <v>0</v>
      </c>
      <c r="L965" s="3" t="s">
        <v>2556</v>
      </c>
      <c r="M965" s="17">
        <f>INDEX(Validade!H:H,MATCH('Controle de Validade'!A965,Validade!C:C,0))</f>
        <v>0</v>
      </c>
      <c r="N965" s="18"/>
    </row>
    <row r="966" spans="1:14" ht="15" hidden="1" x14ac:dyDescent="0.2">
      <c r="A966" s="30" t="s">
        <v>733</v>
      </c>
      <c r="B966" s="8" t="s">
        <v>2579</v>
      </c>
      <c r="C966" s="8" t="s">
        <v>734</v>
      </c>
      <c r="D966" s="9" t="s">
        <v>3050</v>
      </c>
      <c r="E966" s="9" t="s">
        <v>2393</v>
      </c>
      <c r="F966" s="10" t="s">
        <v>2387</v>
      </c>
      <c r="G966" s="9" t="s">
        <v>2456</v>
      </c>
      <c r="H966" s="16" t="s">
        <v>2571</v>
      </c>
      <c r="I966" s="53" t="s">
        <v>2412</v>
      </c>
      <c r="J966" s="25" t="s">
        <v>2412</v>
      </c>
      <c r="K966" s="16">
        <v>0</v>
      </c>
      <c r="L966" s="3" t="s">
        <v>2556</v>
      </c>
      <c r="M966" s="17">
        <f>INDEX(Validade!H:H,MATCH('Controle de Validade'!A966,Validade!C:C,0))</f>
        <v>0</v>
      </c>
    </row>
    <row r="967" spans="1:14" ht="15" hidden="1" x14ac:dyDescent="0.2">
      <c r="A967" s="30" t="s">
        <v>1989</v>
      </c>
      <c r="B967" s="8" t="s">
        <v>2579</v>
      </c>
      <c r="C967" s="8" t="s">
        <v>2976</v>
      </c>
      <c r="D967" s="9" t="s">
        <v>177</v>
      </c>
      <c r="E967" s="9" t="s">
        <v>2388</v>
      </c>
      <c r="F967" s="10" t="s">
        <v>2387</v>
      </c>
      <c r="G967" s="9" t="s">
        <v>2433</v>
      </c>
      <c r="H967" s="16" t="s">
        <v>2571</v>
      </c>
      <c r="I967" s="53" t="s">
        <v>2412</v>
      </c>
      <c r="J967" s="25" t="s">
        <v>2412</v>
      </c>
      <c r="K967" s="16">
        <v>0</v>
      </c>
      <c r="L967" s="3" t="s">
        <v>2556</v>
      </c>
      <c r="M967" s="17" t="e">
        <f>INDEX(Validade!H:H,MATCH('Controle de Validade'!A967,Validade!C:C,0))</f>
        <v>#N/A</v>
      </c>
    </row>
    <row r="968" spans="1:14" ht="15" hidden="1" x14ac:dyDescent="0.2">
      <c r="A968" s="30" t="s">
        <v>1993</v>
      </c>
      <c r="B968" s="8" t="s">
        <v>2579</v>
      </c>
      <c r="C968" s="8" t="s">
        <v>2977</v>
      </c>
      <c r="D968" s="9" t="s">
        <v>177</v>
      </c>
      <c r="E968" s="9" t="s">
        <v>2388</v>
      </c>
      <c r="F968" s="10" t="s">
        <v>2387</v>
      </c>
      <c r="G968" s="9" t="s">
        <v>2433</v>
      </c>
      <c r="H968" s="16" t="s">
        <v>2571</v>
      </c>
      <c r="I968" s="53" t="s">
        <v>2412</v>
      </c>
      <c r="J968" s="25" t="s">
        <v>2412</v>
      </c>
      <c r="K968" s="16">
        <v>0</v>
      </c>
      <c r="L968" s="3" t="s">
        <v>2556</v>
      </c>
      <c r="M968" s="17" t="e">
        <f>INDEX(Validade!H:H,MATCH('Controle de Validade'!A968,Validade!C:C,0))</f>
        <v>#N/A</v>
      </c>
    </row>
    <row r="969" spans="1:14" ht="15" hidden="1" x14ac:dyDescent="0.2">
      <c r="A969" s="30" t="s">
        <v>2005</v>
      </c>
      <c r="B969" s="8" t="s">
        <v>2579</v>
      </c>
      <c r="C969" s="8" t="s">
        <v>2978</v>
      </c>
      <c r="D969" s="9" t="s">
        <v>15</v>
      </c>
      <c r="E969" s="9" t="s">
        <v>2388</v>
      </c>
      <c r="F969" s="10" t="s">
        <v>2387</v>
      </c>
      <c r="G969" s="9" t="s">
        <v>2479</v>
      </c>
      <c r="H969" s="16" t="s">
        <v>2571</v>
      </c>
      <c r="I969" s="53" t="s">
        <v>2412</v>
      </c>
      <c r="J969" s="25" t="s">
        <v>2412</v>
      </c>
      <c r="K969" s="16">
        <v>0</v>
      </c>
      <c r="L969" s="3" t="s">
        <v>2556</v>
      </c>
      <c r="M969" s="17" t="e">
        <f>INDEX(Validade!H:H,MATCH('Controle de Validade'!A969,Validade!C:C,0))</f>
        <v>#N/A</v>
      </c>
    </row>
    <row r="970" spans="1:14" ht="15" hidden="1" x14ac:dyDescent="0.2">
      <c r="A970" s="30" t="s">
        <v>127</v>
      </c>
      <c r="B970" s="8" t="s">
        <v>2579</v>
      </c>
      <c r="C970" s="8" t="s">
        <v>128</v>
      </c>
      <c r="D970" s="9" t="s">
        <v>129</v>
      </c>
      <c r="E970" s="9" t="s">
        <v>2388</v>
      </c>
      <c r="F970" s="10" t="s">
        <v>2392</v>
      </c>
      <c r="G970" s="9" t="s">
        <v>2431</v>
      </c>
      <c r="H970" s="16" t="s">
        <v>2570</v>
      </c>
      <c r="I970" s="46" t="s">
        <v>3186</v>
      </c>
      <c r="J970" s="43" t="s">
        <v>3194</v>
      </c>
      <c r="K970" s="16">
        <v>1</v>
      </c>
      <c r="L970" s="3" t="s">
        <v>2556</v>
      </c>
      <c r="M970" s="17">
        <f>INDEX(Validade!H:H,MATCH('Controle de Validade'!A970,Validade!C:C,0))</f>
        <v>46109</v>
      </c>
      <c r="N970" s="18"/>
    </row>
    <row r="971" spans="1:14" ht="15" hidden="1" x14ac:dyDescent="0.2">
      <c r="A971" s="30" t="s">
        <v>1990</v>
      </c>
      <c r="B971" s="8" t="s">
        <v>2579</v>
      </c>
      <c r="C971" s="8" t="s">
        <v>2979</v>
      </c>
      <c r="D971" s="9" t="s">
        <v>2438</v>
      </c>
      <c r="E971" s="9" t="s">
        <v>2388</v>
      </c>
      <c r="F971" s="10" t="s">
        <v>2961</v>
      </c>
      <c r="G971" s="9" t="s">
        <v>2423</v>
      </c>
      <c r="H971" s="16" t="s">
        <v>2571</v>
      </c>
      <c r="I971" s="39"/>
      <c r="K971" s="16">
        <v>1</v>
      </c>
      <c r="L971" s="3" t="s">
        <v>2556</v>
      </c>
      <c r="M971" s="17" t="e">
        <f>INDEX(Validade!H:H,MATCH('Controle de Validade'!A971,Validade!C:C,0))</f>
        <v>#N/A</v>
      </c>
    </row>
    <row r="972" spans="1:14" ht="15" hidden="1" x14ac:dyDescent="0.2">
      <c r="A972" s="30" t="s">
        <v>2004</v>
      </c>
      <c r="B972" s="8" t="s">
        <v>2579</v>
      </c>
      <c r="C972" s="8" t="s">
        <v>2980</v>
      </c>
      <c r="D972" s="9" t="s">
        <v>177</v>
      </c>
      <c r="E972" s="9" t="s">
        <v>2388</v>
      </c>
      <c r="F972" s="10" t="s">
        <v>2387</v>
      </c>
      <c r="G972" s="9" t="s">
        <v>2433</v>
      </c>
      <c r="H972" s="16" t="s">
        <v>2571</v>
      </c>
      <c r="I972" s="53" t="s">
        <v>2412</v>
      </c>
      <c r="J972" s="25" t="s">
        <v>2412</v>
      </c>
      <c r="K972" s="16">
        <v>0</v>
      </c>
      <c r="L972" s="3" t="s">
        <v>2556</v>
      </c>
      <c r="M972" s="17" t="e">
        <f>INDEX(Validade!H:H,MATCH('Controle de Validade'!A972,Validade!C:C,0))</f>
        <v>#N/A</v>
      </c>
    </row>
    <row r="973" spans="1:14" ht="15" hidden="1" x14ac:dyDescent="0.2">
      <c r="A973" s="28" t="s">
        <v>1642</v>
      </c>
      <c r="B973" s="8" t="s">
        <v>2583</v>
      </c>
      <c r="C973" s="8" t="s">
        <v>1643</v>
      </c>
      <c r="D973" s="9" t="s">
        <v>947</v>
      </c>
      <c r="E973" s="9" t="s">
        <v>2393</v>
      </c>
      <c r="F973" s="10" t="s">
        <v>2392</v>
      </c>
      <c r="G973" s="9" t="s">
        <v>2506</v>
      </c>
      <c r="H973" s="16" t="s">
        <v>2570</v>
      </c>
      <c r="I973" s="56"/>
      <c r="J973" s="43"/>
      <c r="K973" s="16">
        <v>1</v>
      </c>
      <c r="L973" s="3" t="s">
        <v>2556</v>
      </c>
      <c r="M973" s="17">
        <f>INDEX(Validade!H:H,MATCH('Controle de Validade'!A973,Validade!C:C,0))</f>
        <v>45838</v>
      </c>
      <c r="N973" s="55" t="s">
        <v>3201</v>
      </c>
    </row>
    <row r="974" spans="1:14" ht="15" hidden="1" x14ac:dyDescent="0.2">
      <c r="A974" s="30" t="s">
        <v>449</v>
      </c>
      <c r="B974" s="8" t="s">
        <v>2687</v>
      </c>
      <c r="C974" s="8" t="s">
        <v>450</v>
      </c>
      <c r="D974" s="9" t="s">
        <v>3059</v>
      </c>
      <c r="E974" s="9" t="s">
        <v>2388</v>
      </c>
      <c r="F974" s="10" t="s">
        <v>2387</v>
      </c>
      <c r="G974" s="9" t="s">
        <v>2431</v>
      </c>
      <c r="H974" s="16" t="s">
        <v>2570</v>
      </c>
      <c r="I974" s="38" t="s">
        <v>3186</v>
      </c>
      <c r="J974" s="26" t="s">
        <v>2963</v>
      </c>
      <c r="K974" s="16">
        <v>1</v>
      </c>
      <c r="L974" s="3" t="s">
        <v>2556</v>
      </c>
      <c r="M974" s="17">
        <f>INDEX(Validade!H:H,MATCH('Controle de Validade'!A974,Validade!C:C,0))</f>
        <v>46176</v>
      </c>
      <c r="N974" s="18"/>
    </row>
    <row r="975" spans="1:14" ht="15" hidden="1" x14ac:dyDescent="0.2">
      <c r="A975" s="30" t="s">
        <v>2035</v>
      </c>
      <c r="B975" s="8" t="s">
        <v>2579</v>
      </c>
      <c r="C975" s="8" t="s">
        <v>2981</v>
      </c>
      <c r="D975" s="9" t="s">
        <v>2515</v>
      </c>
      <c r="E975" s="9" t="s">
        <v>2388</v>
      </c>
      <c r="F975" s="10" t="s">
        <v>2961</v>
      </c>
      <c r="G975" s="9" t="s">
        <v>2429</v>
      </c>
      <c r="H975" s="16" t="s">
        <v>2571</v>
      </c>
      <c r="I975" s="25" t="s">
        <v>2412</v>
      </c>
      <c r="J975" s="25" t="s">
        <v>2412</v>
      </c>
      <c r="K975" s="16">
        <v>1</v>
      </c>
      <c r="L975" s="3" t="s">
        <v>2556</v>
      </c>
      <c r="M975" s="17" t="e">
        <f>INDEX(Validade!H:H,MATCH('Controle de Validade'!A975,Validade!C:C,0))</f>
        <v>#N/A</v>
      </c>
      <c r="N975" s="18"/>
    </row>
    <row r="976" spans="1:14" ht="15" hidden="1" x14ac:dyDescent="0.2">
      <c r="A976" s="30" t="s">
        <v>521</v>
      </c>
      <c r="B976" s="8" t="s">
        <v>2927</v>
      </c>
      <c r="C976" s="8" t="s">
        <v>522</v>
      </c>
      <c r="D976" s="9" t="s">
        <v>523</v>
      </c>
      <c r="E976" s="9" t="s">
        <v>2388</v>
      </c>
      <c r="F976" s="10" t="s">
        <v>2387</v>
      </c>
      <c r="G976" s="9" t="s">
        <v>2420</v>
      </c>
      <c r="H976" s="27" t="s">
        <v>2570</v>
      </c>
      <c r="I976" s="47" t="s">
        <v>3190</v>
      </c>
      <c r="J976" s="43" t="s">
        <v>3198</v>
      </c>
      <c r="K976" s="16">
        <v>1</v>
      </c>
      <c r="L976" s="3" t="s">
        <v>2556</v>
      </c>
      <c r="M976" s="17">
        <f>INDEX(Validade!H:H,MATCH('Controle de Validade'!A976,Validade!C:C,0))</f>
        <v>45919</v>
      </c>
      <c r="N976" s="16"/>
    </row>
    <row r="977" spans="1:14" ht="15" hidden="1" x14ac:dyDescent="0.2">
      <c r="A977" s="8" t="s">
        <v>306</v>
      </c>
      <c r="B977" s="8" t="s">
        <v>2579</v>
      </c>
      <c r="C977" s="8" t="s">
        <v>307</v>
      </c>
      <c r="D977" s="9" t="s">
        <v>144</v>
      </c>
      <c r="E977" s="9" t="s">
        <v>2388</v>
      </c>
      <c r="F977" s="10" t="s">
        <v>2392</v>
      </c>
      <c r="G977" s="9" t="s">
        <v>2463</v>
      </c>
      <c r="H977" s="16" t="s">
        <v>2571</v>
      </c>
      <c r="I977" s="25" t="s">
        <v>2412</v>
      </c>
      <c r="J977" s="25" t="s">
        <v>2412</v>
      </c>
      <c r="K977" s="16">
        <v>0</v>
      </c>
      <c r="L977" s="3" t="s">
        <v>2556</v>
      </c>
      <c r="M977" s="17">
        <f>INDEX(Validade!H:H,MATCH('Controle de Validade'!A977,Validade!C:C,0))</f>
        <v>62458</v>
      </c>
    </row>
    <row r="978" spans="1:14" ht="15" hidden="1" x14ac:dyDescent="0.2">
      <c r="A978" s="8" t="s">
        <v>808</v>
      </c>
      <c r="B978" s="8" t="s">
        <v>2579</v>
      </c>
      <c r="C978" s="8" t="s">
        <v>809</v>
      </c>
      <c r="D978" s="9" t="s">
        <v>2475</v>
      </c>
      <c r="E978" s="9" t="s">
        <v>2476</v>
      </c>
      <c r="F978" s="10" t="s">
        <v>2387</v>
      </c>
      <c r="G978" s="9" t="s">
        <v>2456</v>
      </c>
      <c r="H978" s="16" t="s">
        <v>2571</v>
      </c>
      <c r="I978" s="25" t="s">
        <v>2412</v>
      </c>
      <c r="J978" s="25" t="s">
        <v>2412</v>
      </c>
      <c r="K978" s="16">
        <v>0</v>
      </c>
      <c r="L978" s="3" t="s">
        <v>2556</v>
      </c>
      <c r="M978" s="17">
        <f>INDEX(Validade!H:H,MATCH('Controle de Validade'!A978,Validade!C:C,0))</f>
        <v>0</v>
      </c>
    </row>
    <row r="979" spans="1:14" ht="15" hidden="1" x14ac:dyDescent="0.2">
      <c r="A979" s="30" t="s">
        <v>1698</v>
      </c>
      <c r="B979" s="8" t="s">
        <v>2579</v>
      </c>
      <c r="C979" s="8" t="s">
        <v>1699</v>
      </c>
      <c r="D979" s="9" t="s">
        <v>2440</v>
      </c>
      <c r="E979" s="9" t="s">
        <v>2388</v>
      </c>
      <c r="F979" s="10" t="s">
        <v>2961</v>
      </c>
      <c r="G979" s="9" t="s">
        <v>2442</v>
      </c>
      <c r="H979" s="16" t="s">
        <v>2570</v>
      </c>
      <c r="I979" s="52" t="s">
        <v>3196</v>
      </c>
      <c r="J979" s="53" t="s">
        <v>2412</v>
      </c>
      <c r="K979" s="16">
        <v>1</v>
      </c>
      <c r="L979" s="3" t="s">
        <v>2556</v>
      </c>
      <c r="M979" s="17">
        <f>INDEX(Validade!H:H,MATCH('Controle de Validade'!A979,Validade!C:C,0))</f>
        <v>47268</v>
      </c>
    </row>
    <row r="980" spans="1:14" ht="15" hidden="1" x14ac:dyDescent="0.2">
      <c r="A980" s="30" t="s">
        <v>974</v>
      </c>
      <c r="B980" s="8" t="s">
        <v>2579</v>
      </c>
      <c r="C980" s="8" t="s">
        <v>975</v>
      </c>
      <c r="D980" s="9" t="s">
        <v>28</v>
      </c>
      <c r="E980" s="9" t="s">
        <v>2388</v>
      </c>
      <c r="F980" s="10" t="s">
        <v>2387</v>
      </c>
      <c r="G980" s="9" t="s">
        <v>2471</v>
      </c>
      <c r="H980" s="16" t="s">
        <v>2570</v>
      </c>
      <c r="I980" s="40" t="s">
        <v>3187</v>
      </c>
      <c r="J980" s="26" t="s">
        <v>2948</v>
      </c>
      <c r="K980" s="16">
        <v>1</v>
      </c>
      <c r="L980" s="3" t="s">
        <v>2556</v>
      </c>
      <c r="M980" s="17">
        <f>INDEX(Validade!H:H,MATCH('Controle de Validade'!A980,Validade!C:C,0))</f>
        <v>45895</v>
      </c>
      <c r="N980" s="18"/>
    </row>
    <row r="981" spans="1:14" ht="15" hidden="1" x14ac:dyDescent="0.2">
      <c r="A981" s="30" t="s">
        <v>101</v>
      </c>
      <c r="B981" s="8" t="s">
        <v>2579</v>
      </c>
      <c r="C981" s="8" t="s">
        <v>102</v>
      </c>
      <c r="D981" s="9" t="s">
        <v>28</v>
      </c>
      <c r="E981" s="9" t="s">
        <v>2388</v>
      </c>
      <c r="F981" s="10" t="s">
        <v>2387</v>
      </c>
      <c r="G981" s="9" t="s">
        <v>2471</v>
      </c>
      <c r="H981" s="16" t="s">
        <v>2570</v>
      </c>
      <c r="I981" s="40" t="s">
        <v>3187</v>
      </c>
      <c r="J981" s="26" t="s">
        <v>2948</v>
      </c>
      <c r="K981" s="16">
        <v>1</v>
      </c>
      <c r="L981" s="3" t="s">
        <v>2556</v>
      </c>
      <c r="M981" s="17">
        <f>INDEX(Validade!H:H,MATCH('Controle de Validade'!A981,Validade!C:C,0))</f>
        <v>46896</v>
      </c>
      <c r="N981" s="18"/>
    </row>
    <row r="982" spans="1:14" ht="15" hidden="1" x14ac:dyDescent="0.2">
      <c r="A982" s="30" t="s">
        <v>99</v>
      </c>
      <c r="B982" s="8" t="s">
        <v>2579</v>
      </c>
      <c r="C982" s="8" t="s">
        <v>100</v>
      </c>
      <c r="D982" s="9" t="s">
        <v>28</v>
      </c>
      <c r="E982" s="9" t="s">
        <v>2388</v>
      </c>
      <c r="F982" s="10" t="s">
        <v>2387</v>
      </c>
      <c r="G982" s="9" t="s">
        <v>2471</v>
      </c>
      <c r="H982" s="16" t="s">
        <v>2570</v>
      </c>
      <c r="I982" s="40" t="s">
        <v>3187</v>
      </c>
      <c r="J982" s="26" t="s">
        <v>2948</v>
      </c>
      <c r="K982" s="16">
        <v>1</v>
      </c>
      <c r="L982" s="3" t="s">
        <v>2556</v>
      </c>
      <c r="M982" s="17">
        <f>INDEX(Validade!H:H,MATCH('Controle de Validade'!A982,Validade!C:C,0))</f>
        <v>46974</v>
      </c>
      <c r="N982" s="18"/>
    </row>
    <row r="983" spans="1:14" ht="15" hidden="1" x14ac:dyDescent="0.2">
      <c r="A983" s="8" t="s">
        <v>106</v>
      </c>
      <c r="B983" s="8" t="s">
        <v>2579</v>
      </c>
      <c r="C983" s="8" t="s">
        <v>107</v>
      </c>
      <c r="D983" s="9" t="s">
        <v>15</v>
      </c>
      <c r="E983" s="9" t="s">
        <v>2388</v>
      </c>
      <c r="F983" s="10" t="s">
        <v>2387</v>
      </c>
      <c r="G983" s="9" t="s">
        <v>2479</v>
      </c>
      <c r="H983" s="16" t="s">
        <v>2571</v>
      </c>
      <c r="I983" s="25" t="s">
        <v>2412</v>
      </c>
      <c r="J983" s="25" t="s">
        <v>2412</v>
      </c>
      <c r="K983" s="16">
        <v>0</v>
      </c>
      <c r="L983" s="3" t="s">
        <v>2556</v>
      </c>
      <c r="M983" s="17">
        <f>INDEX(Validade!H:H,MATCH('Controle de Validade'!A983,Validade!C:C,0))</f>
        <v>62458</v>
      </c>
    </row>
    <row r="984" spans="1:14" ht="15" hidden="1" x14ac:dyDescent="0.2">
      <c r="A984" s="8" t="s">
        <v>69</v>
      </c>
      <c r="B984" s="8" t="s">
        <v>2579</v>
      </c>
      <c r="C984" s="8" t="s">
        <v>70</v>
      </c>
      <c r="D984" s="9" t="s">
        <v>15</v>
      </c>
      <c r="E984" s="9" t="s">
        <v>2388</v>
      </c>
      <c r="F984" s="10" t="s">
        <v>2387</v>
      </c>
      <c r="G984" s="9" t="s">
        <v>2479</v>
      </c>
      <c r="H984" s="16" t="s">
        <v>2571</v>
      </c>
      <c r="I984" s="25" t="s">
        <v>2412</v>
      </c>
      <c r="J984" s="25" t="s">
        <v>2412</v>
      </c>
      <c r="K984" s="16">
        <v>0</v>
      </c>
      <c r="L984" s="3" t="s">
        <v>2556</v>
      </c>
      <c r="M984" s="17">
        <f>INDEX(Validade!H:H,MATCH('Controle de Validade'!A984,Validade!C:C,0))</f>
        <v>62458</v>
      </c>
    </row>
    <row r="985" spans="1:14" ht="15" hidden="1" x14ac:dyDescent="0.2">
      <c r="A985" s="8" t="s">
        <v>45</v>
      </c>
      <c r="B985" s="8" t="s">
        <v>2579</v>
      </c>
      <c r="C985" s="8" t="s">
        <v>46</v>
      </c>
      <c r="D985" s="9" t="s">
        <v>15</v>
      </c>
      <c r="E985" s="9" t="s">
        <v>2388</v>
      </c>
      <c r="F985" s="10" t="s">
        <v>2387</v>
      </c>
      <c r="G985" s="9" t="s">
        <v>2479</v>
      </c>
      <c r="H985" s="16" t="s">
        <v>2571</v>
      </c>
      <c r="I985" s="25" t="s">
        <v>2412</v>
      </c>
      <c r="J985" s="25" t="s">
        <v>2412</v>
      </c>
      <c r="K985" s="16">
        <v>0</v>
      </c>
      <c r="L985" s="3" t="s">
        <v>2556</v>
      </c>
      <c r="M985" s="17">
        <f>INDEX(Validade!H:H,MATCH('Controle de Validade'!A985,Validade!C:C,0))</f>
        <v>62458</v>
      </c>
    </row>
    <row r="986" spans="1:14" ht="15" hidden="1" x14ac:dyDescent="0.2">
      <c r="A986" s="8" t="s">
        <v>36</v>
      </c>
      <c r="B986" s="8" t="s">
        <v>2579</v>
      </c>
      <c r="C986" s="8" t="s">
        <v>37</v>
      </c>
      <c r="D986" s="9" t="s">
        <v>15</v>
      </c>
      <c r="E986" s="9" t="s">
        <v>2388</v>
      </c>
      <c r="F986" s="10" t="s">
        <v>2387</v>
      </c>
      <c r="G986" s="9" t="s">
        <v>2479</v>
      </c>
      <c r="H986" s="16" t="s">
        <v>2571</v>
      </c>
      <c r="I986" s="25" t="s">
        <v>2412</v>
      </c>
      <c r="J986" s="25" t="s">
        <v>2412</v>
      </c>
      <c r="K986" s="16">
        <v>0</v>
      </c>
      <c r="L986" s="3" t="s">
        <v>2556</v>
      </c>
      <c r="M986" s="17">
        <f>INDEX(Validade!H:H,MATCH('Controle de Validade'!A986,Validade!C:C,0))</f>
        <v>62458</v>
      </c>
    </row>
    <row r="987" spans="1:14" ht="15" hidden="1" x14ac:dyDescent="0.2">
      <c r="A987" s="30" t="s">
        <v>26</v>
      </c>
      <c r="B987" s="8" t="s">
        <v>2579</v>
      </c>
      <c r="C987" s="8" t="s">
        <v>27</v>
      </c>
      <c r="D987" s="9" t="s">
        <v>28</v>
      </c>
      <c r="E987" s="9" t="s">
        <v>2388</v>
      </c>
      <c r="F987" s="10" t="s">
        <v>2387</v>
      </c>
      <c r="G987" s="9" t="s">
        <v>2471</v>
      </c>
      <c r="H987" s="16" t="s">
        <v>2570</v>
      </c>
      <c r="I987" s="40" t="s">
        <v>3187</v>
      </c>
      <c r="J987" s="26" t="s">
        <v>2948</v>
      </c>
      <c r="K987" s="16">
        <v>1</v>
      </c>
      <c r="L987" s="3" t="s">
        <v>2556</v>
      </c>
      <c r="M987" s="17">
        <f>INDEX(Validade!H:H,MATCH('Controle de Validade'!A987,Validade!C:C,0))</f>
        <v>47113</v>
      </c>
      <c r="N987" s="18"/>
    </row>
    <row r="988" spans="1:14" ht="15" hidden="1" x14ac:dyDescent="0.2">
      <c r="A988" s="30" t="s">
        <v>910</v>
      </c>
      <c r="B988" s="8" t="s">
        <v>2579</v>
      </c>
      <c r="C988" s="8" t="s">
        <v>491</v>
      </c>
      <c r="D988" s="9" t="s">
        <v>28</v>
      </c>
      <c r="E988" s="9" t="s">
        <v>2388</v>
      </c>
      <c r="F988" s="10" t="s">
        <v>2387</v>
      </c>
      <c r="G988" s="9" t="s">
        <v>2471</v>
      </c>
      <c r="H988" s="16" t="s">
        <v>2570</v>
      </c>
      <c r="I988" s="40" t="s">
        <v>3187</v>
      </c>
      <c r="J988" s="26" t="s">
        <v>2948</v>
      </c>
      <c r="K988" s="16">
        <v>1</v>
      </c>
      <c r="L988" s="3" t="s">
        <v>2556</v>
      </c>
      <c r="M988" s="17">
        <f>INDEX(Validade!H:H,MATCH('Controle de Validade'!A988,Validade!C:C,0))</f>
        <v>46084</v>
      </c>
      <c r="N988" s="18"/>
    </row>
    <row r="989" spans="1:14" ht="15" hidden="1" x14ac:dyDescent="0.2">
      <c r="A989" s="8" t="s">
        <v>775</v>
      </c>
      <c r="B989" s="8" t="s">
        <v>2579</v>
      </c>
      <c r="C989" s="8" t="s">
        <v>776</v>
      </c>
      <c r="D989" s="9" t="s">
        <v>749</v>
      </c>
      <c r="E989" s="9" t="s">
        <v>2476</v>
      </c>
      <c r="F989" s="10" t="s">
        <v>2387</v>
      </c>
      <c r="G989" s="9" t="s">
        <v>2456</v>
      </c>
      <c r="H989" s="16" t="s">
        <v>2571</v>
      </c>
      <c r="I989" s="25" t="s">
        <v>2412</v>
      </c>
      <c r="J989" s="25" t="s">
        <v>2412</v>
      </c>
      <c r="K989" s="16">
        <v>0</v>
      </c>
      <c r="L989" s="3" t="s">
        <v>2556</v>
      </c>
      <c r="M989" s="17">
        <f>INDEX(Validade!H:H,MATCH('Controle de Validade'!A989,Validade!C:C,0))</f>
        <v>0</v>
      </c>
    </row>
    <row r="990" spans="1:14" ht="15" hidden="1" x14ac:dyDescent="0.2">
      <c r="A990" s="8" t="s">
        <v>760</v>
      </c>
      <c r="B990" s="8" t="s">
        <v>2579</v>
      </c>
      <c r="C990" s="8" t="s">
        <v>761</v>
      </c>
      <c r="D990" s="9" t="s">
        <v>749</v>
      </c>
      <c r="E990" s="9" t="s">
        <v>2476</v>
      </c>
      <c r="F990" s="10" t="s">
        <v>2387</v>
      </c>
      <c r="G990" s="9" t="s">
        <v>2456</v>
      </c>
      <c r="H990" s="16" t="s">
        <v>2571</v>
      </c>
      <c r="I990" s="25" t="s">
        <v>2412</v>
      </c>
      <c r="J990" s="25" t="s">
        <v>2412</v>
      </c>
      <c r="K990" s="16">
        <v>0</v>
      </c>
      <c r="L990" s="3" t="s">
        <v>2556</v>
      </c>
      <c r="M990" s="17">
        <f>INDEX(Validade!H:H,MATCH('Controle de Validade'!A990,Validade!C:C,0))</f>
        <v>0</v>
      </c>
    </row>
    <row r="991" spans="1:14" ht="15" hidden="1" x14ac:dyDescent="0.2">
      <c r="A991" s="8" t="s">
        <v>757</v>
      </c>
      <c r="B991" s="8" t="s">
        <v>2579</v>
      </c>
      <c r="C991" s="8" t="s">
        <v>758</v>
      </c>
      <c r="D991" s="9" t="s">
        <v>749</v>
      </c>
      <c r="E991" s="9" t="s">
        <v>2476</v>
      </c>
      <c r="F991" s="10" t="s">
        <v>2387</v>
      </c>
      <c r="G991" s="9" t="s">
        <v>2456</v>
      </c>
      <c r="H991" s="16" t="s">
        <v>2571</v>
      </c>
      <c r="I991" s="25" t="s">
        <v>2412</v>
      </c>
      <c r="J991" s="25" t="s">
        <v>2412</v>
      </c>
      <c r="K991" s="16">
        <v>0</v>
      </c>
      <c r="L991" s="3" t="s">
        <v>2556</v>
      </c>
      <c r="M991" s="17">
        <f>INDEX(Validade!H:H,MATCH('Controle de Validade'!A991,Validade!C:C,0))</f>
        <v>0</v>
      </c>
    </row>
    <row r="992" spans="1:14" ht="15" hidden="1" x14ac:dyDescent="0.2">
      <c r="A992" s="8" t="s">
        <v>754</v>
      </c>
      <c r="B992" s="8" t="s">
        <v>2579</v>
      </c>
      <c r="C992" s="8" t="s">
        <v>755</v>
      </c>
      <c r="D992" s="9" t="s">
        <v>749</v>
      </c>
      <c r="E992" s="9" t="s">
        <v>2476</v>
      </c>
      <c r="F992" s="10" t="s">
        <v>2387</v>
      </c>
      <c r="G992" s="9" t="s">
        <v>2456</v>
      </c>
      <c r="H992" s="16" t="s">
        <v>2571</v>
      </c>
      <c r="I992" s="25" t="s">
        <v>2412</v>
      </c>
      <c r="J992" s="25" t="s">
        <v>2412</v>
      </c>
      <c r="K992" s="16">
        <v>0</v>
      </c>
      <c r="L992" s="3" t="s">
        <v>2556</v>
      </c>
      <c r="M992" s="17">
        <f>INDEX(Validade!H:H,MATCH('Controle de Validade'!A992,Validade!C:C,0))</f>
        <v>0</v>
      </c>
    </row>
    <row r="993" spans="1:14" ht="15" hidden="1" x14ac:dyDescent="0.2">
      <c r="A993" s="8" t="s">
        <v>747</v>
      </c>
      <c r="B993" s="8" t="s">
        <v>2579</v>
      </c>
      <c r="C993" s="8" t="s">
        <v>748</v>
      </c>
      <c r="D993" s="9" t="s">
        <v>749</v>
      </c>
      <c r="E993" s="9" t="s">
        <v>2476</v>
      </c>
      <c r="F993" s="10" t="s">
        <v>2387</v>
      </c>
      <c r="G993" s="9" t="s">
        <v>2456</v>
      </c>
      <c r="H993" s="16" t="s">
        <v>2571</v>
      </c>
      <c r="I993" s="25" t="s">
        <v>2412</v>
      </c>
      <c r="J993" s="25" t="s">
        <v>2412</v>
      </c>
      <c r="K993" s="16">
        <v>0</v>
      </c>
      <c r="L993" s="3" t="s">
        <v>2556</v>
      </c>
      <c r="M993" s="17">
        <f>INDEX(Validade!H:H,MATCH('Controle de Validade'!A993,Validade!C:C,0))</f>
        <v>0</v>
      </c>
    </row>
    <row r="994" spans="1:14" ht="15" hidden="1" x14ac:dyDescent="0.2">
      <c r="A994" s="8" t="s">
        <v>814</v>
      </c>
      <c r="B994" s="8" t="s">
        <v>2579</v>
      </c>
      <c r="C994" s="8" t="s">
        <v>815</v>
      </c>
      <c r="D994" s="9" t="s">
        <v>2475</v>
      </c>
      <c r="E994" s="9" t="s">
        <v>2476</v>
      </c>
      <c r="F994" s="10" t="s">
        <v>2387</v>
      </c>
      <c r="G994" s="9" t="s">
        <v>2456</v>
      </c>
      <c r="H994" s="16" t="s">
        <v>2571</v>
      </c>
      <c r="I994" s="25" t="s">
        <v>2412</v>
      </c>
      <c r="J994" s="25" t="s">
        <v>2412</v>
      </c>
      <c r="K994" s="16">
        <v>0</v>
      </c>
      <c r="L994" s="3" t="s">
        <v>2556</v>
      </c>
      <c r="M994" s="17">
        <f>INDEX(Validade!H:H,MATCH('Controle de Validade'!A994,Validade!C:C,0))</f>
        <v>0</v>
      </c>
    </row>
    <row r="995" spans="1:14" ht="15" hidden="1" x14ac:dyDescent="0.2">
      <c r="A995" s="8" t="s">
        <v>817</v>
      </c>
      <c r="B995" s="8" t="s">
        <v>2579</v>
      </c>
      <c r="C995" s="8" t="s">
        <v>818</v>
      </c>
      <c r="D995" s="9" t="s">
        <v>2475</v>
      </c>
      <c r="E995" s="9" t="s">
        <v>2476</v>
      </c>
      <c r="F995" s="10" t="s">
        <v>2387</v>
      </c>
      <c r="G995" s="9" t="s">
        <v>2456</v>
      </c>
      <c r="H995" s="16" t="s">
        <v>2571</v>
      </c>
      <c r="I995" s="25" t="s">
        <v>2412</v>
      </c>
      <c r="J995" s="25" t="s">
        <v>2412</v>
      </c>
      <c r="K995" s="16">
        <v>0</v>
      </c>
      <c r="L995" s="3" t="s">
        <v>2556</v>
      </c>
      <c r="M995" s="17">
        <f>INDEX(Validade!H:H,MATCH('Controle de Validade'!A995,Validade!C:C,0))</f>
        <v>0</v>
      </c>
    </row>
    <row r="996" spans="1:14" ht="15" hidden="1" x14ac:dyDescent="0.2">
      <c r="A996" s="8" t="s">
        <v>1495</v>
      </c>
      <c r="B996" s="8" t="s">
        <v>2579</v>
      </c>
      <c r="C996" s="8" t="s">
        <v>1496</v>
      </c>
      <c r="D996" s="9" t="s">
        <v>2489</v>
      </c>
      <c r="E996" s="9" t="s">
        <v>2393</v>
      </c>
      <c r="F996" s="10" t="s">
        <v>2387</v>
      </c>
      <c r="G996" s="9" t="s">
        <v>2456</v>
      </c>
      <c r="H996" s="16" t="s">
        <v>2571</v>
      </c>
      <c r="I996" s="25" t="s">
        <v>2412</v>
      </c>
      <c r="J996" s="25" t="s">
        <v>2412</v>
      </c>
      <c r="K996" s="16">
        <v>0</v>
      </c>
      <c r="L996" s="3" t="s">
        <v>2556</v>
      </c>
      <c r="M996" s="17">
        <f>INDEX(Validade!H:H,MATCH('Controle de Validade'!A996,Validade!C:C,0))</f>
        <v>0</v>
      </c>
    </row>
    <row r="997" spans="1:14" ht="15" hidden="1" x14ac:dyDescent="0.2">
      <c r="A997" s="30" t="s">
        <v>1678</v>
      </c>
      <c r="B997" s="8" t="s">
        <v>2579</v>
      </c>
      <c r="C997" s="8" t="s">
        <v>1679</v>
      </c>
      <c r="D997" s="9" t="s">
        <v>41</v>
      </c>
      <c r="E997" s="9" t="s">
        <v>2388</v>
      </c>
      <c r="F997" s="10" t="s">
        <v>2961</v>
      </c>
      <c r="G997" s="9" t="s">
        <v>2429</v>
      </c>
      <c r="H997" s="16" t="s">
        <v>2570</v>
      </c>
      <c r="I997" s="32" t="s">
        <v>2993</v>
      </c>
      <c r="J997" s="26" t="s">
        <v>2994</v>
      </c>
      <c r="K997" s="16">
        <v>1</v>
      </c>
      <c r="L997" s="3" t="s">
        <v>2556</v>
      </c>
      <c r="M997" s="17">
        <f>INDEX(Validade!H:H,MATCH('Controle de Validade'!A997,Validade!C:C,0))</f>
        <v>45931</v>
      </c>
      <c r="N997" s="18"/>
    </row>
    <row r="998" spans="1:14" ht="15" hidden="1" x14ac:dyDescent="0.2">
      <c r="A998" s="8" t="s">
        <v>615</v>
      </c>
      <c r="B998" s="8" t="s">
        <v>2579</v>
      </c>
      <c r="C998" s="8" t="s">
        <v>616</v>
      </c>
      <c r="D998" s="9" t="s">
        <v>15</v>
      </c>
      <c r="E998" s="9" t="s">
        <v>2388</v>
      </c>
      <c r="F998" s="10" t="s">
        <v>2387</v>
      </c>
      <c r="G998" s="9" t="s">
        <v>2479</v>
      </c>
      <c r="H998" s="16" t="s">
        <v>2571</v>
      </c>
      <c r="I998" s="25" t="s">
        <v>2412</v>
      </c>
      <c r="J998" s="25" t="s">
        <v>2412</v>
      </c>
      <c r="K998" s="16">
        <v>0</v>
      </c>
      <c r="L998" s="3" t="s">
        <v>2556</v>
      </c>
      <c r="M998" s="17">
        <f>INDEX(Validade!H:H,MATCH('Controle de Validade'!A998,Validade!C:C,0))</f>
        <v>62458</v>
      </c>
    </row>
    <row r="999" spans="1:14" ht="15" hidden="1" x14ac:dyDescent="0.2">
      <c r="A999" s="8" t="s">
        <v>603</v>
      </c>
      <c r="B999" s="8" t="s">
        <v>2579</v>
      </c>
      <c r="C999" s="8" t="s">
        <v>604</v>
      </c>
      <c r="D999" s="9" t="s">
        <v>15</v>
      </c>
      <c r="E999" s="9" t="s">
        <v>2388</v>
      </c>
      <c r="F999" s="10" t="s">
        <v>2387</v>
      </c>
      <c r="G999" s="9" t="s">
        <v>2479</v>
      </c>
      <c r="H999" s="16" t="s">
        <v>2571</v>
      </c>
      <c r="I999" s="25" t="s">
        <v>2412</v>
      </c>
      <c r="J999" s="25" t="s">
        <v>2412</v>
      </c>
      <c r="K999" s="16">
        <v>0</v>
      </c>
      <c r="L999" s="3" t="s">
        <v>2556</v>
      </c>
      <c r="M999" s="17">
        <f>INDEX(Validade!H:H,MATCH('Controle de Validade'!A999,Validade!C:C,0))</f>
        <v>62458</v>
      </c>
    </row>
    <row r="1000" spans="1:14" ht="15" hidden="1" x14ac:dyDescent="0.2">
      <c r="A1000" s="8" t="s">
        <v>594</v>
      </c>
      <c r="B1000" s="8" t="s">
        <v>2579</v>
      </c>
      <c r="C1000" s="8" t="s">
        <v>595</v>
      </c>
      <c r="D1000" s="9" t="s">
        <v>15</v>
      </c>
      <c r="E1000" s="9" t="s">
        <v>2388</v>
      </c>
      <c r="F1000" s="10" t="s">
        <v>2387</v>
      </c>
      <c r="G1000" s="9" t="s">
        <v>2479</v>
      </c>
      <c r="H1000" s="16" t="s">
        <v>2571</v>
      </c>
      <c r="I1000" s="25" t="s">
        <v>2412</v>
      </c>
      <c r="J1000" s="25" t="s">
        <v>2412</v>
      </c>
      <c r="K1000" s="16">
        <v>0</v>
      </c>
      <c r="L1000" s="3" t="s">
        <v>2556</v>
      </c>
      <c r="M1000" s="17">
        <f>INDEX(Validade!H:H,MATCH('Controle de Validade'!A1000,Validade!C:C,0))</f>
        <v>62458</v>
      </c>
    </row>
    <row r="1001" spans="1:14" ht="15" hidden="1" x14ac:dyDescent="0.2">
      <c r="A1001" s="8" t="s">
        <v>591</v>
      </c>
      <c r="B1001" s="8" t="s">
        <v>2579</v>
      </c>
      <c r="C1001" s="8" t="s">
        <v>592</v>
      </c>
      <c r="D1001" s="9" t="s">
        <v>3238</v>
      </c>
      <c r="E1001" s="9" t="s">
        <v>2388</v>
      </c>
      <c r="F1001" s="10" t="s">
        <v>2387</v>
      </c>
      <c r="G1001" s="9" t="s">
        <v>2479</v>
      </c>
      <c r="H1001" s="16" t="s">
        <v>2571</v>
      </c>
      <c r="I1001" s="25" t="s">
        <v>2412</v>
      </c>
      <c r="J1001" s="25" t="s">
        <v>2412</v>
      </c>
      <c r="K1001" s="16">
        <v>0</v>
      </c>
      <c r="L1001" s="3" t="s">
        <v>2556</v>
      </c>
      <c r="M1001" s="17">
        <f>INDEX(Validade!H:H,MATCH('Controle de Validade'!A1001,Validade!C:C,0))</f>
        <v>62458</v>
      </c>
    </row>
    <row r="1002" spans="1:14" ht="15" hidden="1" x14ac:dyDescent="0.2">
      <c r="A1002" s="8" t="s">
        <v>585</v>
      </c>
      <c r="B1002" s="8" t="s">
        <v>2579</v>
      </c>
      <c r="C1002" s="8" t="s">
        <v>586</v>
      </c>
      <c r="D1002" s="9" t="s">
        <v>15</v>
      </c>
      <c r="E1002" s="9" t="s">
        <v>2388</v>
      </c>
      <c r="F1002" s="10" t="s">
        <v>2387</v>
      </c>
      <c r="G1002" s="9" t="s">
        <v>2479</v>
      </c>
      <c r="H1002" s="16" t="s">
        <v>2571</v>
      </c>
      <c r="I1002" s="25" t="s">
        <v>2412</v>
      </c>
      <c r="J1002" s="25" t="s">
        <v>2412</v>
      </c>
      <c r="K1002" s="16">
        <v>0</v>
      </c>
      <c r="L1002" s="3" t="s">
        <v>2556</v>
      </c>
      <c r="M1002" s="17">
        <f>INDEX(Validade!H:H,MATCH('Controle de Validade'!A1002,Validade!C:C,0))</f>
        <v>62458</v>
      </c>
    </row>
    <row r="1003" spans="1:14" ht="15" hidden="1" x14ac:dyDescent="0.2">
      <c r="A1003" s="8" t="s">
        <v>573</v>
      </c>
      <c r="B1003" s="8" t="s">
        <v>2579</v>
      </c>
      <c r="C1003" s="8" t="s">
        <v>574</v>
      </c>
      <c r="D1003" s="9" t="s">
        <v>15</v>
      </c>
      <c r="E1003" s="9" t="s">
        <v>2388</v>
      </c>
      <c r="F1003" s="10" t="s">
        <v>2387</v>
      </c>
      <c r="G1003" s="9" t="s">
        <v>2479</v>
      </c>
      <c r="H1003" s="16" t="s">
        <v>2571</v>
      </c>
      <c r="I1003" s="25" t="s">
        <v>2412</v>
      </c>
      <c r="J1003" s="25" t="s">
        <v>2412</v>
      </c>
      <c r="K1003" s="16">
        <v>0</v>
      </c>
      <c r="L1003" s="3" t="s">
        <v>2556</v>
      </c>
      <c r="M1003" s="17">
        <f>INDEX(Validade!H:H,MATCH('Controle de Validade'!A1003,Validade!C:C,0))</f>
        <v>62458</v>
      </c>
    </row>
    <row r="1004" spans="1:14" ht="15" hidden="1" x14ac:dyDescent="0.2">
      <c r="A1004" s="8" t="s">
        <v>567</v>
      </c>
      <c r="B1004" s="8" t="s">
        <v>2579</v>
      </c>
      <c r="C1004" s="8" t="s">
        <v>568</v>
      </c>
      <c r="D1004" s="9" t="s">
        <v>15</v>
      </c>
      <c r="E1004" s="9" t="s">
        <v>2388</v>
      </c>
      <c r="F1004" s="10" t="s">
        <v>2387</v>
      </c>
      <c r="G1004" s="9" t="s">
        <v>2479</v>
      </c>
      <c r="H1004" s="16" t="s">
        <v>2571</v>
      </c>
      <c r="I1004" s="25" t="s">
        <v>2412</v>
      </c>
      <c r="J1004" s="25" t="s">
        <v>2412</v>
      </c>
      <c r="K1004" s="16">
        <v>0</v>
      </c>
      <c r="L1004" s="3" t="s">
        <v>2556</v>
      </c>
      <c r="M1004" s="17">
        <f>INDEX(Validade!H:H,MATCH('Controle de Validade'!A1004,Validade!C:C,0))</f>
        <v>62458</v>
      </c>
    </row>
    <row r="1005" spans="1:14" ht="15" hidden="1" x14ac:dyDescent="0.2">
      <c r="A1005" s="8" t="s">
        <v>564</v>
      </c>
      <c r="B1005" s="8" t="s">
        <v>2579</v>
      </c>
      <c r="C1005" s="8" t="s">
        <v>565</v>
      </c>
      <c r="D1005" s="9" t="s">
        <v>3238</v>
      </c>
      <c r="E1005" s="9" t="s">
        <v>2388</v>
      </c>
      <c r="F1005" s="10" t="s">
        <v>2387</v>
      </c>
      <c r="G1005" s="9" t="s">
        <v>2479</v>
      </c>
      <c r="H1005" s="16" t="s">
        <v>2571</v>
      </c>
      <c r="I1005" s="25" t="s">
        <v>2412</v>
      </c>
      <c r="J1005" s="25" t="s">
        <v>2412</v>
      </c>
      <c r="K1005" s="16">
        <v>0</v>
      </c>
      <c r="L1005" s="3" t="s">
        <v>2556</v>
      </c>
      <c r="M1005" s="17">
        <f>INDEX(Validade!H:H,MATCH('Controle de Validade'!A1005,Validade!C:C,0))</f>
        <v>62458</v>
      </c>
    </row>
    <row r="1006" spans="1:14" ht="15" hidden="1" x14ac:dyDescent="0.2">
      <c r="A1006" s="8" t="s">
        <v>555</v>
      </c>
      <c r="B1006" s="8" t="s">
        <v>2579</v>
      </c>
      <c r="C1006" s="8" t="s">
        <v>556</v>
      </c>
      <c r="D1006" s="9" t="s">
        <v>15</v>
      </c>
      <c r="E1006" s="9" t="s">
        <v>2388</v>
      </c>
      <c r="F1006" s="10" t="s">
        <v>2387</v>
      </c>
      <c r="G1006" s="9" t="s">
        <v>2479</v>
      </c>
      <c r="H1006" s="16" t="s">
        <v>2571</v>
      </c>
      <c r="I1006" s="25" t="s">
        <v>2412</v>
      </c>
      <c r="J1006" s="25" t="s">
        <v>2412</v>
      </c>
      <c r="K1006" s="16">
        <v>0</v>
      </c>
      <c r="L1006" s="3" t="s">
        <v>2556</v>
      </c>
      <c r="M1006" s="17">
        <f>INDEX(Validade!H:H,MATCH('Controle de Validade'!A1006,Validade!C:C,0))</f>
        <v>62458</v>
      </c>
    </row>
    <row r="1007" spans="1:14" ht="15" hidden="1" x14ac:dyDescent="0.2">
      <c r="A1007" s="8" t="s">
        <v>2327</v>
      </c>
      <c r="B1007" s="8" t="s">
        <v>2579</v>
      </c>
      <c r="C1007" s="8" t="s">
        <v>262</v>
      </c>
      <c r="D1007" s="9" t="e">
        <v>#N/A</v>
      </c>
      <c r="E1007" s="9" t="s">
        <v>2388</v>
      </c>
      <c r="F1007" s="10" t="s">
        <v>2387</v>
      </c>
      <c r="G1007" s="9" t="s">
        <v>2410</v>
      </c>
      <c r="H1007" s="16" t="s">
        <v>2571</v>
      </c>
      <c r="I1007" s="25" t="s">
        <v>2412</v>
      </c>
      <c r="J1007" s="25" t="s">
        <v>2412</v>
      </c>
      <c r="K1007" s="16">
        <v>0</v>
      </c>
      <c r="L1007" s="3" t="s">
        <v>2556</v>
      </c>
      <c r="M1007" s="17" t="e">
        <f>INDEX(Validade!H:H,MATCH('Controle de Validade'!A1007,Validade!C:C,0))</f>
        <v>#N/A</v>
      </c>
    </row>
    <row r="1008" spans="1:14" ht="15" hidden="1" x14ac:dyDescent="0.2">
      <c r="A1008" s="8" t="s">
        <v>2951</v>
      </c>
      <c r="B1008" s="8" t="s">
        <v>2579</v>
      </c>
      <c r="C1008" s="8" t="s">
        <v>2983</v>
      </c>
      <c r="D1008" s="9">
        <v>0</v>
      </c>
      <c r="E1008" s="9" t="s">
        <v>2388</v>
      </c>
      <c r="F1008" s="10" t="s">
        <v>2387</v>
      </c>
      <c r="G1008" s="9" t="s">
        <v>2479</v>
      </c>
      <c r="H1008" s="16" t="s">
        <v>2571</v>
      </c>
      <c r="I1008" s="25" t="s">
        <v>2412</v>
      </c>
      <c r="J1008" s="25" t="s">
        <v>2412</v>
      </c>
      <c r="K1008" s="16">
        <v>0</v>
      </c>
      <c r="L1008" s="3" t="s">
        <v>2556</v>
      </c>
      <c r="M1008" s="17" t="e">
        <f>INDEX(Validade!H:H,MATCH('Controle de Validade'!A1008,Validade!C:C,0))</f>
        <v>#N/A</v>
      </c>
    </row>
    <row r="1009" spans="1:13" ht="15" hidden="1" x14ac:dyDescent="0.2">
      <c r="A1009" s="8" t="s">
        <v>2952</v>
      </c>
      <c r="B1009" s="8" t="s">
        <v>2579</v>
      </c>
      <c r="C1009" s="8" t="s">
        <v>2984</v>
      </c>
      <c r="D1009" s="9" t="s">
        <v>749</v>
      </c>
      <c r="E1009" s="9" t="s">
        <v>2393</v>
      </c>
      <c r="F1009" s="10" t="s">
        <v>2387</v>
      </c>
      <c r="G1009" s="9" t="s">
        <v>2394</v>
      </c>
      <c r="H1009" s="16" t="s">
        <v>2571</v>
      </c>
      <c r="I1009" s="25" t="s">
        <v>2412</v>
      </c>
      <c r="K1009" s="16">
        <v>0</v>
      </c>
      <c r="L1009" s="3" t="s">
        <v>2556</v>
      </c>
      <c r="M1009" s="17" t="e">
        <f>INDEX(Validade!H:H,MATCH('Controle de Validade'!A1009,Validade!C:C,0))</f>
        <v>#N/A</v>
      </c>
    </row>
    <row r="1010" spans="1:13" ht="15" hidden="1" x14ac:dyDescent="0.2">
      <c r="A1010" s="8" t="s">
        <v>2953</v>
      </c>
      <c r="B1010" s="8" t="s">
        <v>2579</v>
      </c>
      <c r="C1010" s="8" t="s">
        <v>2985</v>
      </c>
      <c r="D1010" s="9" t="s">
        <v>749</v>
      </c>
      <c r="E1010" s="9" t="s">
        <v>2393</v>
      </c>
      <c r="F1010" s="10" t="s">
        <v>2387</v>
      </c>
      <c r="G1010" s="9" t="s">
        <v>2394</v>
      </c>
      <c r="H1010" s="16" t="s">
        <v>2571</v>
      </c>
      <c r="I1010" s="25" t="s">
        <v>2412</v>
      </c>
      <c r="K1010" s="16">
        <v>0</v>
      </c>
      <c r="L1010" s="3" t="s">
        <v>2556</v>
      </c>
      <c r="M1010" s="17" t="e">
        <f>INDEX(Validade!H:H,MATCH('Controle de Validade'!A1010,Validade!C:C,0))</f>
        <v>#N/A</v>
      </c>
    </row>
    <row r="1011" spans="1:13" ht="15" hidden="1" x14ac:dyDescent="0.2">
      <c r="A1011" s="8" t="s">
        <v>2954</v>
      </c>
      <c r="B1011" s="8" t="s">
        <v>2579</v>
      </c>
      <c r="C1011" s="8" t="s">
        <v>2986</v>
      </c>
      <c r="D1011" s="9" t="s">
        <v>749</v>
      </c>
      <c r="E1011" s="9" t="s">
        <v>2393</v>
      </c>
      <c r="F1011" s="10" t="s">
        <v>2387</v>
      </c>
      <c r="G1011" s="9" t="s">
        <v>2394</v>
      </c>
      <c r="H1011" s="16" t="s">
        <v>2571</v>
      </c>
      <c r="I1011" s="25" t="s">
        <v>2412</v>
      </c>
      <c r="K1011" s="16">
        <v>0</v>
      </c>
      <c r="L1011" s="3" t="s">
        <v>2556</v>
      </c>
      <c r="M1011" s="17" t="e">
        <f>INDEX(Validade!H:H,MATCH('Controle de Validade'!A1011,Validade!C:C,0))</f>
        <v>#N/A</v>
      </c>
    </row>
    <row r="1012" spans="1:13" ht="15" hidden="1" x14ac:dyDescent="0.2">
      <c r="A1012" s="12" t="s">
        <v>2955</v>
      </c>
      <c r="B1012" s="8" t="s">
        <v>2579</v>
      </c>
      <c r="C1012" s="8" t="s">
        <v>2987</v>
      </c>
      <c r="D1012" s="9">
        <v>0</v>
      </c>
      <c r="E1012" s="9" t="s">
        <v>2388</v>
      </c>
      <c r="F1012" s="10" t="s">
        <v>2961</v>
      </c>
      <c r="G1012" s="9" t="s">
        <v>2394</v>
      </c>
      <c r="H1012" s="16" t="s">
        <v>2571</v>
      </c>
      <c r="I1012" s="25" t="s">
        <v>2412</v>
      </c>
      <c r="K1012" s="16">
        <v>0</v>
      </c>
      <c r="L1012" s="3" t="s">
        <v>2556</v>
      </c>
      <c r="M1012" s="17" t="e">
        <f>INDEX(Validade!H:H,MATCH('Controle de Validade'!A1012,Validade!C:C,0))</f>
        <v>#N/A</v>
      </c>
    </row>
    <row r="1013" spans="1:13" ht="15" hidden="1" x14ac:dyDescent="0.2">
      <c r="A1013" s="12" t="s">
        <v>2956</v>
      </c>
      <c r="B1013" s="8" t="s">
        <v>2579</v>
      </c>
      <c r="C1013" s="8" t="s">
        <v>2988</v>
      </c>
      <c r="D1013" s="9">
        <v>0</v>
      </c>
      <c r="E1013" s="9" t="s">
        <v>2393</v>
      </c>
      <c r="F1013" s="10" t="s">
        <v>2961</v>
      </c>
      <c r="G1013" s="9" t="s">
        <v>2394</v>
      </c>
      <c r="H1013" s="16" t="s">
        <v>2571</v>
      </c>
      <c r="I1013" s="25" t="s">
        <v>2412</v>
      </c>
      <c r="K1013" s="16">
        <v>0</v>
      </c>
      <c r="L1013" s="3" t="s">
        <v>2556</v>
      </c>
      <c r="M1013" s="17" t="e">
        <f>INDEX(Validade!H:H,MATCH('Controle de Validade'!A1013,Validade!C:C,0))</f>
        <v>#N/A</v>
      </c>
    </row>
    <row r="1014" spans="1:13" ht="15" hidden="1" x14ac:dyDescent="0.2">
      <c r="A1014" s="12" t="s">
        <v>2957</v>
      </c>
      <c r="B1014" s="8" t="s">
        <v>2579</v>
      </c>
      <c r="C1014" s="8" t="s">
        <v>2989</v>
      </c>
      <c r="D1014" s="9">
        <v>0</v>
      </c>
      <c r="E1014" s="9">
        <v>0</v>
      </c>
      <c r="F1014" s="10" t="s">
        <v>2392</v>
      </c>
      <c r="G1014" s="9" t="s">
        <v>2394</v>
      </c>
      <c r="H1014" s="16" t="s">
        <v>2571</v>
      </c>
      <c r="I1014" s="25" t="s">
        <v>2412</v>
      </c>
      <c r="K1014" s="16">
        <v>0</v>
      </c>
      <c r="L1014" s="3" t="s">
        <v>2556</v>
      </c>
      <c r="M1014" s="17" t="e">
        <f>INDEX(Validade!H:H,MATCH('Controle de Validade'!A1014,Validade!C:C,0))</f>
        <v>#N/A</v>
      </c>
    </row>
    <row r="1015" spans="1:13" ht="15" hidden="1" x14ac:dyDescent="0.2">
      <c r="A1015" s="12" t="s">
        <v>2958</v>
      </c>
      <c r="B1015" s="8" t="e">
        <v>#N/A</v>
      </c>
      <c r="C1015" s="8" t="e">
        <v>#N/A</v>
      </c>
      <c r="D1015" s="9" t="e">
        <v>#N/A</v>
      </c>
      <c r="E1015" s="9">
        <v>0</v>
      </c>
      <c r="F1015" s="10" t="s">
        <v>2392</v>
      </c>
      <c r="G1015" s="9" t="s">
        <v>2394</v>
      </c>
      <c r="H1015" s="16" t="s">
        <v>2571</v>
      </c>
      <c r="I1015" s="25" t="s">
        <v>2412</v>
      </c>
      <c r="K1015" s="16">
        <v>0</v>
      </c>
      <c r="L1015" s="3" t="s">
        <v>2556</v>
      </c>
      <c r="M1015" s="17" t="e">
        <f>INDEX(Validade!H:H,MATCH('Controle de Validade'!A1015,Validade!C:C,0))</f>
        <v>#N/A</v>
      </c>
    </row>
    <row r="1016" spans="1:13" ht="15" hidden="1" x14ac:dyDescent="0.2">
      <c r="A1016" s="12" t="s">
        <v>2959</v>
      </c>
      <c r="B1016" s="8" t="s">
        <v>2579</v>
      </c>
      <c r="C1016" s="8" t="s">
        <v>2990</v>
      </c>
      <c r="D1016" s="9">
        <v>0</v>
      </c>
      <c r="E1016" s="9" t="s">
        <v>2393</v>
      </c>
      <c r="F1016" s="10" t="s">
        <v>2961</v>
      </c>
      <c r="G1016" s="9" t="s">
        <v>2394</v>
      </c>
      <c r="H1016" s="16" t="s">
        <v>2571</v>
      </c>
      <c r="I1016" s="25" t="s">
        <v>2412</v>
      </c>
      <c r="K1016" s="16">
        <v>0</v>
      </c>
      <c r="L1016" s="3" t="s">
        <v>2556</v>
      </c>
      <c r="M1016" s="17" t="e">
        <f>INDEX(Validade!H:H,MATCH('Controle de Validade'!A1016,Validade!C:C,0))</f>
        <v>#N/A</v>
      </c>
    </row>
    <row r="1017" spans="1:13" ht="15" hidden="1" x14ac:dyDescent="0.2">
      <c r="A1017" s="12" t="s">
        <v>2960</v>
      </c>
      <c r="B1017" s="8" t="e">
        <v>#N/A</v>
      </c>
      <c r="C1017" s="8" t="e">
        <v>#N/A</v>
      </c>
      <c r="D1017" s="9" t="e">
        <v>#N/A</v>
      </c>
      <c r="E1017" s="9">
        <v>0</v>
      </c>
      <c r="F1017" s="10" t="s">
        <v>2392</v>
      </c>
      <c r="G1017" s="9" t="s">
        <v>2394</v>
      </c>
      <c r="H1017" s="16" t="s">
        <v>2571</v>
      </c>
      <c r="I1017" s="25" t="s">
        <v>2412</v>
      </c>
      <c r="K1017" s="16">
        <v>0</v>
      </c>
      <c r="L1017" s="3" t="s">
        <v>2556</v>
      </c>
      <c r="M1017" s="17" t="e">
        <f>INDEX(Validade!H:H,MATCH('Controle de Validade'!A1017,Validade!C:C,0))</f>
        <v>#N/A</v>
      </c>
    </row>
    <row r="1018" spans="1:13" ht="15" hidden="1" x14ac:dyDescent="0.2">
      <c r="A1018" s="11" t="s">
        <v>193</v>
      </c>
      <c r="B1018" s="8" t="s">
        <v>2579</v>
      </c>
      <c r="C1018" s="8" t="s">
        <v>194</v>
      </c>
      <c r="D1018" s="9" t="s">
        <v>2991</v>
      </c>
      <c r="E1018" s="9" t="s">
        <v>2388</v>
      </c>
      <c r="F1018" s="10" t="s">
        <v>2387</v>
      </c>
      <c r="G1018" s="9" t="s">
        <v>2479</v>
      </c>
      <c r="H1018" s="16" t="s">
        <v>2570</v>
      </c>
      <c r="I1018" s="25" t="s">
        <v>3186</v>
      </c>
      <c r="J1018" s="25" t="s">
        <v>2412</v>
      </c>
      <c r="K1018" s="16">
        <v>0</v>
      </c>
      <c r="L1018" s="3" t="s">
        <v>2556</v>
      </c>
      <c r="M1018" s="17">
        <f>INDEX(Validade!H:H,MATCH('Controle de Validade'!A1018,Validade!C:C,0))</f>
        <v>62458</v>
      </c>
    </row>
    <row r="1019" spans="1:13" ht="15" hidden="1" x14ac:dyDescent="0.2">
      <c r="A1019" s="8" t="s">
        <v>219</v>
      </c>
      <c r="B1019" s="8" t="s">
        <v>2579</v>
      </c>
      <c r="C1019" s="8" t="s">
        <v>220</v>
      </c>
      <c r="D1019" s="9" t="s">
        <v>2991</v>
      </c>
      <c r="E1019" s="9" t="s">
        <v>2388</v>
      </c>
      <c r="F1019" s="10" t="s">
        <v>2387</v>
      </c>
      <c r="G1019" s="9" t="s">
        <v>2479</v>
      </c>
      <c r="H1019" s="16" t="s">
        <v>2570</v>
      </c>
      <c r="I1019" s="25" t="s">
        <v>3186</v>
      </c>
      <c r="J1019" s="25" t="s">
        <v>2412</v>
      </c>
      <c r="K1019" s="16">
        <v>0</v>
      </c>
      <c r="L1019" s="3" t="s">
        <v>2556</v>
      </c>
      <c r="M1019" s="17">
        <f>INDEX(Validade!H:H,MATCH('Controle de Validade'!A1019,Validade!C:C,0))</f>
        <v>62458</v>
      </c>
    </row>
    <row r="1020" spans="1:13" ht="15" hidden="1" x14ac:dyDescent="0.2">
      <c r="A1020" s="8" t="s">
        <v>612</v>
      </c>
      <c r="B1020" s="8" t="s">
        <v>2579</v>
      </c>
      <c r="C1020" s="8" t="s">
        <v>613</v>
      </c>
      <c r="D1020" s="9" t="s">
        <v>2991</v>
      </c>
      <c r="E1020" s="9" t="s">
        <v>2388</v>
      </c>
      <c r="F1020" s="10" t="s">
        <v>2387</v>
      </c>
      <c r="G1020" s="9" t="s">
        <v>2479</v>
      </c>
      <c r="H1020" s="16" t="s">
        <v>2570</v>
      </c>
      <c r="I1020" s="25" t="s">
        <v>3186</v>
      </c>
      <c r="J1020" s="25" t="s">
        <v>2412</v>
      </c>
      <c r="K1020" s="16">
        <v>0</v>
      </c>
      <c r="L1020" s="3" t="s">
        <v>2556</v>
      </c>
      <c r="M1020" s="17">
        <f>INDEX(Validade!H:H,MATCH('Controle de Validade'!A1020,Validade!C:C,0))</f>
        <v>62458</v>
      </c>
    </row>
    <row r="1021" spans="1:13" ht="15" hidden="1" x14ac:dyDescent="0.2">
      <c r="A1021" s="8" t="s">
        <v>609</v>
      </c>
      <c r="B1021" s="8" t="s">
        <v>2579</v>
      </c>
      <c r="C1021" s="8" t="s">
        <v>610</v>
      </c>
      <c r="D1021" s="9" t="s">
        <v>2991</v>
      </c>
      <c r="E1021" s="9" t="s">
        <v>2388</v>
      </c>
      <c r="F1021" s="10" t="s">
        <v>2387</v>
      </c>
      <c r="G1021" s="9" t="s">
        <v>2479</v>
      </c>
      <c r="H1021" s="16" t="s">
        <v>2570</v>
      </c>
      <c r="I1021" s="25" t="s">
        <v>3186</v>
      </c>
      <c r="J1021" s="25" t="s">
        <v>2412</v>
      </c>
      <c r="K1021" s="16">
        <v>0</v>
      </c>
      <c r="L1021" s="3" t="s">
        <v>2556</v>
      </c>
      <c r="M1021" s="17">
        <f>INDEX(Validade!H:H,MATCH('Controle de Validade'!A1021,Validade!C:C,0))</f>
        <v>62458</v>
      </c>
    </row>
    <row r="1022" spans="1:13" ht="15" hidden="1" x14ac:dyDescent="0.2">
      <c r="A1022" s="8" t="s">
        <v>598</v>
      </c>
      <c r="B1022" s="8" t="s">
        <v>2579</v>
      </c>
      <c r="C1022" s="8" t="s">
        <v>599</v>
      </c>
      <c r="D1022" s="9" t="s">
        <v>2991</v>
      </c>
      <c r="E1022" s="9" t="s">
        <v>2388</v>
      </c>
      <c r="F1022" s="10" t="s">
        <v>2387</v>
      </c>
      <c r="G1022" s="9" t="s">
        <v>2479</v>
      </c>
      <c r="H1022" s="16" t="s">
        <v>2570</v>
      </c>
      <c r="I1022" s="25" t="s">
        <v>3186</v>
      </c>
      <c r="J1022" s="25" t="s">
        <v>2412</v>
      </c>
      <c r="K1022" s="16">
        <v>0</v>
      </c>
      <c r="L1022" s="3" t="s">
        <v>2556</v>
      </c>
      <c r="M1022" s="17">
        <f>INDEX(Validade!H:H,MATCH('Controle de Validade'!A1022,Validade!C:C,0))</f>
        <v>62458</v>
      </c>
    </row>
    <row r="1023" spans="1:13" ht="15" hidden="1" x14ac:dyDescent="0.2">
      <c r="A1023" s="8" t="s">
        <v>579</v>
      </c>
      <c r="B1023" s="8" t="s">
        <v>2579</v>
      </c>
      <c r="C1023" s="8" t="s">
        <v>580</v>
      </c>
      <c r="D1023" s="9" t="s">
        <v>2991</v>
      </c>
      <c r="E1023" s="9" t="s">
        <v>2388</v>
      </c>
      <c r="F1023" s="10" t="s">
        <v>2387</v>
      </c>
      <c r="G1023" s="9" t="s">
        <v>2479</v>
      </c>
      <c r="H1023" s="16" t="s">
        <v>2570</v>
      </c>
      <c r="I1023" s="25" t="s">
        <v>3186</v>
      </c>
      <c r="J1023" s="25" t="s">
        <v>2412</v>
      </c>
      <c r="K1023" s="16">
        <v>0</v>
      </c>
      <c r="L1023" s="3" t="s">
        <v>2556</v>
      </c>
      <c r="M1023" s="17">
        <f>INDEX(Validade!H:H,MATCH('Controle de Validade'!A1023,Validade!C:C,0))</f>
        <v>62458</v>
      </c>
    </row>
    <row r="1024" spans="1:13" ht="15" hidden="1" x14ac:dyDescent="0.2">
      <c r="A1024" s="8" t="s">
        <v>69</v>
      </c>
      <c r="B1024" s="8" t="s">
        <v>2579</v>
      </c>
      <c r="C1024" s="8" t="s">
        <v>70</v>
      </c>
      <c r="D1024" s="9" t="s">
        <v>2991</v>
      </c>
      <c r="E1024" s="9" t="s">
        <v>2388</v>
      </c>
      <c r="F1024" s="10" t="s">
        <v>2387</v>
      </c>
      <c r="G1024" s="9" t="s">
        <v>2479</v>
      </c>
      <c r="H1024" s="16" t="s">
        <v>2570</v>
      </c>
      <c r="I1024" s="25" t="s">
        <v>3186</v>
      </c>
      <c r="J1024" s="25" t="s">
        <v>2412</v>
      </c>
      <c r="K1024" s="16">
        <v>0</v>
      </c>
      <c r="L1024" s="3" t="s">
        <v>2556</v>
      </c>
      <c r="M1024" s="17">
        <f>INDEX(Validade!H:H,MATCH('Controle de Validade'!A1024,Validade!C:C,0))</f>
        <v>62458</v>
      </c>
    </row>
    <row r="1025" spans="1:13" ht="15" hidden="1" x14ac:dyDescent="0.2">
      <c r="A1025" s="8" t="s">
        <v>36</v>
      </c>
      <c r="B1025" s="8" t="s">
        <v>2579</v>
      </c>
      <c r="C1025" s="8" t="s">
        <v>37</v>
      </c>
      <c r="D1025" s="9" t="s">
        <v>2991</v>
      </c>
      <c r="E1025" s="9" t="s">
        <v>2388</v>
      </c>
      <c r="F1025" s="10" t="s">
        <v>2387</v>
      </c>
      <c r="G1025" s="9" t="s">
        <v>2479</v>
      </c>
      <c r="H1025" s="16" t="s">
        <v>2570</v>
      </c>
      <c r="I1025" s="25" t="s">
        <v>3186</v>
      </c>
      <c r="J1025" s="25" t="s">
        <v>2412</v>
      </c>
      <c r="K1025" s="16">
        <v>0</v>
      </c>
      <c r="L1025" s="3" t="s">
        <v>2556</v>
      </c>
      <c r="M1025" s="17">
        <f>INDEX(Validade!H:H,MATCH('Controle de Validade'!A1025,Validade!C:C,0))</f>
        <v>62458</v>
      </c>
    </row>
    <row r="1026" spans="1:13" ht="15" hidden="1" x14ac:dyDescent="0.2">
      <c r="A1026" s="8" t="s">
        <v>591</v>
      </c>
      <c r="B1026" s="8" t="s">
        <v>2579</v>
      </c>
      <c r="C1026" s="8" t="s">
        <v>592</v>
      </c>
      <c r="D1026" s="9" t="s">
        <v>2991</v>
      </c>
      <c r="E1026" s="9" t="s">
        <v>2388</v>
      </c>
      <c r="F1026" s="10" t="s">
        <v>2387</v>
      </c>
      <c r="G1026" s="9" t="s">
        <v>2479</v>
      </c>
      <c r="H1026" s="16" t="s">
        <v>2570</v>
      </c>
      <c r="I1026" s="25" t="s">
        <v>3186</v>
      </c>
      <c r="J1026" s="25" t="s">
        <v>2412</v>
      </c>
      <c r="K1026" s="16">
        <v>0</v>
      </c>
      <c r="L1026" s="3" t="s">
        <v>2556</v>
      </c>
      <c r="M1026" s="17">
        <f>INDEX(Validade!H:H,MATCH('Controle de Validade'!A1026,Validade!C:C,0))</f>
        <v>62458</v>
      </c>
    </row>
    <row r="1027" spans="1:13" ht="15" hidden="1" x14ac:dyDescent="0.2">
      <c r="A1027" s="8" t="s">
        <v>564</v>
      </c>
      <c r="B1027" s="8" t="s">
        <v>2579</v>
      </c>
      <c r="C1027" s="8" t="s">
        <v>565</v>
      </c>
      <c r="D1027" s="9" t="s">
        <v>2991</v>
      </c>
      <c r="E1027" s="9" t="s">
        <v>2388</v>
      </c>
      <c r="F1027" s="10" t="s">
        <v>2387</v>
      </c>
      <c r="G1027" s="9" t="s">
        <v>2479</v>
      </c>
      <c r="H1027" s="16" t="s">
        <v>2570</v>
      </c>
      <c r="I1027" s="25" t="s">
        <v>3186</v>
      </c>
      <c r="J1027" s="25" t="s">
        <v>2412</v>
      </c>
      <c r="K1027" s="16">
        <v>0</v>
      </c>
      <c r="L1027" s="3" t="s">
        <v>2556</v>
      </c>
      <c r="M1027" s="17">
        <f>INDEX(Validade!H:H,MATCH('Controle de Validade'!A1027,Validade!C:C,0))</f>
        <v>62458</v>
      </c>
    </row>
    <row r="1028" spans="1:13" ht="15" hidden="1" x14ac:dyDescent="0.2">
      <c r="A1028" s="8" t="s">
        <v>657</v>
      </c>
      <c r="B1028" s="8" t="s">
        <v>2579</v>
      </c>
      <c r="C1028" s="8" t="s">
        <v>658</v>
      </c>
      <c r="D1028" s="9" t="s">
        <v>2991</v>
      </c>
      <c r="E1028" s="9" t="s">
        <v>2388</v>
      </c>
      <c r="F1028" s="10" t="s">
        <v>2387</v>
      </c>
      <c r="G1028" s="9" t="s">
        <v>2479</v>
      </c>
      <c r="H1028" s="16" t="s">
        <v>2570</v>
      </c>
      <c r="I1028" s="25" t="s">
        <v>3186</v>
      </c>
      <c r="J1028" s="25" t="s">
        <v>2412</v>
      </c>
      <c r="K1028" s="16">
        <v>0</v>
      </c>
      <c r="L1028" s="3" t="s">
        <v>2556</v>
      </c>
      <c r="M1028" s="17">
        <f>INDEX(Validade!H:H,MATCH('Controle de Validade'!A1028,Validade!C:C,0))</f>
        <v>62458</v>
      </c>
    </row>
    <row r="1029" spans="1:13" ht="15" hidden="1" x14ac:dyDescent="0.2">
      <c r="A1029" s="8" t="s">
        <v>42</v>
      </c>
      <c r="B1029" s="8" t="s">
        <v>2579</v>
      </c>
      <c r="C1029" s="8" t="s">
        <v>43</v>
      </c>
      <c r="D1029" s="9" t="s">
        <v>2991</v>
      </c>
      <c r="E1029" s="9" t="s">
        <v>2388</v>
      </c>
      <c r="F1029" s="10" t="s">
        <v>2387</v>
      </c>
      <c r="G1029" s="9" t="s">
        <v>2479</v>
      </c>
      <c r="H1029" s="16" t="s">
        <v>2570</v>
      </c>
      <c r="I1029" s="25" t="s">
        <v>3186</v>
      </c>
      <c r="J1029" s="25" t="s">
        <v>2412</v>
      </c>
      <c r="K1029" s="16">
        <v>0</v>
      </c>
      <c r="L1029" s="3" t="s">
        <v>2556</v>
      </c>
      <c r="M1029" s="17">
        <f>INDEX(Validade!H:H,MATCH('Controle de Validade'!A1029,Validade!C:C,0))</f>
        <v>62458</v>
      </c>
    </row>
    <row r="1030" spans="1:13" ht="15" hidden="1" x14ac:dyDescent="0.2">
      <c r="A1030" s="8" t="s">
        <v>160</v>
      </c>
      <c r="B1030" s="8" t="s">
        <v>2579</v>
      </c>
      <c r="C1030" s="8" t="s">
        <v>161</v>
      </c>
      <c r="D1030" s="9" t="s">
        <v>2991</v>
      </c>
      <c r="E1030" s="9" t="s">
        <v>2388</v>
      </c>
      <c r="F1030" s="10" t="s">
        <v>2387</v>
      </c>
      <c r="G1030" s="9" t="s">
        <v>2479</v>
      </c>
      <c r="H1030" s="16" t="s">
        <v>2570</v>
      </c>
      <c r="I1030" s="25" t="s">
        <v>3186</v>
      </c>
      <c r="J1030" s="25" t="s">
        <v>2412</v>
      </c>
      <c r="K1030" s="16">
        <v>0</v>
      </c>
      <c r="L1030" s="3" t="s">
        <v>2556</v>
      </c>
      <c r="M1030" s="17">
        <f>INDEX(Validade!H:H,MATCH('Controle de Validade'!A1030,Validade!C:C,0))</f>
        <v>62458</v>
      </c>
    </row>
    <row r="1031" spans="1:13" ht="15" hidden="1" x14ac:dyDescent="0.2">
      <c r="A1031" s="8" t="s">
        <v>154</v>
      </c>
      <c r="B1031" s="8" t="s">
        <v>2579</v>
      </c>
      <c r="C1031" s="8" t="s">
        <v>155</v>
      </c>
      <c r="D1031" s="9" t="s">
        <v>2991</v>
      </c>
      <c r="E1031" s="9" t="s">
        <v>2388</v>
      </c>
      <c r="F1031" s="10" t="s">
        <v>2387</v>
      </c>
      <c r="G1031" s="9" t="s">
        <v>2479</v>
      </c>
      <c r="H1031" s="16" t="s">
        <v>2570</v>
      </c>
      <c r="I1031" s="25" t="s">
        <v>3186</v>
      </c>
      <c r="J1031" s="25" t="s">
        <v>2412</v>
      </c>
      <c r="K1031" s="16">
        <v>0</v>
      </c>
      <c r="L1031" s="3" t="s">
        <v>2556</v>
      </c>
      <c r="M1031" s="17">
        <f>INDEX(Validade!H:H,MATCH('Controle de Validade'!A1031,Validade!C:C,0))</f>
        <v>62458</v>
      </c>
    </row>
    <row r="1032" spans="1:13" ht="15" hidden="1" x14ac:dyDescent="0.2">
      <c r="A1032" s="8" t="s">
        <v>648</v>
      </c>
      <c r="B1032" s="8" t="s">
        <v>2579</v>
      </c>
      <c r="C1032" s="8" t="s">
        <v>649</v>
      </c>
      <c r="D1032" s="9" t="s">
        <v>2991</v>
      </c>
      <c r="E1032" s="9" t="s">
        <v>2388</v>
      </c>
      <c r="F1032" s="10" t="s">
        <v>2387</v>
      </c>
      <c r="G1032" s="9" t="s">
        <v>2479</v>
      </c>
      <c r="H1032" s="16" t="s">
        <v>2570</v>
      </c>
      <c r="I1032" s="25" t="s">
        <v>3186</v>
      </c>
      <c r="J1032" s="25" t="s">
        <v>2412</v>
      </c>
      <c r="K1032" s="16">
        <v>0</v>
      </c>
      <c r="L1032" s="3" t="s">
        <v>2556</v>
      </c>
      <c r="M1032" s="17">
        <f>INDEX(Validade!H:H,MATCH('Controle de Validade'!A1032,Validade!C:C,0))</f>
        <v>62458</v>
      </c>
    </row>
    <row r="1033" spans="1:13" ht="15" hidden="1" x14ac:dyDescent="0.2">
      <c r="A1033" s="8" t="s">
        <v>651</v>
      </c>
      <c r="B1033" s="8" t="s">
        <v>2579</v>
      </c>
      <c r="C1033" s="8" t="s">
        <v>652</v>
      </c>
      <c r="D1033" s="9" t="s">
        <v>2991</v>
      </c>
      <c r="E1033" s="9" t="s">
        <v>2388</v>
      </c>
      <c r="F1033" s="10" t="s">
        <v>2387</v>
      </c>
      <c r="G1033" s="9" t="s">
        <v>2479</v>
      </c>
      <c r="H1033" s="16" t="s">
        <v>2570</v>
      </c>
      <c r="I1033" s="25" t="s">
        <v>3186</v>
      </c>
      <c r="J1033" s="25" t="s">
        <v>2412</v>
      </c>
      <c r="K1033" s="16">
        <v>0</v>
      </c>
      <c r="L1033" s="3" t="s">
        <v>2556</v>
      </c>
      <c r="M1033" s="17">
        <f>INDEX(Validade!H:H,MATCH('Controle de Validade'!A1033,Validade!C:C,0))</f>
        <v>62458</v>
      </c>
    </row>
    <row r="1034" spans="1:13" ht="15" hidden="1" x14ac:dyDescent="0.2">
      <c r="A1034" s="8" t="s">
        <v>282</v>
      </c>
      <c r="B1034" s="8" t="s">
        <v>2579</v>
      </c>
      <c r="C1034" s="8" t="s">
        <v>283</v>
      </c>
      <c r="D1034" s="9" t="s">
        <v>2991</v>
      </c>
      <c r="E1034" s="9" t="s">
        <v>2388</v>
      </c>
      <c r="F1034" s="10" t="s">
        <v>2387</v>
      </c>
      <c r="G1034" s="9" t="s">
        <v>2479</v>
      </c>
      <c r="H1034" s="16" t="s">
        <v>2570</v>
      </c>
      <c r="I1034" s="25" t="s">
        <v>3186</v>
      </c>
      <c r="J1034" s="25" t="s">
        <v>2412</v>
      </c>
      <c r="K1034" s="16">
        <v>0</v>
      </c>
      <c r="L1034" s="3" t="s">
        <v>2556</v>
      </c>
      <c r="M1034" s="17">
        <f>INDEX(Validade!H:H,MATCH('Controle de Validade'!A1034,Validade!C:C,0))</f>
        <v>62458</v>
      </c>
    </row>
    <row r="1035" spans="1:13" ht="15" hidden="1" x14ac:dyDescent="0.2">
      <c r="A1035" s="8" t="s">
        <v>2297</v>
      </c>
      <c r="B1035" s="8" t="s">
        <v>2579</v>
      </c>
      <c r="C1035" s="8" t="s">
        <v>2909</v>
      </c>
      <c r="D1035" s="9" t="s">
        <v>2991</v>
      </c>
      <c r="E1035" s="9" t="s">
        <v>2388</v>
      </c>
      <c r="F1035" s="10" t="s">
        <v>2387</v>
      </c>
      <c r="G1035" s="9" t="s">
        <v>2479</v>
      </c>
      <c r="H1035" s="16" t="s">
        <v>2570</v>
      </c>
      <c r="I1035" s="25" t="s">
        <v>3186</v>
      </c>
      <c r="J1035" s="25" t="s">
        <v>2412</v>
      </c>
      <c r="K1035" s="16">
        <v>0</v>
      </c>
      <c r="L1035" s="3" t="s">
        <v>2556</v>
      </c>
      <c r="M1035" s="17" t="e">
        <f>INDEX(Validade!H:H,MATCH('Controle de Validade'!A1035,Validade!C:C,0))</f>
        <v>#N/A</v>
      </c>
    </row>
    <row r="1036" spans="1:13" ht="15" hidden="1" x14ac:dyDescent="0.2">
      <c r="A1036" s="8" t="s">
        <v>2114</v>
      </c>
      <c r="B1036" s="8" t="s">
        <v>2579</v>
      </c>
      <c r="C1036" s="8" t="s">
        <v>2912</v>
      </c>
      <c r="D1036" s="9" t="s">
        <v>2991</v>
      </c>
      <c r="E1036" s="9" t="s">
        <v>2388</v>
      </c>
      <c r="F1036" s="10" t="s">
        <v>2387</v>
      </c>
      <c r="G1036" s="9" t="s">
        <v>2433</v>
      </c>
      <c r="H1036" s="16"/>
      <c r="I1036" s="25"/>
      <c r="J1036" s="25"/>
      <c r="K1036" s="16">
        <v>0</v>
      </c>
      <c r="L1036" s="3" t="s">
        <v>2556</v>
      </c>
      <c r="M1036" s="17" t="e">
        <f>INDEX(Validade!H:H,MATCH('Controle de Validade'!A1036,Validade!C:C,0))</f>
        <v>#N/A</v>
      </c>
    </row>
    <row r="1037" spans="1:13" ht="15" hidden="1" x14ac:dyDescent="0.2">
      <c r="A1037" s="8" t="s">
        <v>2229</v>
      </c>
      <c r="B1037" s="8" t="s">
        <v>2579</v>
      </c>
      <c r="C1037" s="8" t="s">
        <v>2913</v>
      </c>
      <c r="D1037" s="9" t="s">
        <v>2991</v>
      </c>
      <c r="E1037" s="9" t="s">
        <v>2388</v>
      </c>
      <c r="F1037" s="10" t="s">
        <v>2387</v>
      </c>
      <c r="G1037" s="9" t="s">
        <v>2479</v>
      </c>
      <c r="H1037" s="16" t="s">
        <v>2570</v>
      </c>
      <c r="I1037" s="25" t="s">
        <v>3186</v>
      </c>
      <c r="J1037" s="25" t="s">
        <v>2412</v>
      </c>
      <c r="K1037" s="16">
        <v>0</v>
      </c>
      <c r="L1037" s="3" t="s">
        <v>2556</v>
      </c>
      <c r="M1037" s="17" t="e">
        <f>INDEX(Validade!H:H,MATCH('Controle de Validade'!A1037,Validade!C:C,0))</f>
        <v>#N/A</v>
      </c>
    </row>
    <row r="1038" spans="1:13" ht="15" hidden="1" x14ac:dyDescent="0.2">
      <c r="A1038" s="8" t="s">
        <v>2228</v>
      </c>
      <c r="B1038" s="8" t="s">
        <v>2579</v>
      </c>
      <c r="C1038" s="8" t="s">
        <v>2915</v>
      </c>
      <c r="D1038" s="9" t="s">
        <v>2991</v>
      </c>
      <c r="E1038" s="9" t="s">
        <v>2388</v>
      </c>
      <c r="F1038" s="10" t="s">
        <v>2387</v>
      </c>
      <c r="G1038" s="9" t="s">
        <v>2479</v>
      </c>
      <c r="H1038" s="16" t="s">
        <v>2570</v>
      </c>
      <c r="I1038" s="25" t="s">
        <v>3186</v>
      </c>
      <c r="J1038" s="25" t="s">
        <v>2412</v>
      </c>
      <c r="K1038" s="16">
        <v>0</v>
      </c>
      <c r="L1038" s="3" t="s">
        <v>2556</v>
      </c>
      <c r="M1038" s="17" t="e">
        <f>INDEX(Validade!H:H,MATCH('Controle de Validade'!A1038,Validade!C:C,0))</f>
        <v>#N/A</v>
      </c>
    </row>
    <row r="1039" spans="1:13" ht="15" hidden="1" x14ac:dyDescent="0.2">
      <c r="A1039" s="8" t="s">
        <v>2237</v>
      </c>
      <c r="B1039" s="8" t="s">
        <v>2579</v>
      </c>
      <c r="C1039" s="8" t="s">
        <v>2916</v>
      </c>
      <c r="D1039" s="9" t="s">
        <v>2991</v>
      </c>
      <c r="E1039" s="9" t="s">
        <v>2388</v>
      </c>
      <c r="F1039" s="10" t="s">
        <v>2387</v>
      </c>
      <c r="G1039" s="9" t="s">
        <v>2479</v>
      </c>
      <c r="H1039" s="16" t="s">
        <v>2570</v>
      </c>
      <c r="I1039" s="25" t="s">
        <v>3186</v>
      </c>
      <c r="J1039" s="25" t="s">
        <v>2412</v>
      </c>
      <c r="K1039" s="16">
        <v>0</v>
      </c>
      <c r="L1039" s="3" t="s">
        <v>2556</v>
      </c>
      <c r="M1039" s="17" t="e">
        <f>INDEX(Validade!H:H,MATCH('Controle de Validade'!A1039,Validade!C:C,0))</f>
        <v>#N/A</v>
      </c>
    </row>
    <row r="1040" spans="1:13" ht="15" hidden="1" x14ac:dyDescent="0.2">
      <c r="A1040" s="8" t="s">
        <v>2950</v>
      </c>
      <c r="B1040" s="8" t="s">
        <v>2579</v>
      </c>
      <c r="C1040" s="8" t="s">
        <v>2982</v>
      </c>
      <c r="D1040" s="9" t="s">
        <v>2991</v>
      </c>
      <c r="E1040" s="9" t="s">
        <v>2388</v>
      </c>
      <c r="F1040" s="10" t="s">
        <v>2387</v>
      </c>
      <c r="G1040" s="9" t="s">
        <v>2479</v>
      </c>
      <c r="H1040" s="16" t="s">
        <v>2570</v>
      </c>
      <c r="I1040" s="25" t="s">
        <v>3186</v>
      </c>
      <c r="J1040" s="25" t="s">
        <v>2412</v>
      </c>
      <c r="K1040" s="16">
        <v>0</v>
      </c>
      <c r="L1040" s="3" t="s">
        <v>2556</v>
      </c>
      <c r="M1040" s="17" t="e">
        <f>INDEX(Validade!H:H,MATCH('Controle de Validade'!A1040,Validade!C:C,0))</f>
        <v>#N/A</v>
      </c>
    </row>
    <row r="1041" spans="1:13" ht="15" hidden="1" x14ac:dyDescent="0.2">
      <c r="A1041" s="8" t="s">
        <v>2297</v>
      </c>
      <c r="B1041" s="8" t="s">
        <v>2579</v>
      </c>
      <c r="C1041" s="8" t="s">
        <v>2909</v>
      </c>
      <c r="D1041" s="9" t="s">
        <v>15</v>
      </c>
      <c r="E1041" s="9" t="s">
        <v>2388</v>
      </c>
      <c r="F1041" s="10" t="s">
        <v>2387</v>
      </c>
      <c r="G1041" s="9" t="s">
        <v>2479</v>
      </c>
      <c r="H1041" s="61" t="s">
        <v>2571</v>
      </c>
      <c r="I1041" s="61" t="s">
        <v>2412</v>
      </c>
      <c r="J1041" s="61" t="s">
        <v>2412</v>
      </c>
      <c r="K1041" s="16">
        <v>0</v>
      </c>
      <c r="L1041" s="3" t="s">
        <v>2556</v>
      </c>
      <c r="M1041" s="17" t="e">
        <f>INDEX(Validade!H:H,MATCH('Controle de Validade'!A1041,Validade!C:C,0))</f>
        <v>#N/A</v>
      </c>
    </row>
    <row r="1042" spans="1:13" ht="15" hidden="1" x14ac:dyDescent="0.2">
      <c r="A1042" s="11" t="s">
        <v>3204</v>
      </c>
      <c r="B1042" s="8" t="s">
        <v>2579</v>
      </c>
      <c r="C1042" s="8" t="s">
        <v>548</v>
      </c>
      <c r="D1042" s="9" t="s">
        <v>1847</v>
      </c>
      <c r="E1042" s="9" t="s">
        <v>2388</v>
      </c>
      <c r="F1042" s="10" t="s">
        <v>2387</v>
      </c>
      <c r="G1042" s="9" t="s">
        <v>2479</v>
      </c>
      <c r="H1042" s="16" t="s">
        <v>2570</v>
      </c>
      <c r="I1042" s="25" t="s">
        <v>3186</v>
      </c>
      <c r="J1042" s="61" t="s">
        <v>2412</v>
      </c>
      <c r="K1042" s="16">
        <v>1</v>
      </c>
      <c r="L1042" s="3" t="s">
        <v>2556</v>
      </c>
      <c r="M1042" s="17" t="e">
        <f>INDEX(Validade!H:H,MATCH('Controle de Validade'!A1042,Validade!C:C,0))</f>
        <v>#N/A</v>
      </c>
    </row>
    <row r="1043" spans="1:13" ht="15" hidden="1" x14ac:dyDescent="0.2">
      <c r="A1043" s="8">
        <v>302093</v>
      </c>
      <c r="B1043" s="8" t="s">
        <v>2579</v>
      </c>
      <c r="C1043" s="8" t="s">
        <v>553</v>
      </c>
      <c r="D1043" s="9" t="s">
        <v>1847</v>
      </c>
      <c r="E1043" s="9" t="s">
        <v>2388</v>
      </c>
      <c r="F1043" s="10" t="s">
        <v>2387</v>
      </c>
      <c r="G1043" s="9" t="s">
        <v>2479</v>
      </c>
      <c r="H1043" s="16" t="s">
        <v>2570</v>
      </c>
      <c r="I1043" s="25" t="s">
        <v>3186</v>
      </c>
      <c r="J1043" s="61" t="s">
        <v>2412</v>
      </c>
      <c r="K1043" s="16">
        <v>1</v>
      </c>
      <c r="L1043" s="3" t="s">
        <v>2556</v>
      </c>
      <c r="M1043" s="17" t="e">
        <f>INDEX(Validade!H:H,MATCH('Controle de Validade'!A1043,Validade!C:C,0))</f>
        <v>#N/A</v>
      </c>
    </row>
    <row r="1044" spans="1:13" ht="15" hidden="1" x14ac:dyDescent="0.2">
      <c r="A1044" s="8">
        <v>302093</v>
      </c>
      <c r="B1044" s="8" t="s">
        <v>2579</v>
      </c>
      <c r="C1044" s="8" t="s">
        <v>553</v>
      </c>
      <c r="D1044" s="9" t="s">
        <v>1847</v>
      </c>
      <c r="E1044" s="9" t="s">
        <v>2388</v>
      </c>
      <c r="F1044" s="10" t="s">
        <v>2387</v>
      </c>
      <c r="G1044" s="9" t="s">
        <v>2479</v>
      </c>
      <c r="H1044" s="16" t="s">
        <v>2570</v>
      </c>
      <c r="I1044" s="25" t="s">
        <v>3186</v>
      </c>
      <c r="J1044" s="61" t="s">
        <v>2412</v>
      </c>
      <c r="K1044" s="16">
        <v>1</v>
      </c>
      <c r="L1044" s="3" t="s">
        <v>2556</v>
      </c>
      <c r="M1044" s="17" t="e">
        <f>INDEX(Validade!H:H,MATCH('Controle de Validade'!A1044,Validade!C:C,0))</f>
        <v>#N/A</v>
      </c>
    </row>
    <row r="1045" spans="1:13" ht="15" hidden="1" x14ac:dyDescent="0.2">
      <c r="A1045" s="8">
        <v>302095</v>
      </c>
      <c r="B1045" s="8" t="s">
        <v>2579</v>
      </c>
      <c r="C1045" s="8" t="s">
        <v>559</v>
      </c>
      <c r="D1045" s="9" t="s">
        <v>1847</v>
      </c>
      <c r="E1045" s="9" t="s">
        <v>2388</v>
      </c>
      <c r="F1045" s="10" t="s">
        <v>2387</v>
      </c>
      <c r="G1045" s="9" t="s">
        <v>2479</v>
      </c>
      <c r="H1045" s="16" t="s">
        <v>2570</v>
      </c>
      <c r="I1045" s="25" t="s">
        <v>3186</v>
      </c>
      <c r="J1045" s="61" t="s">
        <v>2412</v>
      </c>
      <c r="K1045" s="16">
        <v>1</v>
      </c>
      <c r="L1045" s="3" t="s">
        <v>2556</v>
      </c>
      <c r="M1045" s="17" t="e">
        <f>INDEX(Validade!H:H,MATCH('Controle de Validade'!A1045,Validade!C:C,0))</f>
        <v>#N/A</v>
      </c>
    </row>
    <row r="1046" spans="1:13" ht="15" hidden="1" x14ac:dyDescent="0.2">
      <c r="A1046" s="8">
        <v>302112</v>
      </c>
      <c r="B1046" s="8" t="s">
        <v>2579</v>
      </c>
      <c r="C1046" s="8" t="s">
        <v>565</v>
      </c>
      <c r="D1046" s="9" t="s">
        <v>2991</v>
      </c>
      <c r="E1046" s="9" t="s">
        <v>2388</v>
      </c>
      <c r="F1046" s="10" t="s">
        <v>2387</v>
      </c>
      <c r="G1046" s="9" t="s">
        <v>2479</v>
      </c>
      <c r="H1046" s="16" t="s">
        <v>2570</v>
      </c>
      <c r="I1046" s="25" t="s">
        <v>3186</v>
      </c>
      <c r="J1046" s="61" t="s">
        <v>2412</v>
      </c>
      <c r="K1046" s="16">
        <v>1</v>
      </c>
      <c r="L1046" s="3" t="s">
        <v>2556</v>
      </c>
      <c r="M1046" s="17" t="e">
        <f>INDEX(Validade!H:H,MATCH('Controle de Validade'!A1046,Validade!C:C,0))</f>
        <v>#N/A</v>
      </c>
    </row>
    <row r="1047" spans="1:13" ht="15" hidden="1" x14ac:dyDescent="0.2">
      <c r="A1047" s="8">
        <v>302160</v>
      </c>
      <c r="B1047" s="8" t="s">
        <v>2579</v>
      </c>
      <c r="C1047" s="8" t="s">
        <v>599</v>
      </c>
      <c r="D1047" s="9" t="s">
        <v>2991</v>
      </c>
      <c r="E1047" s="9" t="s">
        <v>2388</v>
      </c>
      <c r="F1047" s="10" t="s">
        <v>2387</v>
      </c>
      <c r="G1047" s="9" t="s">
        <v>2479</v>
      </c>
      <c r="H1047" s="16" t="s">
        <v>2570</v>
      </c>
      <c r="I1047" s="25" t="s">
        <v>3186</v>
      </c>
      <c r="J1047" s="61" t="s">
        <v>2412</v>
      </c>
      <c r="K1047" s="16">
        <v>1</v>
      </c>
      <c r="L1047" s="3" t="s">
        <v>2556</v>
      </c>
      <c r="M1047" s="17" t="e">
        <f>INDEX(Validade!H:H,MATCH('Controle de Validade'!A1047,Validade!C:C,0))</f>
        <v>#N/A</v>
      </c>
    </row>
    <row r="1048" spans="1:13" ht="15" hidden="1" x14ac:dyDescent="0.2">
      <c r="A1048" s="8">
        <v>302164</v>
      </c>
      <c r="B1048" s="8" t="s">
        <v>2579</v>
      </c>
      <c r="C1048" s="8" t="s">
        <v>610</v>
      </c>
      <c r="D1048" s="9" t="s">
        <v>2991</v>
      </c>
      <c r="E1048" s="9" t="s">
        <v>2388</v>
      </c>
      <c r="F1048" s="10" t="s">
        <v>2387</v>
      </c>
      <c r="G1048" s="9" t="s">
        <v>2479</v>
      </c>
      <c r="H1048" s="16" t="s">
        <v>2570</v>
      </c>
      <c r="I1048" s="25" t="s">
        <v>3186</v>
      </c>
      <c r="J1048" s="61" t="s">
        <v>2412</v>
      </c>
      <c r="K1048" s="16">
        <v>1</v>
      </c>
      <c r="L1048" s="3" t="s">
        <v>2556</v>
      </c>
      <c r="M1048" s="17" t="e">
        <f>INDEX(Validade!H:H,MATCH('Controle de Validade'!A1048,Validade!C:C,0))</f>
        <v>#N/A</v>
      </c>
    </row>
    <row r="1049" spans="1:13" ht="15" hidden="1" x14ac:dyDescent="0.2">
      <c r="A1049" s="8">
        <v>302419</v>
      </c>
      <c r="B1049" s="8" t="s">
        <v>2579</v>
      </c>
      <c r="C1049" s="8" t="s">
        <v>647</v>
      </c>
      <c r="D1049" s="9" t="s">
        <v>2991</v>
      </c>
      <c r="E1049" s="9" t="s">
        <v>2388</v>
      </c>
      <c r="F1049" s="10" t="s">
        <v>2387</v>
      </c>
      <c r="G1049" s="9" t="s">
        <v>2479</v>
      </c>
      <c r="H1049" s="16" t="s">
        <v>2570</v>
      </c>
      <c r="I1049" s="25" t="s">
        <v>3186</v>
      </c>
      <c r="J1049" s="61" t="s">
        <v>2412</v>
      </c>
      <c r="K1049" s="16">
        <v>1</v>
      </c>
      <c r="L1049" s="3" t="s">
        <v>2556</v>
      </c>
      <c r="M1049" s="17" t="e">
        <f>INDEX(Validade!H:H,MATCH('Controle de Validade'!A1049,Validade!C:C,0))</f>
        <v>#N/A</v>
      </c>
    </row>
    <row r="1050" spans="1:13" ht="15" hidden="1" x14ac:dyDescent="0.2">
      <c r="A1050" s="8">
        <v>302420</v>
      </c>
      <c r="B1050" s="8" t="s">
        <v>2579</v>
      </c>
      <c r="C1050" s="8" t="s">
        <v>649</v>
      </c>
      <c r="D1050" s="9" t="s">
        <v>2991</v>
      </c>
      <c r="E1050" s="9" t="s">
        <v>2388</v>
      </c>
      <c r="F1050" s="10" t="s">
        <v>2387</v>
      </c>
      <c r="G1050" s="9" t="s">
        <v>2479</v>
      </c>
      <c r="H1050" s="16" t="s">
        <v>2570</v>
      </c>
      <c r="I1050" s="25" t="s">
        <v>3186</v>
      </c>
      <c r="J1050" s="61" t="s">
        <v>2412</v>
      </c>
      <c r="K1050" s="16">
        <v>1</v>
      </c>
      <c r="L1050" s="3" t="s">
        <v>2556</v>
      </c>
      <c r="M1050" s="17" t="e">
        <f>INDEX(Validade!H:H,MATCH('Controle de Validade'!A1050,Validade!C:C,0))</f>
        <v>#N/A</v>
      </c>
    </row>
    <row r="1051" spans="1:13" ht="15" hidden="1" x14ac:dyDescent="0.2">
      <c r="A1051" s="8">
        <v>302421</v>
      </c>
      <c r="B1051" s="8" t="s">
        <v>2579</v>
      </c>
      <c r="C1051" s="8" t="s">
        <v>652</v>
      </c>
      <c r="D1051" s="9" t="s">
        <v>2991</v>
      </c>
      <c r="E1051" s="9" t="s">
        <v>2388</v>
      </c>
      <c r="F1051" s="10" t="s">
        <v>2387</v>
      </c>
      <c r="G1051" s="9" t="s">
        <v>2479</v>
      </c>
      <c r="H1051" s="16" t="s">
        <v>2570</v>
      </c>
      <c r="I1051" s="25" t="s">
        <v>3186</v>
      </c>
      <c r="J1051" s="61" t="s">
        <v>2412</v>
      </c>
      <c r="K1051" s="16">
        <v>1</v>
      </c>
      <c r="L1051" s="3" t="s">
        <v>2556</v>
      </c>
      <c r="M1051" s="17" t="e">
        <f>INDEX(Validade!H:H,MATCH('Controle de Validade'!A1051,Validade!C:C,0))</f>
        <v>#N/A</v>
      </c>
    </row>
    <row r="1052" spans="1:13" ht="15" hidden="1" x14ac:dyDescent="0.2">
      <c r="A1052" s="8">
        <v>704323</v>
      </c>
      <c r="B1052" s="8" t="s">
        <v>2579</v>
      </c>
      <c r="C1052" s="8" t="s">
        <v>155</v>
      </c>
      <c r="D1052" s="9" t="s">
        <v>2991</v>
      </c>
      <c r="E1052" s="9" t="s">
        <v>2388</v>
      </c>
      <c r="F1052" s="10" t="s">
        <v>2387</v>
      </c>
      <c r="G1052" s="9" t="s">
        <v>2479</v>
      </c>
      <c r="H1052" s="16" t="s">
        <v>2570</v>
      </c>
      <c r="I1052" s="25" t="s">
        <v>3186</v>
      </c>
      <c r="J1052" s="61" t="s">
        <v>2412</v>
      </c>
      <c r="K1052" s="16">
        <v>1</v>
      </c>
      <c r="L1052" s="3" t="s">
        <v>2556</v>
      </c>
      <c r="M1052" s="17" t="e">
        <f>INDEX(Validade!H:H,MATCH('Controle de Validade'!A1052,Validade!C:C,0))</f>
        <v>#N/A</v>
      </c>
    </row>
    <row r="1053" spans="1:13" ht="15" hidden="1" x14ac:dyDescent="0.2">
      <c r="A1053" s="8">
        <v>704329</v>
      </c>
      <c r="B1053" s="8" t="s">
        <v>2579</v>
      </c>
      <c r="C1053" s="8" t="s">
        <v>161</v>
      </c>
      <c r="D1053" s="9" t="s">
        <v>2991</v>
      </c>
      <c r="E1053" s="9" t="s">
        <v>2388</v>
      </c>
      <c r="F1053" s="10" t="s">
        <v>2387</v>
      </c>
      <c r="G1053" s="9" t="s">
        <v>2479</v>
      </c>
      <c r="H1053" s="16" t="s">
        <v>2570</v>
      </c>
      <c r="I1053" s="25" t="s">
        <v>3186</v>
      </c>
      <c r="J1053" s="61" t="s">
        <v>2412</v>
      </c>
      <c r="K1053" s="16">
        <v>1</v>
      </c>
      <c r="L1053" s="3" t="s">
        <v>2556</v>
      </c>
      <c r="M1053" s="17" t="e">
        <f>INDEX(Validade!H:H,MATCH('Controle de Validade'!A1053,Validade!C:C,0))</f>
        <v>#N/A</v>
      </c>
    </row>
    <row r="1054" spans="1:13" ht="15" hidden="1" x14ac:dyDescent="0.2">
      <c r="A1054" s="8">
        <v>704608</v>
      </c>
      <c r="B1054" s="8" t="s">
        <v>2579</v>
      </c>
      <c r="C1054" s="8" t="s">
        <v>194</v>
      </c>
      <c r="D1054" s="9" t="s">
        <v>2991</v>
      </c>
      <c r="E1054" s="9" t="s">
        <v>2388</v>
      </c>
      <c r="F1054" s="10" t="s">
        <v>2387</v>
      </c>
      <c r="G1054" s="9" t="s">
        <v>2479</v>
      </c>
      <c r="H1054" s="16" t="s">
        <v>2570</v>
      </c>
      <c r="I1054" s="25" t="s">
        <v>3186</v>
      </c>
      <c r="J1054" s="61" t="s">
        <v>2412</v>
      </c>
      <c r="K1054" s="16">
        <v>1</v>
      </c>
      <c r="L1054" s="3" t="s">
        <v>2556</v>
      </c>
      <c r="M1054" s="17" t="e">
        <f>INDEX(Validade!H:H,MATCH('Controle de Validade'!A1054,Validade!C:C,0))</f>
        <v>#N/A</v>
      </c>
    </row>
    <row r="1055" spans="1:13" ht="15" hidden="1" x14ac:dyDescent="0.2">
      <c r="A1055" s="8">
        <v>704610</v>
      </c>
      <c r="B1055" s="8" t="s">
        <v>2579</v>
      </c>
      <c r="C1055" s="8" t="s">
        <v>197</v>
      </c>
      <c r="D1055" s="9" t="s">
        <v>1847</v>
      </c>
      <c r="E1055" s="9" t="s">
        <v>2388</v>
      </c>
      <c r="F1055" s="10" t="s">
        <v>2387</v>
      </c>
      <c r="G1055" s="9" t="s">
        <v>2479</v>
      </c>
      <c r="H1055" s="16" t="s">
        <v>2570</v>
      </c>
      <c r="I1055" s="25" t="s">
        <v>3186</v>
      </c>
      <c r="J1055" s="61" t="s">
        <v>2412</v>
      </c>
      <c r="K1055" s="16">
        <v>1</v>
      </c>
      <c r="L1055" s="3" t="s">
        <v>2556</v>
      </c>
      <c r="M1055" s="17" t="e">
        <f>INDEX(Validade!H:H,MATCH('Controle de Validade'!A1055,Validade!C:C,0))</f>
        <v>#N/A</v>
      </c>
    </row>
    <row r="1056" spans="1:13" ht="15" hidden="1" x14ac:dyDescent="0.2">
      <c r="A1056" s="8">
        <v>704610</v>
      </c>
      <c r="B1056" s="8" t="s">
        <v>2579</v>
      </c>
      <c r="C1056" s="8" t="s">
        <v>197</v>
      </c>
      <c r="D1056" s="9" t="s">
        <v>1847</v>
      </c>
      <c r="E1056" s="9" t="s">
        <v>2388</v>
      </c>
      <c r="F1056" s="10" t="s">
        <v>2387</v>
      </c>
      <c r="G1056" s="9" t="s">
        <v>2479</v>
      </c>
      <c r="H1056" s="16" t="s">
        <v>2570</v>
      </c>
      <c r="I1056" s="25" t="s">
        <v>3186</v>
      </c>
      <c r="J1056" s="61" t="s">
        <v>2412</v>
      </c>
      <c r="K1056" s="16">
        <v>1</v>
      </c>
      <c r="L1056" s="3" t="s">
        <v>2556</v>
      </c>
      <c r="M1056" s="17" t="e">
        <f>INDEX(Validade!H:H,MATCH('Controle de Validade'!A1056,Validade!C:C,0))</f>
        <v>#N/A</v>
      </c>
    </row>
    <row r="1057" spans="1:14" ht="15" hidden="1" x14ac:dyDescent="0.2">
      <c r="A1057" s="8">
        <v>704610</v>
      </c>
      <c r="B1057" s="8" t="s">
        <v>2579</v>
      </c>
      <c r="C1057" s="8" t="s">
        <v>197</v>
      </c>
      <c r="D1057" s="9" t="s">
        <v>1847</v>
      </c>
      <c r="E1057" s="9" t="s">
        <v>2388</v>
      </c>
      <c r="F1057" s="10" t="s">
        <v>2387</v>
      </c>
      <c r="G1057" s="9" t="s">
        <v>2479</v>
      </c>
      <c r="H1057" s="16" t="s">
        <v>2570</v>
      </c>
      <c r="I1057" s="25" t="s">
        <v>3186</v>
      </c>
      <c r="J1057" s="61" t="s">
        <v>2412</v>
      </c>
      <c r="K1057" s="16">
        <v>1</v>
      </c>
      <c r="L1057" s="3" t="s">
        <v>2556</v>
      </c>
      <c r="M1057" s="17" t="e">
        <f>INDEX(Validade!H:H,MATCH('Controle de Validade'!A1057,Validade!C:C,0))</f>
        <v>#N/A</v>
      </c>
    </row>
    <row r="1058" spans="1:14" ht="15" hidden="1" x14ac:dyDescent="0.2">
      <c r="A1058" s="8">
        <v>705662</v>
      </c>
      <c r="B1058" s="8" t="s">
        <v>2579</v>
      </c>
      <c r="C1058" s="8" t="s">
        <v>220</v>
      </c>
      <c r="D1058" s="9" t="s">
        <v>2991</v>
      </c>
      <c r="E1058" s="9" t="s">
        <v>2388</v>
      </c>
      <c r="F1058" s="10" t="s">
        <v>2387</v>
      </c>
      <c r="G1058" s="9" t="s">
        <v>2479</v>
      </c>
      <c r="H1058" s="16" t="s">
        <v>2570</v>
      </c>
      <c r="I1058" s="25" t="s">
        <v>3186</v>
      </c>
      <c r="J1058" s="61" t="s">
        <v>2412</v>
      </c>
      <c r="K1058" s="16">
        <v>1</v>
      </c>
      <c r="L1058" s="3" t="s">
        <v>2556</v>
      </c>
      <c r="M1058" s="17" t="e">
        <f>INDEX(Validade!H:H,MATCH('Controle de Validade'!A1058,Validade!C:C,0))</f>
        <v>#N/A</v>
      </c>
    </row>
    <row r="1059" spans="1:14" ht="15" hidden="1" x14ac:dyDescent="0.2">
      <c r="A1059" s="8">
        <v>707714</v>
      </c>
      <c r="B1059" s="8" t="s">
        <v>2579</v>
      </c>
      <c r="C1059" s="8" t="s">
        <v>277</v>
      </c>
      <c r="D1059" s="9" t="s">
        <v>2991</v>
      </c>
      <c r="E1059" s="9" t="s">
        <v>2388</v>
      </c>
      <c r="F1059" s="10" t="s">
        <v>2387</v>
      </c>
      <c r="G1059" s="9" t="s">
        <v>2479</v>
      </c>
      <c r="H1059" s="16" t="s">
        <v>2570</v>
      </c>
      <c r="I1059" s="25" t="s">
        <v>3186</v>
      </c>
      <c r="J1059" s="61" t="s">
        <v>2412</v>
      </c>
      <c r="K1059" s="16">
        <v>1</v>
      </c>
      <c r="L1059" s="3" t="s">
        <v>2556</v>
      </c>
      <c r="M1059" s="17" t="e">
        <f>INDEX(Validade!H:H,MATCH('Controle de Validade'!A1059,Validade!C:C,0))</f>
        <v>#N/A</v>
      </c>
    </row>
    <row r="1060" spans="1:14" ht="15" hidden="1" x14ac:dyDescent="0.2">
      <c r="A1060" s="8">
        <v>707990</v>
      </c>
      <c r="B1060" s="8" t="s">
        <v>2579</v>
      </c>
      <c r="C1060" s="8" t="s">
        <v>2900</v>
      </c>
      <c r="D1060" s="9" t="s">
        <v>1847</v>
      </c>
      <c r="E1060" s="9" t="s">
        <v>2388</v>
      </c>
      <c r="F1060" s="10" t="s">
        <v>2387</v>
      </c>
      <c r="G1060" s="9" t="s">
        <v>2479</v>
      </c>
      <c r="H1060" s="16" t="s">
        <v>2570</v>
      </c>
      <c r="I1060" s="25" t="s">
        <v>3186</v>
      </c>
      <c r="J1060" s="61" t="s">
        <v>2412</v>
      </c>
      <c r="K1060" s="16">
        <v>1</v>
      </c>
      <c r="L1060" s="3" t="s">
        <v>2556</v>
      </c>
      <c r="M1060" s="17" t="e">
        <f>INDEX(Validade!H:H,MATCH('Controle de Validade'!A1060,Validade!C:C,0))</f>
        <v>#N/A</v>
      </c>
    </row>
    <row r="1061" spans="1:14" ht="15" hidden="1" x14ac:dyDescent="0.2">
      <c r="A1061" s="8">
        <v>708371</v>
      </c>
      <c r="B1061" s="8" t="s">
        <v>2579</v>
      </c>
      <c r="C1061" s="8" t="s">
        <v>2915</v>
      </c>
      <c r="D1061" s="9" t="s">
        <v>2991</v>
      </c>
      <c r="E1061" s="9" t="s">
        <v>2388</v>
      </c>
      <c r="F1061" s="10" t="s">
        <v>2387</v>
      </c>
      <c r="G1061" s="9" t="s">
        <v>2479</v>
      </c>
      <c r="H1061" s="16" t="s">
        <v>2570</v>
      </c>
      <c r="I1061" s="25" t="s">
        <v>3186</v>
      </c>
      <c r="J1061" s="61" t="s">
        <v>2412</v>
      </c>
      <c r="K1061" s="16">
        <v>1</v>
      </c>
      <c r="L1061" s="3" t="s">
        <v>2556</v>
      </c>
      <c r="M1061" s="17" t="e">
        <f>INDEX(Validade!H:H,MATCH('Controle de Validade'!A1061,Validade!C:C,0))</f>
        <v>#N/A</v>
      </c>
    </row>
    <row r="1062" spans="1:14" ht="15" hidden="1" x14ac:dyDescent="0.2">
      <c r="A1062" s="86" t="s">
        <v>1692</v>
      </c>
      <c r="B1062" s="8" t="s">
        <v>2579</v>
      </c>
      <c r="C1062" s="8" t="s">
        <v>1693</v>
      </c>
      <c r="D1062" s="9" t="s">
        <v>2440</v>
      </c>
      <c r="E1062" s="9" t="s">
        <v>2388</v>
      </c>
      <c r="F1062" s="10" t="s">
        <v>2961</v>
      </c>
      <c r="G1062" s="9" t="s">
        <v>2442</v>
      </c>
      <c r="H1062" s="16" t="s">
        <v>2570</v>
      </c>
      <c r="I1062" s="52" t="s">
        <v>3196</v>
      </c>
      <c r="J1062" s="53" t="s">
        <v>2412</v>
      </c>
      <c r="K1062" s="16">
        <v>1</v>
      </c>
      <c r="L1062" s="3" t="s">
        <v>2556</v>
      </c>
      <c r="M1062" s="17">
        <f>INDEX(Validade!H:H,MATCH('Controle de Validade'!A1062,Validade!C:C,0))</f>
        <v>47268</v>
      </c>
    </row>
    <row r="1063" spans="1:14" ht="15" hidden="1" x14ac:dyDescent="0.2">
      <c r="A1063" s="86" t="s">
        <v>3241</v>
      </c>
      <c r="B1063" s="8" t="s">
        <v>2579</v>
      </c>
      <c r="C1063" s="8" t="s">
        <v>3240</v>
      </c>
      <c r="D1063" s="9" t="s">
        <v>41</v>
      </c>
      <c r="E1063" s="9" t="s">
        <v>2388</v>
      </c>
      <c r="F1063" s="10" t="s">
        <v>2961</v>
      </c>
      <c r="G1063" s="9" t="s">
        <v>2429</v>
      </c>
      <c r="H1063" s="16" t="s">
        <v>2570</v>
      </c>
      <c r="I1063" s="32" t="s">
        <v>2993</v>
      </c>
      <c r="J1063" s="26" t="s">
        <v>2994</v>
      </c>
      <c r="K1063" s="16">
        <v>1</v>
      </c>
      <c r="L1063" s="3" t="s">
        <v>2556</v>
      </c>
      <c r="M1063" s="17" t="e">
        <f>INDEX(Validade!H:H,MATCH('Controle de Validade'!A1063,Validade!C:C,0))</f>
        <v>#N/A</v>
      </c>
      <c r="N1063" s="18"/>
    </row>
    <row r="1064" spans="1:14" ht="15" hidden="1" x14ac:dyDescent="0.2">
      <c r="A1064" s="86" t="s">
        <v>3242</v>
      </c>
      <c r="B1064" s="8" t="s">
        <v>2579</v>
      </c>
      <c r="C1064" s="8" t="s">
        <v>704</v>
      </c>
      <c r="D1064" s="9" t="s">
        <v>41</v>
      </c>
      <c r="E1064" s="9" t="s">
        <v>2388</v>
      </c>
      <c r="F1064" s="10" t="s">
        <v>2961</v>
      </c>
      <c r="G1064" s="9" t="s">
        <v>2429</v>
      </c>
      <c r="H1064" s="16" t="s">
        <v>2570</v>
      </c>
      <c r="I1064" s="32" t="s">
        <v>2993</v>
      </c>
      <c r="J1064" s="26" t="s">
        <v>2994</v>
      </c>
      <c r="K1064" s="16">
        <v>1</v>
      </c>
      <c r="L1064" s="3" t="s">
        <v>2556</v>
      </c>
      <c r="M1064" s="17" t="e">
        <f>INDEX(Validade!H:H,MATCH('Controle de Validade'!A1064,Validade!C:C,0))</f>
        <v>#N/A</v>
      </c>
      <c r="N1064" s="18"/>
    </row>
    <row r="1065" spans="1:14" ht="15" hidden="1" x14ac:dyDescent="0.2">
      <c r="A1065" s="86" t="s">
        <v>3243</v>
      </c>
      <c r="B1065" s="8" t="s">
        <v>2579</v>
      </c>
      <c r="C1065" s="8" t="s">
        <v>1679</v>
      </c>
      <c r="D1065" s="9" t="s">
        <v>41</v>
      </c>
      <c r="E1065" s="9" t="s">
        <v>2388</v>
      </c>
      <c r="F1065" s="10" t="s">
        <v>2961</v>
      </c>
      <c r="G1065" s="9" t="s">
        <v>2429</v>
      </c>
      <c r="H1065" s="16" t="s">
        <v>2570</v>
      </c>
      <c r="I1065" s="32" t="s">
        <v>2993</v>
      </c>
      <c r="J1065" s="26" t="s">
        <v>2994</v>
      </c>
      <c r="K1065" s="16">
        <v>1</v>
      </c>
      <c r="L1065" s="3" t="s">
        <v>2556</v>
      </c>
      <c r="M1065" s="17" t="e">
        <f>INDEX(Validade!H:H,MATCH('Controle de Validade'!A1065,Validade!C:C,0))</f>
        <v>#N/A</v>
      </c>
      <c r="N1065" s="18"/>
    </row>
    <row r="1066" spans="1:14" ht="15" hidden="1" x14ac:dyDescent="0.2">
      <c r="A1066" s="86" t="s">
        <v>3244</v>
      </c>
      <c r="B1066" s="8" t="s">
        <v>2579</v>
      </c>
      <c r="C1066" s="8" t="s">
        <v>1163</v>
      </c>
      <c r="D1066" s="9" t="s">
        <v>41</v>
      </c>
      <c r="E1066" s="9" t="s">
        <v>2388</v>
      </c>
      <c r="F1066" s="10" t="s">
        <v>2961</v>
      </c>
      <c r="G1066" s="9" t="s">
        <v>2429</v>
      </c>
      <c r="H1066" s="16" t="s">
        <v>2570</v>
      </c>
      <c r="I1066" s="32" t="s">
        <v>2993</v>
      </c>
      <c r="J1066" s="26" t="s">
        <v>2994</v>
      </c>
      <c r="K1066" s="16">
        <v>1</v>
      </c>
      <c r="L1066" s="3" t="s">
        <v>2556</v>
      </c>
      <c r="M1066" s="17" t="e">
        <f>INDEX(Validade!H:H,MATCH('Controle de Validade'!A1066,Validade!C:C,0))</f>
        <v>#N/A</v>
      </c>
      <c r="N1066" s="18"/>
    </row>
    <row r="1067" spans="1:14" ht="15" hidden="1" x14ac:dyDescent="0.2">
      <c r="A1067" s="86">
        <v>708703</v>
      </c>
      <c r="B1067" s="8" t="s">
        <v>2579</v>
      </c>
      <c r="C1067" s="8" t="s">
        <v>3245</v>
      </c>
      <c r="D1067" s="9" t="s">
        <v>41</v>
      </c>
      <c r="E1067" s="9" t="s">
        <v>2388</v>
      </c>
      <c r="F1067" s="10" t="s">
        <v>2961</v>
      </c>
      <c r="G1067" s="9" t="s">
        <v>2429</v>
      </c>
      <c r="H1067" s="16" t="s">
        <v>2570</v>
      </c>
      <c r="I1067" s="32" t="s">
        <v>2993</v>
      </c>
      <c r="J1067" s="26" t="s">
        <v>2994</v>
      </c>
      <c r="K1067" s="16">
        <v>1</v>
      </c>
      <c r="L1067" s="3" t="s">
        <v>2556</v>
      </c>
      <c r="M1067" s="17" t="e">
        <f>INDEX(Validade!H:H,MATCH('Controle de Validade'!A1067,Validade!C:C,0))</f>
        <v>#N/A</v>
      </c>
      <c r="N1067" s="18"/>
    </row>
  </sheetData>
  <autoFilter ref="A1:N1067" xr:uid="{191CDFE1-67A1-45C6-AF8F-5606301A2228}">
    <filterColumn colId="0">
      <filters>
        <filter val="305.012"/>
      </filters>
    </filterColumn>
  </autoFilter>
  <conditionalFormatting sqref="A1">
    <cfRule type="duplicateValues" dxfId="87" priority="47"/>
  </conditionalFormatting>
  <conditionalFormatting sqref="A1:A1017">
    <cfRule type="duplicateValues" dxfId="86" priority="126"/>
    <cfRule type="duplicateValues" dxfId="85" priority="127"/>
    <cfRule type="duplicateValues" dxfId="84" priority="128"/>
  </conditionalFormatting>
  <conditionalFormatting sqref="A2:A973">
    <cfRule type="duplicateValues" dxfId="83" priority="124"/>
    <cfRule type="duplicateValues" dxfId="82" priority="125"/>
  </conditionalFormatting>
  <conditionalFormatting sqref="A860:A1017">
    <cfRule type="duplicateValues" dxfId="81" priority="69"/>
    <cfRule type="duplicateValues" dxfId="80" priority="70"/>
  </conditionalFormatting>
  <conditionalFormatting sqref="A1018:A1061">
    <cfRule type="duplicateValues" dxfId="79" priority="26"/>
    <cfRule type="duplicateValues" dxfId="78" priority="27"/>
  </conditionalFormatting>
  <conditionalFormatting sqref="A1062">
    <cfRule type="duplicateValues" dxfId="77" priority="11"/>
    <cfRule type="duplicateValues" dxfId="76" priority="12"/>
    <cfRule type="duplicateValues" dxfId="75" priority="13"/>
    <cfRule type="duplicateValues" dxfId="74" priority="14"/>
    <cfRule type="duplicateValues" dxfId="73" priority="15"/>
    <cfRule type="duplicateValues" dxfId="72" priority="16"/>
    <cfRule type="duplicateValues" dxfId="71" priority="17"/>
  </conditionalFormatting>
  <conditionalFormatting sqref="A1063:A1067">
    <cfRule type="duplicateValues" dxfId="70" priority="134"/>
    <cfRule type="duplicateValues" dxfId="69" priority="135"/>
    <cfRule type="duplicateValues" dxfId="68" priority="136"/>
    <cfRule type="duplicateValues" dxfId="67" priority="137"/>
    <cfRule type="duplicateValues" dxfId="66" priority="138"/>
  </conditionalFormatting>
  <conditionalFormatting sqref="D2:E1067">
    <cfRule type="cellIs" dxfId="65" priority="18" operator="equal">
      <formula>"Sem pedido aberto"</formula>
    </cfRule>
  </conditionalFormatting>
  <conditionalFormatting sqref="L2:L1067">
    <cfRule type="containsText" dxfId="64" priority="39" operator="containsText" text="✖️">
      <formula>NOT(ISERROR(SEARCH("✖️",L2)))</formula>
    </cfRule>
    <cfRule type="containsText" dxfId="63" priority="40" operator="containsText" text="✔️">
      <formula>NOT(ISERROR(SEARCH("✔️",L2)))</formula>
    </cfRule>
    <cfRule type="containsText" dxfId="62" priority="41" operator="containsText" text="⚠️">
      <formula>NOT(ISERROR(SEARCH("⚠️",L2)))</formula>
    </cfRule>
    <cfRule type="containsText" dxfId="61" priority="42" operator="containsText" text="⚠️">
      <formula>NOT(ISERROR(SEARCH("⚠️",L2)))</formula>
    </cfRule>
    <cfRule type="containsText" dxfId="60" priority="43" operator="containsText" text="⚠️">
      <formula>NOT(ISERROR(SEARCH("⚠️",L2)))</formula>
    </cfRule>
    <cfRule type="containsText" dxfId="59" priority="44" operator="containsText" text="⚠️">
      <formula>NOT(ISERROR(SEARCH("⚠️",L2)))</formula>
    </cfRule>
    <cfRule type="containsText" dxfId="58" priority="45" operator="containsText" text="✔️">
      <formula>NOT(ISERROR(SEARCH("✔️",L2)))</formula>
    </cfRule>
  </conditionalFormatting>
  <hyperlinks>
    <hyperlink ref="J2" r:id="rId1" xr:uid="{FD64FDBC-0B4A-4DA8-B682-21E1313DE19C}"/>
    <hyperlink ref="J8" r:id="rId2" xr:uid="{026FC625-8E55-48A7-A0D0-9847FCF56F64}"/>
    <hyperlink ref="J974" r:id="rId3" xr:uid="{7375E698-F2FC-4A53-B6B6-61AA6572EC8A}"/>
    <hyperlink ref="J18" r:id="rId4" xr:uid="{1037EB4F-49B5-43BE-93F2-3A53810EE8A5}"/>
    <hyperlink ref="J84" r:id="rId5" xr:uid="{1BB80615-1452-44B7-9977-A2998C42F813}"/>
    <hyperlink ref="J39" r:id="rId6" xr:uid="{6E2924F9-AAF7-4963-9A52-3A985E0A973D}"/>
    <hyperlink ref="J504" r:id="rId7" xr:uid="{8316E8EC-6D50-4834-A249-C5C1E5085F55}"/>
    <hyperlink ref="J32" r:id="rId8" xr:uid="{F3E54097-93A1-4A15-9349-AF8D1C58E3EE}"/>
    <hyperlink ref="J33" r:id="rId9" xr:uid="{8B42C086-CEC6-4898-A7A0-EBAE5E677EFA}"/>
    <hyperlink ref="J380" r:id="rId10" xr:uid="{F486AC1B-30D7-45BF-9772-51BD2624A3BA}"/>
    <hyperlink ref="J402" r:id="rId11" xr:uid="{482D479E-E38A-4488-8B99-109AAE8A5CD9}"/>
    <hyperlink ref="J404" r:id="rId12" xr:uid="{492BBBEE-0500-4729-9F18-4F941B9B1C11}"/>
    <hyperlink ref="J438" r:id="rId13" xr:uid="{8694F950-C2C1-42E7-9491-D4F464B9076D}"/>
    <hyperlink ref="J488" r:id="rId14" xr:uid="{7503384A-4AD5-48DD-8222-A96E0A24196C}"/>
    <hyperlink ref="J505" r:id="rId15" xr:uid="{E0BBB8BA-69D5-460B-BD08-339E5D283E8E}"/>
    <hyperlink ref="J613" r:id="rId16" xr:uid="{3610CDB1-0732-4647-84B5-A07F27194E7F}"/>
    <hyperlink ref="J533" r:id="rId17" xr:uid="{3C1D86FB-ED49-4092-853A-B48334AA7DFE}"/>
    <hyperlink ref="J24" r:id="rId18" xr:uid="{24361452-FF2E-435B-9190-AED0E8D2AA01}"/>
    <hyperlink ref="J219" r:id="rId19" xr:uid="{911BB6D7-B5B4-4665-8C65-664FCA8E40F5}"/>
    <hyperlink ref="J291" r:id="rId20" xr:uid="{E9BE0EF5-8A8A-4381-8C3C-F8946B9BE509}"/>
    <hyperlink ref="J295:J296" r:id="rId21" display="Val.Almeida" xr:uid="{8C1C4BF8-F41C-4800-B10A-21521D337FF6}"/>
    <hyperlink ref="J300" r:id="rId22" xr:uid="{70F2BF50-6A64-4CF4-9F4B-10CCEB47E37B}"/>
    <hyperlink ref="J304" r:id="rId23" xr:uid="{813CB879-0423-4EE4-A07A-B01C81B0F3CB}"/>
    <hyperlink ref="J307" r:id="rId24" xr:uid="{5B0C8782-E38A-4903-A2A4-3C1C6E60799D}"/>
    <hyperlink ref="J312:J314" r:id="rId25" display="Val.Almeida" xr:uid="{92A5F0A5-897B-424A-AFBD-ED114331116C}"/>
    <hyperlink ref="J394:J398" r:id="rId26" display="Val.Almeida" xr:uid="{54342E6A-EFF9-4DF0-83D3-80D871F2B29F}"/>
    <hyperlink ref="J403" r:id="rId27" xr:uid="{DE1BDD02-46A5-43A1-AE6D-B26E6EE9FE58}"/>
    <hyperlink ref="J415" r:id="rId28" xr:uid="{5E72BBB7-93F7-46BC-9931-EA9F2FE7AF5C}"/>
    <hyperlink ref="J430" r:id="rId29" xr:uid="{69AE28EA-5112-447F-86E7-9EE3268061C2}"/>
    <hyperlink ref="J462:J465" r:id="rId30" display="Val.Almeida" xr:uid="{7C577E52-1645-4097-A4B1-7803AB9F67F3}"/>
    <hyperlink ref="J892:J898" r:id="rId31" display="Val.Almeida" xr:uid="{14E0B238-EC18-4A6A-AD55-819FDEE83CFD}"/>
    <hyperlink ref="J85:J88" r:id="rId32" display="Val.Colorfix" xr:uid="{356D8FDA-B2B2-4C1D-9214-3B35ADC46627}"/>
    <hyperlink ref="J96:J97" r:id="rId33" display="Val.Colorfix" xr:uid="{6FF39D9F-17B2-45E7-833B-273BD5E09B40}"/>
    <hyperlink ref="J356" r:id="rId34" xr:uid="{3CA79523-AEBF-434F-83EF-811F20345BC4}"/>
    <hyperlink ref="J358" r:id="rId35" xr:uid="{1BF9FB12-BE37-436C-9138-5A97AFE9FA07}"/>
    <hyperlink ref="J364" r:id="rId36" xr:uid="{6C8BD300-740A-4188-B58D-71F60A12F059}"/>
    <hyperlink ref="J58" r:id="rId37" xr:uid="{5F94BFD4-642C-4E0B-A886-03869B78E3B9}"/>
    <hyperlink ref="J102" r:id="rId38" xr:uid="{09696DAB-331C-426B-B90F-6A7EFDB49D2B}"/>
    <hyperlink ref="J104:J106" r:id="rId39" display="Val.Imprime" xr:uid="{69C41396-D0D5-404E-A52E-B74E6B0241DE}"/>
    <hyperlink ref="J114:J121" r:id="rId40" display="Val.Imprime" xr:uid="{E6EA60F2-AB3F-4065-B1AF-4B613ADDF5EF}"/>
    <hyperlink ref="J140" r:id="rId41" xr:uid="{D0091BC8-6F7D-421A-9E5A-A74292C4DE76}"/>
    <hyperlink ref="J147" r:id="rId42" xr:uid="{BF758F05-3F58-4A36-A80D-6B4731F9E361}"/>
    <hyperlink ref="J152" r:id="rId43" xr:uid="{BAFA68D8-F5A3-4E0A-82D3-F3B02A41B39C}"/>
    <hyperlink ref="J217" r:id="rId44" xr:uid="{C8D9E38B-4E37-4282-B7E6-97C5C1503421}"/>
    <hyperlink ref="J259" r:id="rId45" xr:uid="{571C5921-1C69-47C8-AEA7-CD3FBAC763E4}"/>
    <hyperlink ref="J385" r:id="rId46" xr:uid="{6CB4825C-B0DE-4B08-B17C-C6A6FD79C4D1}"/>
    <hyperlink ref="J409" r:id="rId47" xr:uid="{D6B2B01A-6686-44C6-8CBE-70FAAD693D14}"/>
    <hyperlink ref="J429" r:id="rId48" xr:uid="{18898377-662A-4C74-B830-B72D1AECA2BD}"/>
    <hyperlink ref="J439:J442" r:id="rId49" display="Val.Imprime" xr:uid="{38474BA2-64A1-42C8-B534-EE6B6FFC84E8}"/>
    <hyperlink ref="J469:J470" r:id="rId50" display="Val.Imprime" xr:uid="{E0A792E5-7CE2-4C19-9758-6CBAFF5AABF9}"/>
    <hyperlink ref="J478:J480" r:id="rId51" display="Val.Imprime" xr:uid="{D5098B1A-223F-4860-913C-B43AF0F377CF}"/>
    <hyperlink ref="J500" r:id="rId52" xr:uid="{7801A4E2-D638-4A36-8C1C-7BBAD747664F}"/>
    <hyperlink ref="J3:J6" r:id="rId53" display="Val.Indusbello" xr:uid="{59F22A68-AA5C-42AE-9AB5-4FAA72CFBA78}"/>
    <hyperlink ref="J11:J12" r:id="rId54" display="Val.Indusbello" xr:uid="{8E604E45-DFD6-47B8-9634-D9F6601524C8}"/>
    <hyperlink ref="J22:J23" r:id="rId55" display="Val.Indusbello" xr:uid="{43667DC0-A1AA-456E-934E-0626DB212CB3}"/>
    <hyperlink ref="J92" r:id="rId56" xr:uid="{E2DF00A0-CF00-4815-A46E-145539546BEF}"/>
    <hyperlink ref="J94" r:id="rId57" xr:uid="{A1D39E46-8579-4F66-B6A8-A8FB813D8283}"/>
    <hyperlink ref="J107:J110" r:id="rId58" display="Val.Indusbello" xr:uid="{29A9ADE5-DA08-4847-9D4C-412A5E69E3BD}"/>
    <hyperlink ref="J122:J124" r:id="rId59" display="Val.Indusbello" xr:uid="{8D029770-FD22-476B-9517-A3B7F791AB17}"/>
    <hyperlink ref="J130:J131" r:id="rId60" display="Val.Indusbello" xr:uid="{F45981B4-492C-40C5-BCFE-364EE01DC0C8}"/>
    <hyperlink ref="J133:J136" r:id="rId61" display="Val.Indusbello" xr:uid="{D3148F08-9980-4B7E-9EE6-0CF3124AB049}"/>
    <hyperlink ref="J138" r:id="rId62" xr:uid="{7107BCD5-13AA-4365-B1A3-15413CEE4FC9}"/>
    <hyperlink ref="J164" r:id="rId63" xr:uid="{32DAADB7-0648-4B2E-9983-8B9D94582F1D}"/>
    <hyperlink ref="J170" r:id="rId64" xr:uid="{ADF93130-F117-430D-B8A8-DDA5D66B5860}"/>
    <hyperlink ref="J220:J221" r:id="rId65" display="Val.Indusbello" xr:uid="{5822FD06-940B-46C1-9C15-AB4A3532D7D9}"/>
    <hyperlink ref="J250:J256" r:id="rId66" display="Val.Indusbello" xr:uid="{3D0242A1-D5F3-41CE-895F-D0AB58FC93FA}"/>
    <hyperlink ref="J290" r:id="rId67" xr:uid="{34D62D0B-DFA3-443C-84EF-73B7EB0969DE}"/>
    <hyperlink ref="J292:J294" r:id="rId68" display="Val.Indusbello" xr:uid="{9F5B03C4-9B47-46C1-A28F-D2AF94314ED1}"/>
    <hyperlink ref="J297:J299" r:id="rId69" display="Val.Indusbello" xr:uid="{F0342482-A518-438C-BDBD-BC5E412C1FDE}"/>
    <hyperlink ref="J301:J303" r:id="rId70" display="Val.Indusbello" xr:uid="{65CEF258-20BC-44EF-8293-878B761A1D2F}"/>
    <hyperlink ref="J318" r:id="rId71" xr:uid="{3DEFDAD2-C7A6-469F-A86D-3653ACBF87CE}"/>
    <hyperlink ref="J408" r:id="rId72" xr:uid="{619A42B7-CA9E-44E5-A6A9-23B23F2B0259}"/>
    <hyperlink ref="J414" r:id="rId73" xr:uid="{7F92102D-1851-4B79-A2C9-FF45B341F8C9}"/>
    <hyperlink ref="J562" r:id="rId74" xr:uid="{29B8E881-B50A-4F47-BC18-7EEF5CD28ECF}"/>
    <hyperlink ref="J628" r:id="rId75" xr:uid="{E0A320A4-631D-412D-B918-6177792A7DC0}"/>
    <hyperlink ref="J728:J730" r:id="rId76" display="Val.Indusbello" xr:uid="{8181BA66-9EF4-47AA-B135-744106760C58}"/>
    <hyperlink ref="J732" r:id="rId77" xr:uid="{0342AEAF-E983-44C7-806A-129123F314DB}"/>
    <hyperlink ref="J749" r:id="rId78" xr:uid="{01F47BB8-7FC8-4823-9804-F9415D8A1EAF}"/>
    <hyperlink ref="J756:J757" r:id="rId79" display="Val.Indusbello" xr:uid="{EB63EEF6-EEBD-4C85-9373-CBCA6668EE04}"/>
    <hyperlink ref="J805:J806" r:id="rId80" display="Val.Indusbello" xr:uid="{30739825-555D-42B8-BD8C-CBBC59F0B7D3}"/>
    <hyperlink ref="J823" r:id="rId81" xr:uid="{C9F0241C-7851-4EF1-859B-7845BA50E3B4}"/>
    <hyperlink ref="J854:J855" r:id="rId82" display="Val.Indusbello" xr:uid="{78AC2494-3CBE-4E3A-9069-5D0C15BBD330}"/>
    <hyperlink ref="J864" r:id="rId83" xr:uid="{CE490C3C-6957-4DBF-BBF8-C282793509AE}"/>
    <hyperlink ref="J899:J905" r:id="rId84" display="Val.Indusbello" xr:uid="{51F57754-176F-4AF2-ADDC-F25B38B0CAC1}"/>
    <hyperlink ref="J909:J912" r:id="rId85" display="Val.Indusbello" xr:uid="{FC1B3AC8-CCAB-490D-BC40-96AC6F802D60}"/>
    <hyperlink ref="J939:J942" r:id="rId86" display="Val.Indusbello" xr:uid="{0FB76769-1DCE-48AC-BC4B-BC6098F7328B}"/>
    <hyperlink ref="J944" r:id="rId87" xr:uid="{FB06413B-61B5-4331-92B3-B516587AB961}"/>
    <hyperlink ref="J960:J964" r:id="rId88" display="Val.Indusbello" xr:uid="{BBD78BA0-CC1C-4577-AF1A-51878F853A26}"/>
    <hyperlink ref="J980:J982" r:id="rId89" display="Val.Indusbello" xr:uid="{4A7540B8-1C95-4475-A9E3-CA455A9BD85A}"/>
    <hyperlink ref="J987:J988" r:id="rId90" display="Val.Indusbello" xr:uid="{D878A1F9-175B-471E-83B0-CAABD00D046B}"/>
    <hyperlink ref="J477" r:id="rId91" xr:uid="{87752676-C0EB-4D77-9E3E-E8BCD797CB32}"/>
    <hyperlink ref="J436" r:id="rId92" xr:uid="{ADE56948-DDB7-4284-A5E9-A440384BB2BA}"/>
    <hyperlink ref="J593" r:id="rId93" xr:uid="{010F9970-FFC3-480E-8E51-751C8A6082E0}"/>
    <hyperlink ref="J531:J532" r:id="rId94" display="Val.Imprime" xr:uid="{40C0DBA6-4C68-4B8E-9E34-E74B0A26700E}"/>
    <hyperlink ref="J534:J535" r:id="rId95" display="Val.Imprime" xr:uid="{C2A76A40-41E9-4AAB-8804-B3F9B5E3F766}"/>
    <hyperlink ref="J540" r:id="rId96" xr:uid="{3440C329-F326-4B42-A2D4-A97669DD2053}"/>
    <hyperlink ref="J566" r:id="rId97" xr:uid="{6BE3F3BD-0070-41F4-B3D8-C9EA66FDA2FB}"/>
    <hyperlink ref="J688" r:id="rId98" xr:uid="{323D94FE-3261-4A36-B555-07F43215EB62}"/>
    <hyperlink ref="J741" r:id="rId99" xr:uid="{7D64FB1D-6802-4474-957D-6308AC8E1624}"/>
    <hyperlink ref="J755" r:id="rId100" xr:uid="{206B0731-1460-4C0A-82FF-C2A15EFE2B29}"/>
    <hyperlink ref="J795" r:id="rId101" xr:uid="{46C4291B-AB28-4707-9309-BB9DEDDB08D5}"/>
    <hyperlink ref="J800" r:id="rId102" xr:uid="{414F9E51-8122-4B5F-909A-B949801DDD92}"/>
    <hyperlink ref="J820" r:id="rId103" xr:uid="{D15096F6-CB57-460C-8256-40D5D920EB53}"/>
    <hyperlink ref="J859" r:id="rId104" xr:uid="{F5386789-349F-4439-A9E1-52871111A492}"/>
    <hyperlink ref="J874" r:id="rId105" xr:uid="{4265EBEC-E88C-4600-AEA6-CD1C3A1DB758}"/>
    <hyperlink ref="J913" r:id="rId106" xr:uid="{58B14859-6903-44BF-85AE-532C3C6442BA}"/>
    <hyperlink ref="J929" r:id="rId107" xr:uid="{7F8167D5-78A2-4C35-93F8-5567533B6226}"/>
    <hyperlink ref="J997" r:id="rId108" xr:uid="{C9F9267A-3A87-4F3D-918E-2083E95D5A7E}"/>
    <hyperlink ref="J970" r:id="rId109" xr:uid="{C8ED8614-7D37-4E3B-A75E-276BB9CEE03D}"/>
    <hyperlink ref="J976" r:id="rId110" xr:uid="{62906C3C-AFDD-401E-9A74-D4A6F19F0232}"/>
    <hyperlink ref="J692" r:id="rId111" xr:uid="{57520D97-8B28-43A1-87D7-84FC669960C9}"/>
    <hyperlink ref="J693" r:id="rId112" xr:uid="{6A7F15BF-3009-44B6-8031-E9336BA01FCE}"/>
    <hyperlink ref="J747:J748" r:id="rId113" display="Val.Stephen" xr:uid="{F3E7AC4F-D27D-4EEB-8E71-8C43004A0108}"/>
    <hyperlink ref="J811:J812" r:id="rId114" display="Val.Stephen" xr:uid="{C6086EAE-B14A-4693-AB33-9170310E837A}"/>
    <hyperlink ref="J814:J815" r:id="rId115" display="Val.Stephen" xr:uid="{0DF5BC53-8D09-46E4-ADC1-F99C4F5BE518}"/>
    <hyperlink ref="J1063" r:id="rId116" xr:uid="{7DD97EE3-21F2-4331-91F3-DF534B2200BF}"/>
    <hyperlink ref="J1064" r:id="rId117" xr:uid="{31800E74-7BE2-4700-AA82-EBFAC33A34C3}"/>
    <hyperlink ref="J1065" r:id="rId118" xr:uid="{E12FE741-DF28-4C20-93E6-19076C23F988}"/>
    <hyperlink ref="J1066" r:id="rId119" xr:uid="{856361F6-02CE-4946-A517-9E3D51076671}"/>
    <hyperlink ref="J1067" r:id="rId120" xr:uid="{837BC5AC-566B-4624-AFC6-E003720DD3AE}"/>
  </hyperlinks>
  <pageMargins left="0.511811024" right="0.511811024" top="0.78740157499999996" bottom="0.78740157499999996" header="0.31496062000000002" footer="0.31496062000000002"/>
  <pageSetup orientation="portrait" horizontalDpi="200" verticalDpi="200" r:id="rId12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D10F01-E338-49F4-AEF0-F9ACA28B95A1}">
          <x14:formula1>
            <xm:f>Dispodaten2!$G$17:$G$19</xm:f>
          </x14:formula1>
          <xm:sqref>L2:L1067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80DFB-070B-4464-951B-B92CE0D79BCE}">
  <dimension ref="A1:N1541"/>
  <sheetViews>
    <sheetView showGridLines="0" zoomScale="80" zoomScaleNormal="80" workbookViewId="0">
      <pane ySplit="1" topLeftCell="A614" activePane="bottomLeft" state="frozen"/>
      <selection pane="bottomLeft" activeCell="C1541" sqref="C1541"/>
    </sheetView>
  </sheetViews>
  <sheetFormatPr defaultRowHeight="15" x14ac:dyDescent="0.25"/>
  <cols>
    <col min="1" max="1" width="17.28515625" style="72" customWidth="1"/>
    <col min="2" max="2" width="19.28515625" style="85" customWidth="1"/>
    <col min="3" max="3" width="51.140625" style="72" customWidth="1"/>
    <col min="4" max="4" width="32.42578125" style="72" customWidth="1"/>
    <col min="5" max="5" width="14.7109375" style="72" customWidth="1"/>
    <col min="6" max="7" width="13.140625" style="72" bestFit="1" customWidth="1"/>
    <col min="8" max="8" width="21.140625" style="72" customWidth="1"/>
    <col min="9" max="9" width="33.140625" style="72" bestFit="1" customWidth="1"/>
    <col min="10" max="10" width="25.28515625" style="72" bestFit="1" customWidth="1"/>
    <col min="11" max="11" width="19.42578125" style="72" customWidth="1"/>
    <col min="12" max="12" width="16.140625" style="72" bestFit="1" customWidth="1"/>
    <col min="13" max="13" width="22.140625" style="72" bestFit="1" customWidth="1"/>
    <col min="14" max="16384" width="9.140625" style="72"/>
  </cols>
  <sheetData>
    <row r="1" spans="1:13" s="68" customFormat="1" ht="30" x14ac:dyDescent="0.2">
      <c r="A1" s="65" t="s">
        <v>1972</v>
      </c>
      <c r="B1" s="66" t="s">
        <v>2376</v>
      </c>
      <c r="C1" s="65" t="s">
        <v>2377</v>
      </c>
      <c r="D1" s="65" t="s">
        <v>2378</v>
      </c>
      <c r="E1" s="65" t="s">
        <v>2379</v>
      </c>
      <c r="F1" s="65" t="s">
        <v>2380</v>
      </c>
      <c r="G1" s="65" t="s">
        <v>2381</v>
      </c>
      <c r="H1" s="67" t="s">
        <v>2384</v>
      </c>
      <c r="I1" s="65" t="s">
        <v>2382</v>
      </c>
      <c r="J1" s="65" t="s">
        <v>2383</v>
      </c>
      <c r="K1" s="65" t="s">
        <v>2555</v>
      </c>
      <c r="L1" s="67" t="s">
        <v>3001</v>
      </c>
      <c r="M1" s="65" t="s">
        <v>3002</v>
      </c>
    </row>
    <row r="2" spans="1:13" x14ac:dyDescent="0.25">
      <c r="A2" s="69" t="s">
        <v>2385</v>
      </c>
      <c r="B2" s="70" t="s">
        <v>3003</v>
      </c>
      <c r="C2" s="69" t="s">
        <v>2386</v>
      </c>
      <c r="D2" s="71" t="s">
        <v>2961</v>
      </c>
      <c r="E2" s="69" t="s">
        <v>2388</v>
      </c>
      <c r="F2" s="69">
        <v>60</v>
      </c>
      <c r="G2" s="69">
        <v>30</v>
      </c>
      <c r="H2" s="69" t="s">
        <v>2391</v>
      </c>
      <c r="I2" s="69" t="s">
        <v>2389</v>
      </c>
      <c r="J2" s="69" t="s">
        <v>2390</v>
      </c>
      <c r="K2" s="69"/>
      <c r="L2" s="72" t="s">
        <v>2387</v>
      </c>
      <c r="M2" s="72" t="b">
        <f t="shared" ref="M2:M65" si="0">L2=D2</f>
        <v>0</v>
      </c>
    </row>
    <row r="3" spans="1:13" x14ac:dyDescent="0.25">
      <c r="A3" s="69" t="s">
        <v>2211</v>
      </c>
      <c r="B3" s="70"/>
      <c r="C3" s="69"/>
      <c r="D3" s="71" t="s">
        <v>2392</v>
      </c>
      <c r="E3" s="69" t="s">
        <v>2393</v>
      </c>
      <c r="F3" s="69">
        <v>0</v>
      </c>
      <c r="G3" s="69">
        <v>0</v>
      </c>
      <c r="H3" s="69" t="s">
        <v>2395</v>
      </c>
      <c r="I3" s="69" t="s">
        <v>2394</v>
      </c>
      <c r="J3" s="69" t="s">
        <v>2394</v>
      </c>
      <c r="K3" s="69" t="s">
        <v>3004</v>
      </c>
      <c r="L3" s="72" t="s">
        <v>2392</v>
      </c>
      <c r="M3" s="72" t="b">
        <f t="shared" si="0"/>
        <v>1</v>
      </c>
    </row>
    <row r="4" spans="1:13" x14ac:dyDescent="0.25">
      <c r="A4" s="69" t="s">
        <v>2270</v>
      </c>
      <c r="B4" s="70"/>
      <c r="C4" s="69"/>
      <c r="D4" s="71" t="s">
        <v>2392</v>
      </c>
      <c r="E4" s="69" t="s">
        <v>2393</v>
      </c>
      <c r="F4" s="69">
        <v>0</v>
      </c>
      <c r="G4" s="69">
        <v>0</v>
      </c>
      <c r="H4" s="69" t="s">
        <v>2395</v>
      </c>
      <c r="I4" s="69" t="s">
        <v>2394</v>
      </c>
      <c r="J4" s="69" t="s">
        <v>2394</v>
      </c>
      <c r="K4" s="69" t="s">
        <v>3005</v>
      </c>
      <c r="L4" s="72" t="s">
        <v>2392</v>
      </c>
      <c r="M4" s="72" t="b">
        <f t="shared" si="0"/>
        <v>1</v>
      </c>
    </row>
    <row r="5" spans="1:13" x14ac:dyDescent="0.25">
      <c r="A5" s="69" t="s">
        <v>1174</v>
      </c>
      <c r="B5" s="70">
        <v>40004588</v>
      </c>
      <c r="C5" s="69" t="s">
        <v>2396</v>
      </c>
      <c r="D5" s="71" t="s">
        <v>2392</v>
      </c>
      <c r="E5" s="69" t="s">
        <v>2393</v>
      </c>
      <c r="F5" s="69">
        <v>30</v>
      </c>
      <c r="G5" s="69">
        <v>900</v>
      </c>
      <c r="H5" s="69" t="s">
        <v>2399</v>
      </c>
      <c r="I5" s="69" t="s">
        <v>2397</v>
      </c>
      <c r="J5" s="69" t="s">
        <v>2398</v>
      </c>
      <c r="K5" s="69"/>
      <c r="L5" s="72" t="s">
        <v>2392</v>
      </c>
      <c r="M5" s="72" t="b">
        <f t="shared" si="0"/>
        <v>1</v>
      </c>
    </row>
    <row r="6" spans="1:13" x14ac:dyDescent="0.25">
      <c r="A6" s="69" t="s">
        <v>1174</v>
      </c>
      <c r="B6" s="70">
        <v>40004587</v>
      </c>
      <c r="C6" s="69" t="s">
        <v>963</v>
      </c>
      <c r="D6" s="71" t="s">
        <v>2392</v>
      </c>
      <c r="E6" s="69" t="s">
        <v>2393</v>
      </c>
      <c r="F6" s="69">
        <v>30</v>
      </c>
      <c r="G6" s="69">
        <v>900</v>
      </c>
      <c r="H6" s="69" t="s">
        <v>2399</v>
      </c>
      <c r="I6" s="69" t="s">
        <v>2397</v>
      </c>
      <c r="J6" s="69" t="s">
        <v>2398</v>
      </c>
      <c r="K6" s="69"/>
      <c r="L6" s="72" t="s">
        <v>2392</v>
      </c>
      <c r="M6" s="72" t="b">
        <f t="shared" si="0"/>
        <v>1</v>
      </c>
    </row>
    <row r="7" spans="1:13" x14ac:dyDescent="0.25">
      <c r="A7" s="69" t="s">
        <v>1178</v>
      </c>
      <c r="B7" s="70">
        <v>40004588</v>
      </c>
      <c r="C7" s="69" t="s">
        <v>2396</v>
      </c>
      <c r="D7" s="71" t="s">
        <v>2392</v>
      </c>
      <c r="E7" s="69" t="s">
        <v>2393</v>
      </c>
      <c r="F7" s="69">
        <v>30</v>
      </c>
      <c r="G7" s="69">
        <v>900</v>
      </c>
      <c r="H7" s="69" t="s">
        <v>2399</v>
      </c>
      <c r="I7" s="69" t="s">
        <v>2397</v>
      </c>
      <c r="J7" s="69" t="s">
        <v>2398</v>
      </c>
      <c r="K7" s="69"/>
      <c r="L7" s="72" t="s">
        <v>2392</v>
      </c>
      <c r="M7" s="72" t="b">
        <f t="shared" si="0"/>
        <v>1</v>
      </c>
    </row>
    <row r="8" spans="1:13" x14ac:dyDescent="0.25">
      <c r="A8" s="69" t="s">
        <v>1394</v>
      </c>
      <c r="B8" s="70">
        <v>44002381</v>
      </c>
      <c r="C8" s="69" t="s">
        <v>1189</v>
      </c>
      <c r="D8" s="71" t="s">
        <v>2387</v>
      </c>
      <c r="E8" s="69" t="s">
        <v>2388</v>
      </c>
      <c r="F8" s="69">
        <v>30</v>
      </c>
      <c r="G8" s="69">
        <v>120</v>
      </c>
      <c r="H8" s="69" t="s">
        <v>2399</v>
      </c>
      <c r="I8" s="69" t="s">
        <v>2400</v>
      </c>
      <c r="J8" s="69" t="s">
        <v>2401</v>
      </c>
      <c r="K8" s="69"/>
      <c r="L8" s="72" t="s">
        <v>2387</v>
      </c>
      <c r="M8" s="72" t="b">
        <f t="shared" si="0"/>
        <v>1</v>
      </c>
    </row>
    <row r="9" spans="1:13" x14ac:dyDescent="0.25">
      <c r="A9" s="69" t="s">
        <v>1391</v>
      </c>
      <c r="B9" s="70">
        <v>44002381</v>
      </c>
      <c r="C9" s="69" t="s">
        <v>1189</v>
      </c>
      <c r="D9" s="71" t="s">
        <v>2387</v>
      </c>
      <c r="E9" s="69" t="s">
        <v>2388</v>
      </c>
      <c r="F9" s="69">
        <v>30</v>
      </c>
      <c r="G9" s="69">
        <v>120</v>
      </c>
      <c r="H9" s="69" t="s">
        <v>2399</v>
      </c>
      <c r="I9" s="69" t="s">
        <v>2400</v>
      </c>
      <c r="J9" s="69" t="s">
        <v>2401</v>
      </c>
      <c r="K9" s="69"/>
      <c r="L9" s="72" t="s">
        <v>2387</v>
      </c>
      <c r="M9" s="72" t="b">
        <f t="shared" si="0"/>
        <v>1</v>
      </c>
    </row>
    <row r="10" spans="1:13" x14ac:dyDescent="0.25">
      <c r="A10" s="69" t="s">
        <v>1294</v>
      </c>
      <c r="B10" s="70">
        <v>44002356</v>
      </c>
      <c r="C10" s="69" t="s">
        <v>2402</v>
      </c>
      <c r="D10" s="71" t="s">
        <v>2392</v>
      </c>
      <c r="E10" s="69" t="s">
        <v>2388</v>
      </c>
      <c r="F10" s="69">
        <v>30</v>
      </c>
      <c r="G10" s="69">
        <v>900</v>
      </c>
      <c r="H10" s="69" t="s">
        <v>2399</v>
      </c>
      <c r="I10" s="69" t="s">
        <v>2403</v>
      </c>
      <c r="J10" s="69" t="s">
        <v>2398</v>
      </c>
      <c r="K10" s="69"/>
      <c r="L10" s="72" t="s">
        <v>2392</v>
      </c>
      <c r="M10" s="72" t="b">
        <f t="shared" si="0"/>
        <v>1</v>
      </c>
    </row>
    <row r="11" spans="1:13" x14ac:dyDescent="0.25">
      <c r="A11" s="69" t="s">
        <v>1288</v>
      </c>
      <c r="B11" s="70">
        <v>44002356</v>
      </c>
      <c r="C11" s="69" t="s">
        <v>2402</v>
      </c>
      <c r="D11" s="71" t="s">
        <v>2392</v>
      </c>
      <c r="E11" s="69" t="s">
        <v>2388</v>
      </c>
      <c r="F11" s="69">
        <v>30</v>
      </c>
      <c r="G11" s="69">
        <v>900</v>
      </c>
      <c r="H11" s="69" t="s">
        <v>2399</v>
      </c>
      <c r="I11" s="69" t="s">
        <v>2403</v>
      </c>
      <c r="J11" s="69" t="s">
        <v>2398</v>
      </c>
      <c r="K11" s="69" t="s">
        <v>3006</v>
      </c>
      <c r="L11" s="72" t="s">
        <v>2392</v>
      </c>
      <c r="M11" s="72" t="b">
        <f t="shared" si="0"/>
        <v>1</v>
      </c>
    </row>
    <row r="12" spans="1:13" x14ac:dyDescent="0.25">
      <c r="A12" s="73" t="s">
        <v>1294</v>
      </c>
      <c r="B12" s="70">
        <v>44006500</v>
      </c>
      <c r="C12" s="69" t="s">
        <v>1279</v>
      </c>
      <c r="D12" s="71" t="s">
        <v>2392</v>
      </c>
      <c r="E12" s="69" t="s">
        <v>2388</v>
      </c>
      <c r="F12" s="69">
        <v>30</v>
      </c>
      <c r="G12" s="69">
        <v>900</v>
      </c>
      <c r="H12" s="69" t="s">
        <v>2399</v>
      </c>
      <c r="I12" s="69" t="s">
        <v>2403</v>
      </c>
      <c r="J12" s="69" t="s">
        <v>2398</v>
      </c>
      <c r="K12" s="69"/>
      <c r="L12" s="72" t="s">
        <v>2392</v>
      </c>
      <c r="M12" s="72" t="b">
        <f t="shared" si="0"/>
        <v>1</v>
      </c>
    </row>
    <row r="13" spans="1:13" x14ac:dyDescent="0.25">
      <c r="A13" s="69" t="s">
        <v>392</v>
      </c>
      <c r="B13" s="70">
        <v>44005666</v>
      </c>
      <c r="C13" s="69" t="s">
        <v>2404</v>
      </c>
      <c r="D13" s="71" t="s">
        <v>2961</v>
      </c>
      <c r="E13" s="69" t="s">
        <v>2388</v>
      </c>
      <c r="F13" s="69">
        <v>15</v>
      </c>
      <c r="G13" s="69">
        <v>90</v>
      </c>
      <c r="H13" s="69" t="s">
        <v>2399</v>
      </c>
      <c r="I13" s="69" t="s">
        <v>2405</v>
      </c>
      <c r="J13" s="69" t="s">
        <v>2406</v>
      </c>
      <c r="K13" s="69"/>
      <c r="L13" s="72" t="s">
        <v>2387</v>
      </c>
      <c r="M13" s="72" t="b">
        <f t="shared" si="0"/>
        <v>0</v>
      </c>
    </row>
    <row r="14" spans="1:13" x14ac:dyDescent="0.25">
      <c r="A14" s="69" t="s">
        <v>1908</v>
      </c>
      <c r="B14" s="70">
        <v>44006329</v>
      </c>
      <c r="C14" s="69" t="s">
        <v>1910</v>
      </c>
      <c r="D14" s="71" t="s">
        <v>2387</v>
      </c>
      <c r="E14" s="69" t="s">
        <v>2388</v>
      </c>
      <c r="F14" s="69">
        <v>30</v>
      </c>
      <c r="G14" s="69"/>
      <c r="H14" s="69" t="s">
        <v>2391</v>
      </c>
      <c r="I14" s="69" t="s">
        <v>2407</v>
      </c>
      <c r="J14" s="69" t="s">
        <v>2408</v>
      </c>
      <c r="K14" s="69"/>
      <c r="L14" s="72" t="s">
        <v>2392</v>
      </c>
      <c r="M14" s="72" t="b">
        <f t="shared" si="0"/>
        <v>0</v>
      </c>
    </row>
    <row r="15" spans="1:13" x14ac:dyDescent="0.25">
      <c r="A15" s="69" t="s">
        <v>1965</v>
      </c>
      <c r="B15" s="70">
        <v>44006329</v>
      </c>
      <c r="C15" s="69" t="s">
        <v>1910</v>
      </c>
      <c r="D15" s="71" t="s">
        <v>2387</v>
      </c>
      <c r="E15" s="69" t="s">
        <v>2388</v>
      </c>
      <c r="F15" s="69">
        <v>30</v>
      </c>
      <c r="G15" s="69"/>
      <c r="H15" s="69" t="s">
        <v>2391</v>
      </c>
      <c r="I15" s="69" t="s">
        <v>2407</v>
      </c>
      <c r="J15" s="69" t="s">
        <v>2408</v>
      </c>
      <c r="K15" s="69"/>
      <c r="L15" s="72" t="s">
        <v>2392</v>
      </c>
      <c r="M15" s="72" t="b">
        <f t="shared" si="0"/>
        <v>0</v>
      </c>
    </row>
    <row r="16" spans="1:13" x14ac:dyDescent="0.25">
      <c r="A16" s="69" t="s">
        <v>2333</v>
      </c>
      <c r="B16" s="70">
        <v>44003250</v>
      </c>
      <c r="C16" s="69" t="s">
        <v>2409</v>
      </c>
      <c r="D16" s="71" t="s">
        <v>2387</v>
      </c>
      <c r="E16" s="69" t="s">
        <v>2388</v>
      </c>
      <c r="F16" s="69">
        <v>30</v>
      </c>
      <c r="G16" s="69">
        <v>60</v>
      </c>
      <c r="H16" s="69" t="s">
        <v>2412</v>
      </c>
      <c r="I16" s="69" t="s">
        <v>2410</v>
      </c>
      <c r="J16" s="69" t="s">
        <v>2411</v>
      </c>
      <c r="K16" s="69" t="s">
        <v>3007</v>
      </c>
      <c r="L16" s="72" t="s">
        <v>2387</v>
      </c>
      <c r="M16" s="72" t="b">
        <f t="shared" si="0"/>
        <v>1</v>
      </c>
    </row>
    <row r="17" spans="1:13" x14ac:dyDescent="0.25">
      <c r="A17" s="69" t="s">
        <v>2413</v>
      </c>
      <c r="B17" s="70">
        <v>44003250</v>
      </c>
      <c r="C17" s="69" t="s">
        <v>2409</v>
      </c>
      <c r="D17" s="71" t="s">
        <v>2387</v>
      </c>
      <c r="E17" s="69" t="s">
        <v>2388</v>
      </c>
      <c r="F17" s="69">
        <v>30</v>
      </c>
      <c r="G17" s="69">
        <v>0</v>
      </c>
      <c r="H17" s="69" t="s">
        <v>2412</v>
      </c>
      <c r="I17" s="69" t="s">
        <v>2410</v>
      </c>
      <c r="J17" s="69"/>
      <c r="K17" s="69" t="s">
        <v>3008</v>
      </c>
      <c r="L17" s="72" t="s">
        <v>2387</v>
      </c>
      <c r="M17" s="72" t="b">
        <f t="shared" si="0"/>
        <v>1</v>
      </c>
    </row>
    <row r="18" spans="1:13" x14ac:dyDescent="0.25">
      <c r="A18" s="69" t="s">
        <v>2003</v>
      </c>
      <c r="B18" s="70">
        <v>44003250</v>
      </c>
      <c r="C18" s="69" t="s">
        <v>2409</v>
      </c>
      <c r="D18" s="71" t="s">
        <v>2387</v>
      </c>
      <c r="E18" s="69" t="s">
        <v>2388</v>
      </c>
      <c r="F18" s="69"/>
      <c r="G18" s="69">
        <v>0</v>
      </c>
      <c r="H18" s="69" t="s">
        <v>2412</v>
      </c>
      <c r="I18" s="69" t="s">
        <v>2410</v>
      </c>
      <c r="J18" s="69" t="s">
        <v>2408</v>
      </c>
      <c r="K18" s="69" t="s">
        <v>3009</v>
      </c>
      <c r="L18" s="72" t="s">
        <v>2387</v>
      </c>
      <c r="M18" s="72" t="b">
        <f t="shared" si="0"/>
        <v>1</v>
      </c>
    </row>
    <row r="19" spans="1:13" x14ac:dyDescent="0.25">
      <c r="A19" s="69" t="s">
        <v>1084</v>
      </c>
      <c r="B19" s="70">
        <v>44000002</v>
      </c>
      <c r="C19" s="69" t="s">
        <v>1030</v>
      </c>
      <c r="D19" s="71" t="s">
        <v>2961</v>
      </c>
      <c r="E19" s="69" t="s">
        <v>2388</v>
      </c>
      <c r="F19" s="69">
        <v>30</v>
      </c>
      <c r="G19" s="69">
        <v>45</v>
      </c>
      <c r="H19" s="69" t="s">
        <v>2399</v>
      </c>
      <c r="I19" s="69" t="s">
        <v>2414</v>
      </c>
      <c r="J19" s="69" t="s">
        <v>2415</v>
      </c>
      <c r="K19" s="69"/>
      <c r="L19" s="72" t="s">
        <v>2387</v>
      </c>
      <c r="M19" s="72" t="b">
        <f t="shared" si="0"/>
        <v>0</v>
      </c>
    </row>
    <row r="20" spans="1:13" x14ac:dyDescent="0.25">
      <c r="A20" s="69" t="s">
        <v>1082</v>
      </c>
      <c r="B20" s="70">
        <v>44000002</v>
      </c>
      <c r="C20" s="69" t="s">
        <v>1030</v>
      </c>
      <c r="D20" s="71" t="s">
        <v>2961</v>
      </c>
      <c r="E20" s="69" t="s">
        <v>2388</v>
      </c>
      <c r="F20" s="69">
        <v>30</v>
      </c>
      <c r="G20" s="69">
        <v>45</v>
      </c>
      <c r="H20" s="69" t="s">
        <v>2399</v>
      </c>
      <c r="I20" s="69" t="s">
        <v>2414</v>
      </c>
      <c r="J20" s="69" t="s">
        <v>2415</v>
      </c>
      <c r="K20" s="69"/>
      <c r="L20" s="72" t="s">
        <v>2387</v>
      </c>
      <c r="M20" s="72" t="b">
        <f t="shared" si="0"/>
        <v>0</v>
      </c>
    </row>
    <row r="21" spans="1:13" x14ac:dyDescent="0.25">
      <c r="A21" s="69" t="s">
        <v>1080</v>
      </c>
      <c r="B21" s="70">
        <v>44000002</v>
      </c>
      <c r="C21" s="69" t="s">
        <v>1030</v>
      </c>
      <c r="D21" s="71" t="s">
        <v>2961</v>
      </c>
      <c r="E21" s="69" t="s">
        <v>2388</v>
      </c>
      <c r="F21" s="69">
        <v>30</v>
      </c>
      <c r="G21" s="69">
        <v>45</v>
      </c>
      <c r="H21" s="69" t="s">
        <v>2399</v>
      </c>
      <c r="I21" s="69" t="s">
        <v>2414</v>
      </c>
      <c r="J21" s="69" t="s">
        <v>2415</v>
      </c>
      <c r="K21" s="69"/>
      <c r="L21" s="72" t="s">
        <v>2387</v>
      </c>
      <c r="M21" s="72" t="b">
        <f t="shared" si="0"/>
        <v>0</v>
      </c>
    </row>
    <row r="22" spans="1:13" x14ac:dyDescent="0.25">
      <c r="A22" s="69" t="s">
        <v>1078</v>
      </c>
      <c r="B22" s="70">
        <v>44000002</v>
      </c>
      <c r="C22" s="69" t="s">
        <v>1030</v>
      </c>
      <c r="D22" s="71" t="s">
        <v>2961</v>
      </c>
      <c r="E22" s="69" t="s">
        <v>2388</v>
      </c>
      <c r="F22" s="69">
        <v>30</v>
      </c>
      <c r="G22" s="69">
        <v>45</v>
      </c>
      <c r="H22" s="69" t="s">
        <v>2399</v>
      </c>
      <c r="I22" s="69" t="s">
        <v>2414</v>
      </c>
      <c r="J22" s="69" t="s">
        <v>2415</v>
      </c>
      <c r="K22" s="69"/>
      <c r="L22" s="72" t="s">
        <v>2387</v>
      </c>
      <c r="M22" s="72" t="b">
        <f t="shared" si="0"/>
        <v>0</v>
      </c>
    </row>
    <row r="23" spans="1:13" x14ac:dyDescent="0.25">
      <c r="A23" s="69" t="s">
        <v>1076</v>
      </c>
      <c r="B23" s="70">
        <v>44000002</v>
      </c>
      <c r="C23" s="69" t="s">
        <v>1030</v>
      </c>
      <c r="D23" s="71" t="s">
        <v>2961</v>
      </c>
      <c r="E23" s="69" t="s">
        <v>2388</v>
      </c>
      <c r="F23" s="69">
        <v>30</v>
      </c>
      <c r="G23" s="69">
        <v>45</v>
      </c>
      <c r="H23" s="69" t="s">
        <v>2399</v>
      </c>
      <c r="I23" s="69" t="s">
        <v>2414</v>
      </c>
      <c r="J23" s="69" t="s">
        <v>2415</v>
      </c>
      <c r="K23" s="69"/>
      <c r="L23" s="72" t="s">
        <v>2387</v>
      </c>
      <c r="M23" s="72" t="b">
        <f t="shared" si="0"/>
        <v>0</v>
      </c>
    </row>
    <row r="24" spans="1:13" x14ac:dyDescent="0.25">
      <c r="A24" s="69" t="s">
        <v>1073</v>
      </c>
      <c r="B24" s="70">
        <v>44000002</v>
      </c>
      <c r="C24" s="69" t="s">
        <v>1030</v>
      </c>
      <c r="D24" s="71" t="s">
        <v>2961</v>
      </c>
      <c r="E24" s="69" t="s">
        <v>2388</v>
      </c>
      <c r="F24" s="69">
        <v>30</v>
      </c>
      <c r="G24" s="69">
        <v>45</v>
      </c>
      <c r="H24" s="69" t="s">
        <v>2399</v>
      </c>
      <c r="I24" s="69" t="s">
        <v>2414</v>
      </c>
      <c r="J24" s="69" t="s">
        <v>2415</v>
      </c>
      <c r="K24" s="69"/>
      <c r="L24" s="72" t="s">
        <v>2387</v>
      </c>
      <c r="M24" s="72" t="b">
        <f t="shared" si="0"/>
        <v>0</v>
      </c>
    </row>
    <row r="25" spans="1:13" x14ac:dyDescent="0.25">
      <c r="A25" s="69" t="s">
        <v>1069</v>
      </c>
      <c r="B25" s="70">
        <v>44000002</v>
      </c>
      <c r="C25" s="69" t="s">
        <v>1030</v>
      </c>
      <c r="D25" s="71" t="s">
        <v>2961</v>
      </c>
      <c r="E25" s="69" t="s">
        <v>2388</v>
      </c>
      <c r="F25" s="69">
        <v>30</v>
      </c>
      <c r="G25" s="69">
        <v>45</v>
      </c>
      <c r="H25" s="69" t="s">
        <v>2399</v>
      </c>
      <c r="I25" s="69" t="s">
        <v>2414</v>
      </c>
      <c r="J25" s="69" t="s">
        <v>2415</v>
      </c>
      <c r="K25" s="69"/>
      <c r="L25" s="72" t="s">
        <v>2387</v>
      </c>
      <c r="M25" s="72" t="b">
        <f t="shared" si="0"/>
        <v>0</v>
      </c>
    </row>
    <row r="26" spans="1:13" x14ac:dyDescent="0.25">
      <c r="A26" s="69" t="s">
        <v>1028</v>
      </c>
      <c r="B26" s="70">
        <v>44000002</v>
      </c>
      <c r="C26" s="69" t="s">
        <v>1030</v>
      </c>
      <c r="D26" s="71" t="s">
        <v>2961</v>
      </c>
      <c r="E26" s="69" t="s">
        <v>2388</v>
      </c>
      <c r="F26" s="69">
        <v>30</v>
      </c>
      <c r="G26" s="69">
        <v>45</v>
      </c>
      <c r="H26" s="69" t="s">
        <v>2399</v>
      </c>
      <c r="I26" s="69" t="s">
        <v>2414</v>
      </c>
      <c r="J26" s="69" t="s">
        <v>2415</v>
      </c>
      <c r="K26" s="69"/>
      <c r="L26" s="72" t="s">
        <v>2387</v>
      </c>
      <c r="M26" s="72" t="b">
        <f t="shared" si="0"/>
        <v>0</v>
      </c>
    </row>
    <row r="27" spans="1:13" x14ac:dyDescent="0.25">
      <c r="A27" s="69" t="s">
        <v>2065</v>
      </c>
      <c r="B27" s="70">
        <v>44000002</v>
      </c>
      <c r="C27" s="69" t="s">
        <v>1030</v>
      </c>
      <c r="D27" s="71" t="s">
        <v>2961</v>
      </c>
      <c r="E27" s="69" t="s">
        <v>2388</v>
      </c>
      <c r="F27" s="69">
        <v>30</v>
      </c>
      <c r="G27" s="69">
        <v>45</v>
      </c>
      <c r="H27" s="69" t="s">
        <v>2391</v>
      </c>
      <c r="I27" s="69" t="s">
        <v>2414</v>
      </c>
      <c r="J27" s="69" t="s">
        <v>2416</v>
      </c>
      <c r="K27" s="69"/>
      <c r="L27" s="72" t="s">
        <v>2387</v>
      </c>
      <c r="M27" s="72" t="b">
        <f t="shared" si="0"/>
        <v>0</v>
      </c>
    </row>
    <row r="28" spans="1:13" x14ac:dyDescent="0.25">
      <c r="A28" s="69" t="s">
        <v>2055</v>
      </c>
      <c r="B28" s="70">
        <v>44000002</v>
      </c>
      <c r="C28" s="69" t="s">
        <v>1030</v>
      </c>
      <c r="D28" s="71" t="s">
        <v>2961</v>
      </c>
      <c r="E28" s="69" t="s">
        <v>2388</v>
      </c>
      <c r="F28" s="69">
        <v>30</v>
      </c>
      <c r="G28" s="69">
        <v>45</v>
      </c>
      <c r="H28" s="69" t="s">
        <v>2391</v>
      </c>
      <c r="I28" s="69" t="s">
        <v>2414</v>
      </c>
      <c r="J28" s="69" t="s">
        <v>2416</v>
      </c>
      <c r="K28" s="69"/>
      <c r="L28" s="72" t="s">
        <v>2387</v>
      </c>
      <c r="M28" s="72" t="b">
        <f t="shared" si="0"/>
        <v>0</v>
      </c>
    </row>
    <row r="29" spans="1:13" x14ac:dyDescent="0.25">
      <c r="A29" s="69" t="s">
        <v>2054</v>
      </c>
      <c r="B29" s="70">
        <v>44000002</v>
      </c>
      <c r="C29" s="69" t="s">
        <v>1030</v>
      </c>
      <c r="D29" s="71" t="s">
        <v>2961</v>
      </c>
      <c r="E29" s="69" t="s">
        <v>2388</v>
      </c>
      <c r="F29" s="69">
        <v>30</v>
      </c>
      <c r="G29" s="69">
        <v>45</v>
      </c>
      <c r="H29" s="69" t="s">
        <v>2391</v>
      </c>
      <c r="I29" s="69" t="s">
        <v>2414</v>
      </c>
      <c r="J29" s="69" t="s">
        <v>2416</v>
      </c>
      <c r="K29" s="69"/>
      <c r="L29" s="72" t="s">
        <v>2387</v>
      </c>
      <c r="M29" s="72" t="b">
        <f t="shared" si="0"/>
        <v>0</v>
      </c>
    </row>
    <row r="30" spans="1:13" x14ac:dyDescent="0.25">
      <c r="A30" s="69" t="s">
        <v>2067</v>
      </c>
      <c r="B30" s="70">
        <v>44000002</v>
      </c>
      <c r="C30" s="69" t="s">
        <v>1030</v>
      </c>
      <c r="D30" s="71" t="s">
        <v>2961</v>
      </c>
      <c r="E30" s="69" t="s">
        <v>2388</v>
      </c>
      <c r="F30" s="69">
        <v>30</v>
      </c>
      <c r="G30" s="69">
        <v>45</v>
      </c>
      <c r="H30" s="69" t="s">
        <v>2391</v>
      </c>
      <c r="I30" s="69" t="s">
        <v>2414</v>
      </c>
      <c r="J30" s="69" t="s">
        <v>2416</v>
      </c>
      <c r="K30" s="69"/>
      <c r="L30" s="72" t="s">
        <v>2387</v>
      </c>
      <c r="M30" s="72" t="b">
        <f t="shared" si="0"/>
        <v>0</v>
      </c>
    </row>
    <row r="31" spans="1:13" x14ac:dyDescent="0.25">
      <c r="A31" s="69" t="s">
        <v>2049</v>
      </c>
      <c r="B31" s="70">
        <v>44000002</v>
      </c>
      <c r="C31" s="69" t="s">
        <v>1030</v>
      </c>
      <c r="D31" s="71" t="s">
        <v>2961</v>
      </c>
      <c r="E31" s="69" t="s">
        <v>2388</v>
      </c>
      <c r="F31" s="69">
        <v>30</v>
      </c>
      <c r="G31" s="69">
        <v>45</v>
      </c>
      <c r="H31" s="69" t="s">
        <v>2391</v>
      </c>
      <c r="I31" s="69" t="s">
        <v>2414</v>
      </c>
      <c r="J31" s="69" t="s">
        <v>2416</v>
      </c>
      <c r="K31" s="69"/>
      <c r="L31" s="72" t="s">
        <v>2387</v>
      </c>
      <c r="M31" s="72" t="b">
        <f t="shared" si="0"/>
        <v>0</v>
      </c>
    </row>
    <row r="32" spans="1:13" x14ac:dyDescent="0.25">
      <c r="A32" s="69" t="s">
        <v>2252</v>
      </c>
      <c r="B32" s="70">
        <v>44000002</v>
      </c>
      <c r="C32" s="69" t="s">
        <v>1030</v>
      </c>
      <c r="D32" s="71" t="s">
        <v>2961</v>
      </c>
      <c r="E32" s="69" t="s">
        <v>2388</v>
      </c>
      <c r="F32" s="69">
        <v>30</v>
      </c>
      <c r="G32" s="69">
        <v>45</v>
      </c>
      <c r="H32" s="69" t="s">
        <v>2391</v>
      </c>
      <c r="I32" s="69" t="s">
        <v>2414</v>
      </c>
      <c r="J32" s="69" t="s">
        <v>2416</v>
      </c>
      <c r="K32" s="69"/>
      <c r="L32" s="72" t="s">
        <v>2387</v>
      </c>
      <c r="M32" s="72" t="b">
        <f t="shared" si="0"/>
        <v>0</v>
      </c>
    </row>
    <row r="33" spans="1:13" x14ac:dyDescent="0.25">
      <c r="A33" s="69" t="s">
        <v>1629</v>
      </c>
      <c r="B33" s="70">
        <v>44000002</v>
      </c>
      <c r="C33" s="69" t="s">
        <v>1030</v>
      </c>
      <c r="D33" s="71" t="s">
        <v>2961</v>
      </c>
      <c r="E33" s="69" t="s">
        <v>2388</v>
      </c>
      <c r="F33" s="69">
        <v>30</v>
      </c>
      <c r="G33" s="69">
        <v>45</v>
      </c>
      <c r="H33" s="69" t="s">
        <v>2399</v>
      </c>
      <c r="I33" s="69" t="s">
        <v>2414</v>
      </c>
      <c r="J33" s="69" t="s">
        <v>2415</v>
      </c>
      <c r="K33" s="69"/>
      <c r="L33" s="72" t="s">
        <v>2387</v>
      </c>
      <c r="M33" s="72" t="b">
        <f t="shared" si="0"/>
        <v>0</v>
      </c>
    </row>
    <row r="34" spans="1:13" x14ac:dyDescent="0.25">
      <c r="A34" s="69" t="s">
        <v>1627</v>
      </c>
      <c r="B34" s="70">
        <v>44000002</v>
      </c>
      <c r="C34" s="69" t="s">
        <v>1030</v>
      </c>
      <c r="D34" s="71" t="s">
        <v>2961</v>
      </c>
      <c r="E34" s="69" t="s">
        <v>2388</v>
      </c>
      <c r="F34" s="69">
        <v>30</v>
      </c>
      <c r="G34" s="69">
        <v>45</v>
      </c>
      <c r="H34" s="69" t="s">
        <v>2399</v>
      </c>
      <c r="I34" s="69" t="s">
        <v>2414</v>
      </c>
      <c r="J34" s="69" t="s">
        <v>2415</v>
      </c>
      <c r="K34" s="69"/>
      <c r="L34" s="72" t="s">
        <v>2387</v>
      </c>
      <c r="M34" s="72" t="b">
        <f t="shared" si="0"/>
        <v>0</v>
      </c>
    </row>
    <row r="35" spans="1:13" x14ac:dyDescent="0.25">
      <c r="A35" s="69" t="s">
        <v>2212</v>
      </c>
      <c r="B35" s="70">
        <v>44000002</v>
      </c>
      <c r="C35" s="69" t="s">
        <v>1030</v>
      </c>
      <c r="D35" s="71" t="s">
        <v>2961</v>
      </c>
      <c r="E35" s="69" t="s">
        <v>2388</v>
      </c>
      <c r="F35" s="69">
        <v>30</v>
      </c>
      <c r="G35" s="69">
        <v>45</v>
      </c>
      <c r="H35" s="69" t="s">
        <v>2399</v>
      </c>
      <c r="I35" s="69" t="s">
        <v>2414</v>
      </c>
      <c r="J35" s="69" t="s">
        <v>2415</v>
      </c>
      <c r="K35" s="69"/>
      <c r="L35" s="72" t="s">
        <v>2387</v>
      </c>
      <c r="M35" s="72" t="b">
        <f t="shared" si="0"/>
        <v>0</v>
      </c>
    </row>
    <row r="36" spans="1:13" x14ac:dyDescent="0.25">
      <c r="A36" s="69" t="s">
        <v>1625</v>
      </c>
      <c r="B36" s="70">
        <v>44000002</v>
      </c>
      <c r="C36" s="69" t="s">
        <v>1030</v>
      </c>
      <c r="D36" s="71" t="s">
        <v>2961</v>
      </c>
      <c r="E36" s="69" t="s">
        <v>2388</v>
      </c>
      <c r="F36" s="69">
        <v>30</v>
      </c>
      <c r="G36" s="69">
        <v>45</v>
      </c>
      <c r="H36" s="69" t="s">
        <v>2399</v>
      </c>
      <c r="I36" s="69" t="s">
        <v>2414</v>
      </c>
      <c r="J36" s="69" t="s">
        <v>2415</v>
      </c>
      <c r="K36" s="69"/>
      <c r="L36" s="72" t="s">
        <v>2387</v>
      </c>
      <c r="M36" s="72" t="b">
        <f t="shared" si="0"/>
        <v>0</v>
      </c>
    </row>
    <row r="37" spans="1:13" x14ac:dyDescent="0.25">
      <c r="A37" s="69" t="s">
        <v>1623</v>
      </c>
      <c r="B37" s="70">
        <v>44000002</v>
      </c>
      <c r="C37" s="69" t="s">
        <v>1030</v>
      </c>
      <c r="D37" s="71" t="s">
        <v>2961</v>
      </c>
      <c r="E37" s="69" t="s">
        <v>2388</v>
      </c>
      <c r="F37" s="69">
        <v>30</v>
      </c>
      <c r="G37" s="69">
        <v>45</v>
      </c>
      <c r="H37" s="69" t="s">
        <v>2399</v>
      </c>
      <c r="I37" s="69" t="s">
        <v>2414</v>
      </c>
      <c r="J37" s="69" t="s">
        <v>2415</v>
      </c>
      <c r="K37" s="69"/>
      <c r="L37" s="72" t="s">
        <v>2387</v>
      </c>
      <c r="M37" s="72" t="b">
        <f t="shared" si="0"/>
        <v>0</v>
      </c>
    </row>
    <row r="38" spans="1:13" x14ac:dyDescent="0.25">
      <c r="A38" s="69" t="s">
        <v>2209</v>
      </c>
      <c r="B38" s="70">
        <v>44000002</v>
      </c>
      <c r="C38" s="69" t="s">
        <v>1030</v>
      </c>
      <c r="D38" s="71" t="s">
        <v>2961</v>
      </c>
      <c r="E38" s="69" t="s">
        <v>2388</v>
      </c>
      <c r="F38" s="69">
        <v>30</v>
      </c>
      <c r="G38" s="69">
        <v>45</v>
      </c>
      <c r="H38" s="69" t="s">
        <v>2399</v>
      </c>
      <c r="I38" s="69" t="s">
        <v>2414</v>
      </c>
      <c r="J38" s="69" t="s">
        <v>2415</v>
      </c>
      <c r="K38" s="69"/>
      <c r="L38" s="72" t="s">
        <v>2387</v>
      </c>
      <c r="M38" s="72" t="b">
        <f t="shared" si="0"/>
        <v>0</v>
      </c>
    </row>
    <row r="39" spans="1:13" x14ac:dyDescent="0.25">
      <c r="A39" s="69" t="s">
        <v>1596</v>
      </c>
      <c r="B39" s="70">
        <v>44000002</v>
      </c>
      <c r="C39" s="69" t="s">
        <v>1030</v>
      </c>
      <c r="D39" s="71" t="s">
        <v>2961</v>
      </c>
      <c r="E39" s="69" t="s">
        <v>2388</v>
      </c>
      <c r="F39" s="69">
        <v>30</v>
      </c>
      <c r="G39" s="69">
        <v>45</v>
      </c>
      <c r="H39" s="69" t="s">
        <v>2399</v>
      </c>
      <c r="I39" s="69" t="s">
        <v>2414</v>
      </c>
      <c r="J39" s="69" t="s">
        <v>2415</v>
      </c>
      <c r="K39" s="69"/>
      <c r="L39" s="72" t="s">
        <v>2387</v>
      </c>
      <c r="M39" s="72" t="b">
        <f t="shared" si="0"/>
        <v>0</v>
      </c>
    </row>
    <row r="40" spans="1:13" x14ac:dyDescent="0.25">
      <c r="A40" s="69" t="s">
        <v>1594</v>
      </c>
      <c r="B40" s="70">
        <v>44000002</v>
      </c>
      <c r="C40" s="69" t="s">
        <v>1030</v>
      </c>
      <c r="D40" s="71" t="s">
        <v>2961</v>
      </c>
      <c r="E40" s="69" t="s">
        <v>2388</v>
      </c>
      <c r="F40" s="69">
        <v>30</v>
      </c>
      <c r="G40" s="69">
        <v>45</v>
      </c>
      <c r="H40" s="69" t="s">
        <v>2399</v>
      </c>
      <c r="I40" s="69" t="s">
        <v>2414</v>
      </c>
      <c r="J40" s="69" t="s">
        <v>2415</v>
      </c>
      <c r="K40" s="69"/>
      <c r="L40" s="72" t="s">
        <v>2387</v>
      </c>
      <c r="M40" s="72" t="b">
        <f t="shared" si="0"/>
        <v>0</v>
      </c>
    </row>
    <row r="41" spans="1:13" x14ac:dyDescent="0.25">
      <c r="A41" s="69" t="s">
        <v>1582</v>
      </c>
      <c r="B41" s="70">
        <v>44000002</v>
      </c>
      <c r="C41" s="69" t="s">
        <v>1030</v>
      </c>
      <c r="D41" s="71" t="s">
        <v>2961</v>
      </c>
      <c r="E41" s="69" t="s">
        <v>2388</v>
      </c>
      <c r="F41" s="69">
        <v>30</v>
      </c>
      <c r="G41" s="69">
        <v>45</v>
      </c>
      <c r="H41" s="69" t="s">
        <v>2399</v>
      </c>
      <c r="I41" s="69" t="s">
        <v>2414</v>
      </c>
      <c r="J41" s="69" t="s">
        <v>2415</v>
      </c>
      <c r="K41" s="69"/>
      <c r="L41" s="72" t="s">
        <v>2387</v>
      </c>
      <c r="M41" s="72" t="b">
        <f t="shared" si="0"/>
        <v>0</v>
      </c>
    </row>
    <row r="42" spans="1:13" x14ac:dyDescent="0.25">
      <c r="A42" s="69" t="s">
        <v>1573</v>
      </c>
      <c r="B42" s="70">
        <v>44000002</v>
      </c>
      <c r="C42" s="69" t="s">
        <v>1030</v>
      </c>
      <c r="D42" s="71" t="s">
        <v>2961</v>
      </c>
      <c r="E42" s="69" t="s">
        <v>2388</v>
      </c>
      <c r="F42" s="69">
        <v>30</v>
      </c>
      <c r="G42" s="69">
        <v>45</v>
      </c>
      <c r="H42" s="69" t="s">
        <v>2399</v>
      </c>
      <c r="I42" s="69" t="s">
        <v>2414</v>
      </c>
      <c r="J42" s="69" t="s">
        <v>2415</v>
      </c>
      <c r="K42" s="69"/>
      <c r="L42" s="72" t="s">
        <v>2387</v>
      </c>
      <c r="M42" s="72" t="b">
        <f t="shared" si="0"/>
        <v>0</v>
      </c>
    </row>
    <row r="43" spans="1:13" x14ac:dyDescent="0.25">
      <c r="A43" s="69" t="s">
        <v>1571</v>
      </c>
      <c r="B43" s="70">
        <v>44000002</v>
      </c>
      <c r="C43" s="69" t="s">
        <v>1030</v>
      </c>
      <c r="D43" s="71" t="s">
        <v>2961</v>
      </c>
      <c r="E43" s="69" t="s">
        <v>2388</v>
      </c>
      <c r="F43" s="69">
        <v>30</v>
      </c>
      <c r="G43" s="69">
        <v>45</v>
      </c>
      <c r="H43" s="69" t="s">
        <v>2399</v>
      </c>
      <c r="I43" s="69" t="s">
        <v>2414</v>
      </c>
      <c r="J43" s="69" t="s">
        <v>2415</v>
      </c>
      <c r="K43" s="69"/>
      <c r="L43" s="72" t="s">
        <v>2387</v>
      </c>
      <c r="M43" s="72" t="b">
        <f t="shared" si="0"/>
        <v>0</v>
      </c>
    </row>
    <row r="44" spans="1:13" x14ac:dyDescent="0.25">
      <c r="A44" s="69" t="s">
        <v>2417</v>
      </c>
      <c r="B44" s="70">
        <v>44000002</v>
      </c>
      <c r="C44" s="69" t="s">
        <v>1030</v>
      </c>
      <c r="D44" s="71" t="s">
        <v>2961</v>
      </c>
      <c r="E44" s="69" t="s">
        <v>2388</v>
      </c>
      <c r="F44" s="69">
        <v>30</v>
      </c>
      <c r="G44" s="69">
        <v>45</v>
      </c>
      <c r="H44" s="69" t="s">
        <v>2412</v>
      </c>
      <c r="I44" s="69" t="s">
        <v>2410</v>
      </c>
      <c r="J44" s="69" t="s">
        <v>2401</v>
      </c>
      <c r="K44" s="69"/>
      <c r="L44" s="72" t="s">
        <v>2387</v>
      </c>
      <c r="M44" s="72" t="b">
        <f t="shared" si="0"/>
        <v>0</v>
      </c>
    </row>
    <row r="45" spans="1:13" x14ac:dyDescent="0.25">
      <c r="A45" s="69" t="s">
        <v>2418</v>
      </c>
      <c r="B45" s="70">
        <v>44000002</v>
      </c>
      <c r="C45" s="69" t="s">
        <v>1030</v>
      </c>
      <c r="D45" s="71" t="s">
        <v>2961</v>
      </c>
      <c r="E45" s="69" t="s">
        <v>2388</v>
      </c>
      <c r="F45" s="69">
        <v>30</v>
      </c>
      <c r="G45" s="69">
        <v>45</v>
      </c>
      <c r="H45" s="69" t="s">
        <v>2412</v>
      </c>
      <c r="I45" s="69" t="s">
        <v>2410</v>
      </c>
      <c r="J45" s="69" t="s">
        <v>2401</v>
      </c>
      <c r="K45" s="69"/>
      <c r="L45" s="72" t="s">
        <v>2387</v>
      </c>
      <c r="M45" s="72" t="b">
        <f t="shared" si="0"/>
        <v>0</v>
      </c>
    </row>
    <row r="46" spans="1:13" x14ac:dyDescent="0.25">
      <c r="A46" s="69" t="s">
        <v>1546</v>
      </c>
      <c r="B46" s="70">
        <v>44000002</v>
      </c>
      <c r="C46" s="69" t="s">
        <v>1030</v>
      </c>
      <c r="D46" s="71" t="s">
        <v>2961</v>
      </c>
      <c r="E46" s="69" t="s">
        <v>2388</v>
      </c>
      <c r="F46" s="69">
        <v>30</v>
      </c>
      <c r="G46" s="69">
        <v>45</v>
      </c>
      <c r="H46" s="69" t="s">
        <v>2399</v>
      </c>
      <c r="I46" s="69" t="s">
        <v>2414</v>
      </c>
      <c r="J46" s="69" t="s">
        <v>2415</v>
      </c>
      <c r="K46" s="69"/>
      <c r="L46" s="72" t="s">
        <v>2387</v>
      </c>
      <c r="M46" s="72" t="b">
        <f t="shared" si="0"/>
        <v>0</v>
      </c>
    </row>
    <row r="47" spans="1:13" x14ac:dyDescent="0.25">
      <c r="A47" s="69" t="s">
        <v>1543</v>
      </c>
      <c r="B47" s="70">
        <v>44000002</v>
      </c>
      <c r="C47" s="69" t="s">
        <v>1030</v>
      </c>
      <c r="D47" s="71" t="s">
        <v>2961</v>
      </c>
      <c r="E47" s="69" t="s">
        <v>2388</v>
      </c>
      <c r="F47" s="69">
        <v>30</v>
      </c>
      <c r="G47" s="69">
        <v>45</v>
      </c>
      <c r="H47" s="69" t="s">
        <v>2399</v>
      </c>
      <c r="I47" s="69" t="s">
        <v>2414</v>
      </c>
      <c r="J47" s="69" t="s">
        <v>2415</v>
      </c>
      <c r="K47" s="69"/>
      <c r="L47" s="72" t="s">
        <v>2387</v>
      </c>
      <c r="M47" s="72" t="b">
        <f t="shared" si="0"/>
        <v>0</v>
      </c>
    </row>
    <row r="48" spans="1:13" x14ac:dyDescent="0.25">
      <c r="A48" s="69" t="s">
        <v>1540</v>
      </c>
      <c r="B48" s="70">
        <v>44000002</v>
      </c>
      <c r="C48" s="69" t="s">
        <v>1030</v>
      </c>
      <c r="D48" s="71" t="s">
        <v>2961</v>
      </c>
      <c r="E48" s="69" t="s">
        <v>2388</v>
      </c>
      <c r="F48" s="69">
        <v>30</v>
      </c>
      <c r="G48" s="69">
        <v>45</v>
      </c>
      <c r="H48" s="69" t="s">
        <v>2399</v>
      </c>
      <c r="I48" s="69" t="s">
        <v>2414</v>
      </c>
      <c r="J48" s="69" t="s">
        <v>2415</v>
      </c>
      <c r="K48" s="69"/>
      <c r="L48" s="72" t="s">
        <v>2387</v>
      </c>
      <c r="M48" s="72" t="b">
        <f t="shared" si="0"/>
        <v>0</v>
      </c>
    </row>
    <row r="49" spans="1:13" x14ac:dyDescent="0.25">
      <c r="A49" s="69" t="s">
        <v>2268</v>
      </c>
      <c r="B49" s="70">
        <v>44000002</v>
      </c>
      <c r="C49" s="69" t="s">
        <v>1030</v>
      </c>
      <c r="D49" s="71" t="s">
        <v>2961</v>
      </c>
      <c r="E49" s="69" t="s">
        <v>2388</v>
      </c>
      <c r="F49" s="69">
        <v>30</v>
      </c>
      <c r="G49" s="69">
        <v>45</v>
      </c>
      <c r="H49" s="69" t="s">
        <v>2399</v>
      </c>
      <c r="I49" s="69" t="s">
        <v>2414</v>
      </c>
      <c r="J49" s="69" t="s">
        <v>2415</v>
      </c>
      <c r="K49" s="69"/>
      <c r="L49" s="72" t="s">
        <v>2387</v>
      </c>
      <c r="M49" s="72" t="b">
        <f t="shared" si="0"/>
        <v>0</v>
      </c>
    </row>
    <row r="50" spans="1:13" x14ac:dyDescent="0.25">
      <c r="A50" s="69" t="s">
        <v>2267</v>
      </c>
      <c r="B50" s="70">
        <v>44000002</v>
      </c>
      <c r="C50" s="69" t="s">
        <v>1030</v>
      </c>
      <c r="D50" s="71" t="s">
        <v>2961</v>
      </c>
      <c r="E50" s="69" t="s">
        <v>2388</v>
      </c>
      <c r="F50" s="69">
        <v>30</v>
      </c>
      <c r="G50" s="69">
        <v>45</v>
      </c>
      <c r="H50" s="69" t="s">
        <v>2399</v>
      </c>
      <c r="I50" s="69" t="s">
        <v>2414</v>
      </c>
      <c r="J50" s="69" t="s">
        <v>2415</v>
      </c>
      <c r="K50" s="69"/>
      <c r="L50" s="72" t="s">
        <v>2387</v>
      </c>
      <c r="M50" s="72" t="b">
        <f t="shared" si="0"/>
        <v>0</v>
      </c>
    </row>
    <row r="51" spans="1:13" x14ac:dyDescent="0.25">
      <c r="A51" s="69" t="s">
        <v>2266</v>
      </c>
      <c r="B51" s="70">
        <v>44000002</v>
      </c>
      <c r="C51" s="69" t="s">
        <v>1030</v>
      </c>
      <c r="D51" s="71" t="s">
        <v>2961</v>
      </c>
      <c r="E51" s="69" t="s">
        <v>2388</v>
      </c>
      <c r="F51" s="69">
        <v>30</v>
      </c>
      <c r="G51" s="69">
        <v>45</v>
      </c>
      <c r="H51" s="69" t="s">
        <v>2399</v>
      </c>
      <c r="I51" s="69" t="s">
        <v>2414</v>
      </c>
      <c r="J51" s="69" t="s">
        <v>2415</v>
      </c>
      <c r="K51" s="69"/>
      <c r="L51" s="72" t="s">
        <v>2387</v>
      </c>
      <c r="M51" s="72" t="b">
        <f t="shared" si="0"/>
        <v>0</v>
      </c>
    </row>
    <row r="52" spans="1:13" x14ac:dyDescent="0.25">
      <c r="A52" s="69" t="s">
        <v>699</v>
      </c>
      <c r="B52" s="70" t="s">
        <v>3010</v>
      </c>
      <c r="C52" s="69" t="s">
        <v>2419</v>
      </c>
      <c r="D52" s="71" t="s">
        <v>2387</v>
      </c>
      <c r="E52" s="69" t="s">
        <v>2388</v>
      </c>
      <c r="F52" s="69">
        <v>30</v>
      </c>
      <c r="G52" s="69">
        <v>90</v>
      </c>
      <c r="H52" s="69" t="s">
        <v>2391</v>
      </c>
      <c r="I52" s="69" t="s">
        <v>2420</v>
      </c>
      <c r="J52" s="69" t="s">
        <v>2421</v>
      </c>
      <c r="K52" s="69"/>
      <c r="L52" s="72" t="s">
        <v>2392</v>
      </c>
      <c r="M52" s="72" t="b">
        <f t="shared" si="0"/>
        <v>0</v>
      </c>
    </row>
    <row r="53" spans="1:13" x14ac:dyDescent="0.25">
      <c r="A53" s="72" t="s">
        <v>917</v>
      </c>
      <c r="B53" s="70">
        <v>44000950</v>
      </c>
      <c r="C53" s="69" t="s">
        <v>2422</v>
      </c>
      <c r="D53" s="71" t="s">
        <v>2961</v>
      </c>
      <c r="E53" s="72" t="s">
        <v>2388</v>
      </c>
      <c r="F53" s="72">
        <v>30</v>
      </c>
      <c r="G53" s="72">
        <v>90</v>
      </c>
      <c r="H53" s="69" t="s">
        <v>2395</v>
      </c>
      <c r="I53" s="69" t="s">
        <v>2423</v>
      </c>
      <c r="J53" s="69" t="s">
        <v>2424</v>
      </c>
      <c r="K53" s="69"/>
      <c r="L53" s="72" t="s">
        <v>2392</v>
      </c>
      <c r="M53" s="72" t="b">
        <f t="shared" si="0"/>
        <v>0</v>
      </c>
    </row>
    <row r="54" spans="1:13" x14ac:dyDescent="0.25">
      <c r="A54" s="69" t="s">
        <v>530</v>
      </c>
      <c r="B54" s="70">
        <v>44000950</v>
      </c>
      <c r="C54" s="69" t="s">
        <v>2422</v>
      </c>
      <c r="D54" s="71" t="s">
        <v>2961</v>
      </c>
      <c r="E54" s="69" t="s">
        <v>2388</v>
      </c>
      <c r="F54" s="69">
        <v>30</v>
      </c>
      <c r="G54" s="69">
        <v>90</v>
      </c>
      <c r="H54" s="69" t="s">
        <v>2395</v>
      </c>
      <c r="I54" s="69" t="s">
        <v>2423</v>
      </c>
      <c r="J54" s="69" t="s">
        <v>2424</v>
      </c>
      <c r="K54" s="69"/>
      <c r="L54" s="72" t="s">
        <v>2392</v>
      </c>
      <c r="M54" s="72" t="b">
        <f t="shared" si="0"/>
        <v>0</v>
      </c>
    </row>
    <row r="55" spans="1:13" x14ac:dyDescent="0.25">
      <c r="A55" s="72" t="s">
        <v>526</v>
      </c>
      <c r="B55" s="70">
        <v>44000950</v>
      </c>
      <c r="C55" s="69" t="s">
        <v>2422</v>
      </c>
      <c r="D55" s="71" t="s">
        <v>2961</v>
      </c>
      <c r="E55" s="72" t="s">
        <v>2388</v>
      </c>
      <c r="F55" s="72">
        <v>30</v>
      </c>
      <c r="G55" s="72">
        <v>90</v>
      </c>
      <c r="H55" s="69" t="s">
        <v>2395</v>
      </c>
      <c r="I55" s="69" t="s">
        <v>2423</v>
      </c>
      <c r="J55" s="69" t="s">
        <v>2424</v>
      </c>
      <c r="K55" s="69"/>
      <c r="L55" s="72" t="s">
        <v>2392</v>
      </c>
      <c r="M55" s="72" t="b">
        <f t="shared" si="0"/>
        <v>0</v>
      </c>
    </row>
    <row r="56" spans="1:13" x14ac:dyDescent="0.25">
      <c r="A56" s="69" t="s">
        <v>2342</v>
      </c>
      <c r="B56" s="70">
        <v>44007232</v>
      </c>
      <c r="C56" s="69" t="s">
        <v>2425</v>
      </c>
      <c r="D56" s="71" t="s">
        <v>2387</v>
      </c>
      <c r="E56" s="69" t="s">
        <v>2388</v>
      </c>
      <c r="F56" s="69"/>
      <c r="G56" s="69">
        <v>0</v>
      </c>
      <c r="H56" s="69" t="s">
        <v>2412</v>
      </c>
      <c r="I56" s="69" t="s">
        <v>2410</v>
      </c>
      <c r="J56" s="69" t="s">
        <v>2408</v>
      </c>
      <c r="K56" s="69" t="s">
        <v>3009</v>
      </c>
      <c r="L56" s="72" t="s">
        <v>2392</v>
      </c>
      <c r="M56" s="72" t="b">
        <f t="shared" si="0"/>
        <v>0</v>
      </c>
    </row>
    <row r="57" spans="1:13" x14ac:dyDescent="0.25">
      <c r="A57" s="69" t="s">
        <v>435</v>
      </c>
      <c r="B57" s="70">
        <v>44001630</v>
      </c>
      <c r="C57" s="69" t="s">
        <v>394</v>
      </c>
      <c r="D57" s="71" t="s">
        <v>2961</v>
      </c>
      <c r="E57" s="69" t="s">
        <v>2388</v>
      </c>
      <c r="F57" s="69">
        <v>15</v>
      </c>
      <c r="G57" s="69">
        <v>90</v>
      </c>
      <c r="H57" s="69" t="s">
        <v>2395</v>
      </c>
      <c r="I57" s="69" t="s">
        <v>2405</v>
      </c>
      <c r="J57" s="69" t="s">
        <v>2406</v>
      </c>
      <c r="K57" s="69"/>
      <c r="L57" s="72" t="s">
        <v>2387</v>
      </c>
      <c r="M57" s="72" t="b">
        <f t="shared" si="0"/>
        <v>0</v>
      </c>
    </row>
    <row r="58" spans="1:13" x14ac:dyDescent="0.25">
      <c r="A58" s="69" t="s">
        <v>392</v>
      </c>
      <c r="B58" s="70">
        <v>44001773</v>
      </c>
      <c r="C58" s="69" t="s">
        <v>394</v>
      </c>
      <c r="D58" s="71" t="s">
        <v>2961</v>
      </c>
      <c r="E58" s="69" t="s">
        <v>2388</v>
      </c>
      <c r="F58" s="69">
        <v>15</v>
      </c>
      <c r="G58" s="69">
        <v>90</v>
      </c>
      <c r="H58" s="69" t="s">
        <v>2399</v>
      </c>
      <c r="I58" s="69" t="s">
        <v>2405</v>
      </c>
      <c r="J58" s="69" t="s">
        <v>2406</v>
      </c>
      <c r="K58" s="69"/>
      <c r="L58" s="72" t="s">
        <v>2387</v>
      </c>
      <c r="M58" s="72" t="b">
        <f t="shared" si="0"/>
        <v>0</v>
      </c>
    </row>
    <row r="59" spans="1:13" x14ac:dyDescent="0.25">
      <c r="A59" s="72" t="s">
        <v>392</v>
      </c>
      <c r="B59" s="70">
        <v>44002196</v>
      </c>
      <c r="C59" s="69" t="s">
        <v>394</v>
      </c>
      <c r="D59" s="71" t="s">
        <v>2961</v>
      </c>
      <c r="E59" s="72" t="s">
        <v>2388</v>
      </c>
      <c r="F59" s="72">
        <v>15</v>
      </c>
      <c r="G59" s="72">
        <v>90</v>
      </c>
      <c r="H59" s="69" t="s">
        <v>2399</v>
      </c>
      <c r="I59" s="69" t="s">
        <v>2405</v>
      </c>
      <c r="J59" s="69" t="s">
        <v>2406</v>
      </c>
      <c r="L59" s="72" t="s">
        <v>2387</v>
      </c>
      <c r="M59" s="72" t="b">
        <f t="shared" si="0"/>
        <v>0</v>
      </c>
    </row>
    <row r="60" spans="1:13" x14ac:dyDescent="0.25">
      <c r="A60" s="69" t="s">
        <v>2200</v>
      </c>
      <c r="B60" s="70">
        <v>44005654</v>
      </c>
      <c r="C60" s="69" t="s">
        <v>1766</v>
      </c>
      <c r="D60" s="71" t="s">
        <v>2392</v>
      </c>
      <c r="E60" s="69" t="s">
        <v>2388</v>
      </c>
      <c r="F60" s="69">
        <v>30</v>
      </c>
      <c r="G60" s="69">
        <v>0</v>
      </c>
      <c r="H60" s="69" t="s">
        <v>2399</v>
      </c>
      <c r="I60" s="69" t="s">
        <v>2394</v>
      </c>
      <c r="J60" s="69" t="s">
        <v>2427</v>
      </c>
      <c r="K60" s="69" t="s">
        <v>3011</v>
      </c>
      <c r="L60" s="72" t="s">
        <v>2392</v>
      </c>
      <c r="M60" s="72" t="b">
        <f t="shared" si="0"/>
        <v>1</v>
      </c>
    </row>
    <row r="61" spans="1:13" x14ac:dyDescent="0.25">
      <c r="A61" s="69" t="s">
        <v>2124</v>
      </c>
      <c r="B61" s="70">
        <v>44005654</v>
      </c>
      <c r="C61" s="69" t="s">
        <v>1807</v>
      </c>
      <c r="D61" s="71" t="s">
        <v>2392</v>
      </c>
      <c r="E61" s="69" t="s">
        <v>2388</v>
      </c>
      <c r="F61" s="69">
        <v>30</v>
      </c>
      <c r="G61" s="69">
        <v>90</v>
      </c>
      <c r="H61" s="69" t="s">
        <v>2399</v>
      </c>
      <c r="I61" s="69" t="s">
        <v>2426</v>
      </c>
      <c r="J61" s="69" t="s">
        <v>2427</v>
      </c>
      <c r="K61" s="69"/>
      <c r="L61" s="72" t="s">
        <v>2392</v>
      </c>
      <c r="M61" s="72" t="b">
        <f t="shared" si="0"/>
        <v>1</v>
      </c>
    </row>
    <row r="62" spans="1:13" x14ac:dyDescent="0.25">
      <c r="A62" s="69" t="s">
        <v>2123</v>
      </c>
      <c r="B62" s="70">
        <v>44005654</v>
      </c>
      <c r="C62" s="69" t="s">
        <v>1807</v>
      </c>
      <c r="D62" s="71" t="s">
        <v>2392</v>
      </c>
      <c r="E62" s="69" t="s">
        <v>2388</v>
      </c>
      <c r="F62" s="69">
        <v>30</v>
      </c>
      <c r="G62" s="69">
        <v>90</v>
      </c>
      <c r="H62" s="69" t="s">
        <v>2399</v>
      </c>
      <c r="I62" s="69" t="s">
        <v>2426</v>
      </c>
      <c r="J62" s="69" t="s">
        <v>2427</v>
      </c>
      <c r="K62" s="69"/>
      <c r="L62" s="72" t="s">
        <v>2392</v>
      </c>
      <c r="M62" s="72" t="b">
        <f t="shared" si="0"/>
        <v>1</v>
      </c>
    </row>
    <row r="63" spans="1:13" x14ac:dyDescent="0.25">
      <c r="A63" s="69" t="s">
        <v>2122</v>
      </c>
      <c r="B63" s="70">
        <v>44005654</v>
      </c>
      <c r="C63" s="69" t="s">
        <v>1807</v>
      </c>
      <c r="D63" s="71" t="s">
        <v>2392</v>
      </c>
      <c r="E63" s="69" t="s">
        <v>2388</v>
      </c>
      <c r="F63" s="69">
        <v>30</v>
      </c>
      <c r="G63" s="69">
        <v>90</v>
      </c>
      <c r="H63" s="69" t="s">
        <v>2399</v>
      </c>
      <c r="I63" s="69" t="s">
        <v>2426</v>
      </c>
      <c r="J63" s="69" t="s">
        <v>2427</v>
      </c>
      <c r="K63" s="69"/>
      <c r="L63" s="72" t="s">
        <v>2392</v>
      </c>
      <c r="M63" s="72" t="b">
        <f t="shared" si="0"/>
        <v>1</v>
      </c>
    </row>
    <row r="64" spans="1:13" x14ac:dyDescent="0.25">
      <c r="A64" s="69" t="s">
        <v>2182</v>
      </c>
      <c r="B64" s="70">
        <v>44005654</v>
      </c>
      <c r="C64" s="69" t="s">
        <v>1766</v>
      </c>
      <c r="D64" s="71" t="s">
        <v>2392</v>
      </c>
      <c r="E64" s="69" t="s">
        <v>2388</v>
      </c>
      <c r="F64" s="69">
        <v>30</v>
      </c>
      <c r="G64" s="69">
        <v>0</v>
      </c>
      <c r="H64" s="69" t="s">
        <v>2399</v>
      </c>
      <c r="I64" s="69" t="s">
        <v>2394</v>
      </c>
      <c r="J64" s="69" t="s">
        <v>2427</v>
      </c>
      <c r="K64" s="69" t="s">
        <v>3011</v>
      </c>
      <c r="L64" s="72" t="s">
        <v>2392</v>
      </c>
      <c r="M64" s="72" t="b">
        <f t="shared" si="0"/>
        <v>1</v>
      </c>
    </row>
    <row r="65" spans="1:13" x14ac:dyDescent="0.25">
      <c r="A65" s="69" t="s">
        <v>2199</v>
      </c>
      <c r="B65" s="70">
        <v>44005654</v>
      </c>
      <c r="C65" s="69" t="s">
        <v>1766</v>
      </c>
      <c r="D65" s="71" t="s">
        <v>2392</v>
      </c>
      <c r="E65" s="69" t="s">
        <v>2388</v>
      </c>
      <c r="F65" s="69">
        <v>30</v>
      </c>
      <c r="G65" s="69">
        <v>0</v>
      </c>
      <c r="H65" s="69" t="s">
        <v>2399</v>
      </c>
      <c r="I65" s="69" t="s">
        <v>2394</v>
      </c>
      <c r="J65" s="69" t="s">
        <v>2427</v>
      </c>
      <c r="K65" s="69" t="s">
        <v>3011</v>
      </c>
      <c r="L65" s="72" t="s">
        <v>2392</v>
      </c>
      <c r="M65" s="72" t="b">
        <f t="shared" si="0"/>
        <v>1</v>
      </c>
    </row>
    <row r="66" spans="1:13" x14ac:dyDescent="0.25">
      <c r="A66" s="69" t="s">
        <v>2196</v>
      </c>
      <c r="B66" s="70">
        <v>44005654</v>
      </c>
      <c r="C66" s="69" t="s">
        <v>1766</v>
      </c>
      <c r="D66" s="71" t="s">
        <v>2392</v>
      </c>
      <c r="E66" s="69" t="s">
        <v>2388</v>
      </c>
      <c r="F66" s="69">
        <v>30</v>
      </c>
      <c r="G66" s="69">
        <v>0</v>
      </c>
      <c r="H66" s="69" t="s">
        <v>2399</v>
      </c>
      <c r="I66" s="69" t="s">
        <v>2394</v>
      </c>
      <c r="J66" s="69" t="s">
        <v>2427</v>
      </c>
      <c r="K66" s="69" t="s">
        <v>3011</v>
      </c>
      <c r="L66" s="72" t="s">
        <v>2392</v>
      </c>
      <c r="M66" s="72" t="b">
        <f t="shared" ref="M66:M129" si="1">L66=D66</f>
        <v>1</v>
      </c>
    </row>
    <row r="67" spans="1:13" x14ac:dyDescent="0.25">
      <c r="A67" s="69" t="s">
        <v>2184</v>
      </c>
      <c r="B67" s="70">
        <v>44005654</v>
      </c>
      <c r="C67" s="69" t="s">
        <v>1807</v>
      </c>
      <c r="D67" s="71" t="s">
        <v>2392</v>
      </c>
      <c r="E67" s="69" t="s">
        <v>2388</v>
      </c>
      <c r="F67" s="69">
        <v>30</v>
      </c>
      <c r="G67" s="69">
        <v>90</v>
      </c>
      <c r="H67" s="69" t="s">
        <v>2399</v>
      </c>
      <c r="I67" s="69" t="s">
        <v>2428</v>
      </c>
      <c r="J67" s="69" t="s">
        <v>2427</v>
      </c>
      <c r="K67" s="69"/>
      <c r="L67" s="72" t="s">
        <v>2392</v>
      </c>
      <c r="M67" s="72" t="b">
        <f t="shared" si="1"/>
        <v>1</v>
      </c>
    </row>
    <row r="68" spans="1:13" x14ac:dyDescent="0.25">
      <c r="A68" s="69" t="s">
        <v>1809</v>
      </c>
      <c r="B68" s="70">
        <v>44005654</v>
      </c>
      <c r="C68" s="69" t="s">
        <v>1807</v>
      </c>
      <c r="D68" s="71" t="s">
        <v>2392</v>
      </c>
      <c r="E68" s="69" t="s">
        <v>2388</v>
      </c>
      <c r="F68" s="69">
        <v>30</v>
      </c>
      <c r="G68" s="69">
        <v>90</v>
      </c>
      <c r="H68" s="69" t="s">
        <v>2399</v>
      </c>
      <c r="I68" s="69" t="s">
        <v>2426</v>
      </c>
      <c r="J68" s="69" t="s">
        <v>2427</v>
      </c>
      <c r="K68" s="69"/>
      <c r="L68" s="72" t="s">
        <v>2392</v>
      </c>
      <c r="M68" s="72" t="b">
        <f t="shared" si="1"/>
        <v>1</v>
      </c>
    </row>
    <row r="69" spans="1:13" x14ac:dyDescent="0.25">
      <c r="A69" s="69" t="s">
        <v>1805</v>
      </c>
      <c r="B69" s="70">
        <v>44005654</v>
      </c>
      <c r="C69" s="69" t="s">
        <v>1807</v>
      </c>
      <c r="D69" s="71" t="s">
        <v>2392</v>
      </c>
      <c r="E69" s="69" t="s">
        <v>2388</v>
      </c>
      <c r="F69" s="69">
        <v>30</v>
      </c>
      <c r="G69" s="69">
        <v>90</v>
      </c>
      <c r="H69" s="69" t="s">
        <v>2399</v>
      </c>
      <c r="I69" s="69" t="s">
        <v>2426</v>
      </c>
      <c r="J69" s="69" t="s">
        <v>2427</v>
      </c>
      <c r="K69" s="69"/>
      <c r="L69" s="72" t="s">
        <v>2392</v>
      </c>
      <c r="M69" s="72" t="b">
        <f t="shared" si="1"/>
        <v>1</v>
      </c>
    </row>
    <row r="70" spans="1:13" x14ac:dyDescent="0.25">
      <c r="A70" s="69" t="s">
        <v>1178</v>
      </c>
      <c r="B70" s="70">
        <v>40004587</v>
      </c>
      <c r="C70" s="69" t="s">
        <v>963</v>
      </c>
      <c r="D70" s="71" t="s">
        <v>2392</v>
      </c>
      <c r="E70" s="69" t="s">
        <v>2393</v>
      </c>
      <c r="F70" s="69">
        <v>30</v>
      </c>
      <c r="G70" s="69">
        <v>900</v>
      </c>
      <c r="H70" s="69" t="s">
        <v>2399</v>
      </c>
      <c r="I70" s="69" t="s">
        <v>2397</v>
      </c>
      <c r="J70" s="69" t="s">
        <v>2398</v>
      </c>
      <c r="K70" s="69"/>
      <c r="L70" s="72" t="s">
        <v>2392</v>
      </c>
      <c r="M70" s="72" t="b">
        <f t="shared" si="1"/>
        <v>1</v>
      </c>
    </row>
    <row r="71" spans="1:13" x14ac:dyDescent="0.25">
      <c r="A71" s="73" t="s">
        <v>1912</v>
      </c>
      <c r="B71" s="70">
        <v>44006352</v>
      </c>
      <c r="C71" s="69" t="s">
        <v>1914</v>
      </c>
      <c r="D71" s="71" t="s">
        <v>2961</v>
      </c>
      <c r="E71" s="69" t="s">
        <v>2388</v>
      </c>
      <c r="F71" s="69">
        <v>30</v>
      </c>
      <c r="G71" s="69">
        <v>90</v>
      </c>
      <c r="H71" s="69" t="s">
        <v>2399</v>
      </c>
      <c r="I71" s="69" t="s">
        <v>2429</v>
      </c>
      <c r="J71" s="69" t="s">
        <v>2427</v>
      </c>
      <c r="K71" s="69"/>
      <c r="L71" s="72" t="s">
        <v>2387</v>
      </c>
      <c r="M71" s="72" t="b">
        <f t="shared" si="1"/>
        <v>0</v>
      </c>
    </row>
    <row r="72" spans="1:13" x14ac:dyDescent="0.25">
      <c r="A72" s="69" t="s">
        <v>2062</v>
      </c>
      <c r="B72" s="70">
        <v>44001310</v>
      </c>
      <c r="C72" s="69" t="s">
        <v>2430</v>
      </c>
      <c r="D72" s="71" t="s">
        <v>2387</v>
      </c>
      <c r="E72" s="69" t="s">
        <v>2388</v>
      </c>
      <c r="F72" s="69">
        <v>30</v>
      </c>
      <c r="G72" s="69"/>
      <c r="H72" s="69" t="s">
        <v>2391</v>
      </c>
      <c r="I72" s="69" t="s">
        <v>2410</v>
      </c>
      <c r="J72" s="69" t="s">
        <v>2432</v>
      </c>
      <c r="K72" s="69"/>
      <c r="L72" s="72" t="s">
        <v>2387</v>
      </c>
      <c r="M72" s="72" t="b">
        <f t="shared" si="1"/>
        <v>1</v>
      </c>
    </row>
    <row r="73" spans="1:13" x14ac:dyDescent="0.25">
      <c r="A73" s="69" t="s">
        <v>2061</v>
      </c>
      <c r="B73" s="70">
        <v>44001310</v>
      </c>
      <c r="C73" s="69" t="s">
        <v>2430</v>
      </c>
      <c r="D73" s="71" t="s">
        <v>2387</v>
      </c>
      <c r="E73" s="69" t="s">
        <v>2388</v>
      </c>
      <c r="F73" s="69">
        <v>30</v>
      </c>
      <c r="G73" s="69">
        <v>30</v>
      </c>
      <c r="H73" s="69" t="s">
        <v>2391</v>
      </c>
      <c r="I73" s="69" t="s">
        <v>2431</v>
      </c>
      <c r="J73" s="69" t="s">
        <v>2432</v>
      </c>
      <c r="K73" s="69"/>
      <c r="L73" s="72" t="s">
        <v>2387</v>
      </c>
      <c r="M73" s="72" t="b">
        <f t="shared" si="1"/>
        <v>1</v>
      </c>
    </row>
    <row r="74" spans="1:13" x14ac:dyDescent="0.25">
      <c r="A74" s="69" t="s">
        <v>2007</v>
      </c>
      <c r="B74" s="70">
        <v>44001310</v>
      </c>
      <c r="C74" s="69" t="s">
        <v>2430</v>
      </c>
      <c r="D74" s="71" t="s">
        <v>2387</v>
      </c>
      <c r="E74" s="69" t="s">
        <v>2388</v>
      </c>
      <c r="F74" s="69">
        <v>30</v>
      </c>
      <c r="G74" s="69">
        <v>30</v>
      </c>
      <c r="H74" s="69" t="s">
        <v>2391</v>
      </c>
      <c r="I74" s="69" t="s">
        <v>2431</v>
      </c>
      <c r="J74" s="69" t="s">
        <v>2432</v>
      </c>
      <c r="K74" s="69"/>
      <c r="L74" s="72" t="s">
        <v>2387</v>
      </c>
      <c r="M74" s="72" t="b">
        <f t="shared" si="1"/>
        <v>1</v>
      </c>
    </row>
    <row r="75" spans="1:13" x14ac:dyDescent="0.25">
      <c r="A75" s="69" t="s">
        <v>1181</v>
      </c>
      <c r="B75" s="70">
        <v>40004588</v>
      </c>
      <c r="C75" s="69" t="s">
        <v>2396</v>
      </c>
      <c r="D75" s="71" t="s">
        <v>2392</v>
      </c>
      <c r="E75" s="69" t="s">
        <v>2393</v>
      </c>
      <c r="F75" s="69">
        <v>30</v>
      </c>
      <c r="G75" s="69">
        <v>900</v>
      </c>
      <c r="H75" s="69" t="s">
        <v>2399</v>
      </c>
      <c r="I75" s="69" t="s">
        <v>2397</v>
      </c>
      <c r="J75" s="69" t="s">
        <v>2398</v>
      </c>
      <c r="K75" s="69"/>
      <c r="L75" s="72" t="s">
        <v>2392</v>
      </c>
      <c r="M75" s="72" t="b">
        <f t="shared" si="1"/>
        <v>1</v>
      </c>
    </row>
    <row r="76" spans="1:13" x14ac:dyDescent="0.25">
      <c r="A76" s="69" t="s">
        <v>376</v>
      </c>
      <c r="B76" s="70">
        <v>44000134</v>
      </c>
      <c r="C76" s="69" t="s">
        <v>2396</v>
      </c>
      <c r="D76" s="71" t="s">
        <v>2392</v>
      </c>
      <c r="E76" s="69" t="s">
        <v>2393</v>
      </c>
      <c r="F76" s="69">
        <v>30</v>
      </c>
      <c r="G76" s="69">
        <v>900</v>
      </c>
      <c r="H76" s="69" t="s">
        <v>2399</v>
      </c>
      <c r="I76" s="69" t="s">
        <v>2397</v>
      </c>
      <c r="J76" s="69" t="s">
        <v>2398</v>
      </c>
      <c r="K76" s="69"/>
      <c r="L76" s="72" t="s">
        <v>2392</v>
      </c>
      <c r="M76" s="72" t="b">
        <f t="shared" si="1"/>
        <v>1</v>
      </c>
    </row>
    <row r="77" spans="1:13" x14ac:dyDescent="0.25">
      <c r="A77" s="69" t="s">
        <v>376</v>
      </c>
      <c r="B77" s="70">
        <v>40004587</v>
      </c>
      <c r="C77" s="69" t="s">
        <v>963</v>
      </c>
      <c r="D77" s="71" t="s">
        <v>2392</v>
      </c>
      <c r="E77" s="69" t="s">
        <v>2393</v>
      </c>
      <c r="F77" s="69">
        <v>30</v>
      </c>
      <c r="G77" s="69">
        <v>900</v>
      </c>
      <c r="H77" s="69" t="s">
        <v>2399</v>
      </c>
      <c r="I77" s="69" t="s">
        <v>2397</v>
      </c>
      <c r="J77" s="69" t="s">
        <v>2398</v>
      </c>
      <c r="K77" s="69"/>
      <c r="L77" s="72" t="s">
        <v>2392</v>
      </c>
      <c r="M77" s="72" t="b">
        <f t="shared" si="1"/>
        <v>1</v>
      </c>
    </row>
    <row r="78" spans="1:13" x14ac:dyDescent="0.25">
      <c r="A78" s="69" t="s">
        <v>378</v>
      </c>
      <c r="B78" s="70">
        <v>40004588</v>
      </c>
      <c r="C78" s="69" t="s">
        <v>2396</v>
      </c>
      <c r="D78" s="71" t="s">
        <v>2392</v>
      </c>
      <c r="E78" s="69" t="s">
        <v>2393</v>
      </c>
      <c r="F78" s="69">
        <v>30</v>
      </c>
      <c r="G78" s="69">
        <v>900</v>
      </c>
      <c r="H78" s="69" t="s">
        <v>2399</v>
      </c>
      <c r="I78" s="69" t="s">
        <v>2397</v>
      </c>
      <c r="J78" s="69" t="s">
        <v>2398</v>
      </c>
      <c r="K78" s="69"/>
      <c r="L78" s="72" t="s">
        <v>2392</v>
      </c>
      <c r="M78" s="72" t="b">
        <f t="shared" si="1"/>
        <v>1</v>
      </c>
    </row>
    <row r="79" spans="1:13" x14ac:dyDescent="0.25">
      <c r="A79" s="69" t="s">
        <v>380</v>
      </c>
      <c r="B79" s="70">
        <v>40004588</v>
      </c>
      <c r="C79" s="69" t="s">
        <v>2396</v>
      </c>
      <c r="D79" s="71" t="s">
        <v>2392</v>
      </c>
      <c r="E79" s="69" t="s">
        <v>2393</v>
      </c>
      <c r="F79" s="69">
        <v>30</v>
      </c>
      <c r="G79" s="69">
        <v>900</v>
      </c>
      <c r="H79" s="69" t="s">
        <v>2399</v>
      </c>
      <c r="I79" s="69" t="s">
        <v>2397</v>
      </c>
      <c r="J79" s="69" t="s">
        <v>2398</v>
      </c>
      <c r="K79" s="69"/>
      <c r="L79" s="72" t="s">
        <v>2392</v>
      </c>
      <c r="M79" s="72" t="b">
        <f t="shared" si="1"/>
        <v>1</v>
      </c>
    </row>
    <row r="80" spans="1:13" x14ac:dyDescent="0.25">
      <c r="A80" s="69" t="s">
        <v>380</v>
      </c>
      <c r="B80" s="70">
        <v>40004587</v>
      </c>
      <c r="C80" s="69" t="s">
        <v>963</v>
      </c>
      <c r="D80" s="71" t="s">
        <v>2392</v>
      </c>
      <c r="E80" s="69" t="s">
        <v>2393</v>
      </c>
      <c r="F80" s="69">
        <v>30</v>
      </c>
      <c r="G80" s="69">
        <v>900</v>
      </c>
      <c r="H80" s="69" t="s">
        <v>2399</v>
      </c>
      <c r="I80" s="69" t="s">
        <v>2397</v>
      </c>
      <c r="J80" s="69" t="s">
        <v>2398</v>
      </c>
      <c r="K80" s="69"/>
      <c r="L80" s="72" t="s">
        <v>2392</v>
      </c>
      <c r="M80" s="72" t="b">
        <f t="shared" si="1"/>
        <v>1</v>
      </c>
    </row>
    <row r="81" spans="1:13" x14ac:dyDescent="0.25">
      <c r="A81" s="69" t="s">
        <v>1187</v>
      </c>
      <c r="B81" s="70">
        <v>40004588</v>
      </c>
      <c r="C81" s="69" t="s">
        <v>2396</v>
      </c>
      <c r="D81" s="71" t="s">
        <v>2392</v>
      </c>
      <c r="E81" s="69" t="s">
        <v>2393</v>
      </c>
      <c r="F81" s="69">
        <v>30</v>
      </c>
      <c r="G81" s="69">
        <v>900</v>
      </c>
      <c r="H81" s="69" t="s">
        <v>2399</v>
      </c>
      <c r="I81" s="69" t="s">
        <v>2397</v>
      </c>
      <c r="J81" s="69" t="s">
        <v>2398</v>
      </c>
      <c r="K81" s="69"/>
      <c r="L81" s="72" t="s">
        <v>2392</v>
      </c>
      <c r="M81" s="72" t="b">
        <f t="shared" si="1"/>
        <v>1</v>
      </c>
    </row>
    <row r="82" spans="1:13" x14ac:dyDescent="0.25">
      <c r="A82" s="69" t="s">
        <v>382</v>
      </c>
      <c r="B82" s="70">
        <v>44000134</v>
      </c>
      <c r="C82" s="69" t="s">
        <v>2396</v>
      </c>
      <c r="D82" s="71" t="s">
        <v>2392</v>
      </c>
      <c r="E82" s="69" t="s">
        <v>2393</v>
      </c>
      <c r="F82" s="69">
        <v>30</v>
      </c>
      <c r="G82" s="69">
        <v>900</v>
      </c>
      <c r="H82" s="69" t="s">
        <v>2399</v>
      </c>
      <c r="I82" s="69" t="s">
        <v>2397</v>
      </c>
      <c r="J82" s="69" t="s">
        <v>2398</v>
      </c>
      <c r="K82" s="69"/>
      <c r="L82" s="72" t="s">
        <v>2392</v>
      </c>
      <c r="M82" s="72" t="b">
        <f t="shared" si="1"/>
        <v>1</v>
      </c>
    </row>
    <row r="83" spans="1:13" x14ac:dyDescent="0.25">
      <c r="A83" s="69" t="s">
        <v>384</v>
      </c>
      <c r="B83" s="70">
        <v>44000134</v>
      </c>
      <c r="C83" s="69" t="s">
        <v>2396</v>
      </c>
      <c r="D83" s="71" t="s">
        <v>2392</v>
      </c>
      <c r="E83" s="69" t="s">
        <v>2393</v>
      </c>
      <c r="F83" s="69">
        <v>30</v>
      </c>
      <c r="G83" s="69">
        <v>900</v>
      </c>
      <c r="H83" s="69" t="s">
        <v>2399</v>
      </c>
      <c r="I83" s="69" t="s">
        <v>2397</v>
      </c>
      <c r="J83" s="69" t="s">
        <v>2398</v>
      </c>
      <c r="K83" s="69"/>
      <c r="L83" s="72" t="s">
        <v>2392</v>
      </c>
      <c r="M83" s="72" t="b">
        <f t="shared" si="1"/>
        <v>1</v>
      </c>
    </row>
    <row r="84" spans="1:13" x14ac:dyDescent="0.25">
      <c r="A84" s="69" t="s">
        <v>386</v>
      </c>
      <c r="B84" s="70">
        <v>40004588</v>
      </c>
      <c r="C84" s="69" t="s">
        <v>2396</v>
      </c>
      <c r="D84" s="71" t="s">
        <v>2392</v>
      </c>
      <c r="E84" s="69" t="s">
        <v>2393</v>
      </c>
      <c r="F84" s="69">
        <v>30</v>
      </c>
      <c r="G84" s="69">
        <v>900</v>
      </c>
      <c r="H84" s="69" t="s">
        <v>2399</v>
      </c>
      <c r="I84" s="69" t="s">
        <v>2397</v>
      </c>
      <c r="J84" s="69" t="s">
        <v>2398</v>
      </c>
      <c r="K84" s="69"/>
      <c r="L84" s="72" t="s">
        <v>2392</v>
      </c>
      <c r="M84" s="72" t="b">
        <f t="shared" si="1"/>
        <v>1</v>
      </c>
    </row>
    <row r="85" spans="1:13" x14ac:dyDescent="0.25">
      <c r="A85" s="69" t="s">
        <v>388</v>
      </c>
      <c r="B85" s="70">
        <v>44000077</v>
      </c>
      <c r="C85" s="69" t="s">
        <v>390</v>
      </c>
      <c r="D85" s="71" t="s">
        <v>2392</v>
      </c>
      <c r="E85" s="69" t="s">
        <v>2393</v>
      </c>
      <c r="F85" s="69">
        <v>30</v>
      </c>
      <c r="G85" s="69">
        <v>900</v>
      </c>
      <c r="H85" s="69" t="s">
        <v>2399</v>
      </c>
      <c r="I85" s="69" t="s">
        <v>2397</v>
      </c>
      <c r="J85" s="69" t="s">
        <v>2398</v>
      </c>
      <c r="K85" s="69"/>
      <c r="L85" s="72" t="s">
        <v>2392</v>
      </c>
      <c r="M85" s="72" t="b">
        <f t="shared" si="1"/>
        <v>1</v>
      </c>
    </row>
    <row r="86" spans="1:13" x14ac:dyDescent="0.25">
      <c r="A86" s="69" t="s">
        <v>1194</v>
      </c>
      <c r="B86" s="70">
        <v>40004588</v>
      </c>
      <c r="C86" s="69" t="s">
        <v>2396</v>
      </c>
      <c r="D86" s="71" t="s">
        <v>2392</v>
      </c>
      <c r="E86" s="69" t="s">
        <v>2393</v>
      </c>
      <c r="F86" s="69">
        <v>30</v>
      </c>
      <c r="G86" s="69">
        <v>900</v>
      </c>
      <c r="H86" s="69" t="s">
        <v>2399</v>
      </c>
      <c r="I86" s="69" t="s">
        <v>2397</v>
      </c>
      <c r="J86" s="69" t="s">
        <v>2398</v>
      </c>
      <c r="K86" s="69"/>
      <c r="L86" s="72" t="s">
        <v>2392</v>
      </c>
      <c r="M86" s="72" t="b">
        <f t="shared" si="1"/>
        <v>1</v>
      </c>
    </row>
    <row r="87" spans="1:13" x14ac:dyDescent="0.25">
      <c r="A87" s="69" t="s">
        <v>1194</v>
      </c>
      <c r="B87" s="70">
        <v>40004587</v>
      </c>
      <c r="C87" s="69" t="s">
        <v>963</v>
      </c>
      <c r="D87" s="71" t="s">
        <v>2392</v>
      </c>
      <c r="E87" s="69" t="s">
        <v>2393</v>
      </c>
      <c r="F87" s="69">
        <v>30</v>
      </c>
      <c r="G87" s="69">
        <v>900</v>
      </c>
      <c r="H87" s="69" t="s">
        <v>2399</v>
      </c>
      <c r="I87" s="69" t="s">
        <v>2397</v>
      </c>
      <c r="J87" s="69" t="s">
        <v>2398</v>
      </c>
      <c r="K87" s="69"/>
      <c r="L87" s="72" t="s">
        <v>2392</v>
      </c>
      <c r="M87" s="72" t="b">
        <f t="shared" si="1"/>
        <v>1</v>
      </c>
    </row>
    <row r="88" spans="1:13" x14ac:dyDescent="0.25">
      <c r="A88" s="69" t="s">
        <v>449</v>
      </c>
      <c r="B88" s="70">
        <v>44005830</v>
      </c>
      <c r="C88" s="69" t="s">
        <v>451</v>
      </c>
      <c r="D88" s="71" t="s">
        <v>2387</v>
      </c>
      <c r="E88" s="69" t="s">
        <v>2388</v>
      </c>
      <c r="F88" s="69">
        <v>30</v>
      </c>
      <c r="G88" s="69">
        <v>60</v>
      </c>
      <c r="H88" s="69" t="s">
        <v>2391</v>
      </c>
      <c r="I88" s="69" t="s">
        <v>2431</v>
      </c>
      <c r="J88" s="69" t="s">
        <v>2424</v>
      </c>
      <c r="K88" s="69"/>
      <c r="L88" s="72" t="s">
        <v>2387</v>
      </c>
      <c r="M88" s="72" t="b">
        <f t="shared" si="1"/>
        <v>1</v>
      </c>
    </row>
    <row r="89" spans="1:13" x14ac:dyDescent="0.25">
      <c r="A89" s="69" t="s">
        <v>2112</v>
      </c>
      <c r="B89" s="70">
        <v>44003892</v>
      </c>
      <c r="C89" s="69" t="s">
        <v>177</v>
      </c>
      <c r="D89" s="71" t="s">
        <v>2387</v>
      </c>
      <c r="E89" s="69" t="s">
        <v>2388</v>
      </c>
      <c r="F89" s="69">
        <v>30</v>
      </c>
      <c r="G89" s="69">
        <v>30</v>
      </c>
      <c r="H89" s="69" t="s">
        <v>2399</v>
      </c>
      <c r="I89" s="69" t="s">
        <v>2433</v>
      </c>
      <c r="J89" s="69" t="s">
        <v>2427</v>
      </c>
      <c r="K89" s="69"/>
      <c r="L89" s="72" t="s">
        <v>2387</v>
      </c>
      <c r="M89" s="72" t="b">
        <f t="shared" si="1"/>
        <v>1</v>
      </c>
    </row>
    <row r="90" spans="1:13" x14ac:dyDescent="0.25">
      <c r="A90" s="69" t="s">
        <v>2111</v>
      </c>
      <c r="B90" s="70">
        <v>44003892</v>
      </c>
      <c r="C90" s="69" t="s">
        <v>177</v>
      </c>
      <c r="D90" s="71" t="s">
        <v>2387</v>
      </c>
      <c r="E90" s="69" t="s">
        <v>2388</v>
      </c>
      <c r="F90" s="69">
        <v>30</v>
      </c>
      <c r="G90" s="69">
        <v>30</v>
      </c>
      <c r="H90" s="69" t="s">
        <v>2399</v>
      </c>
      <c r="I90" s="69" t="s">
        <v>2433</v>
      </c>
      <c r="J90" s="69" t="s">
        <v>2434</v>
      </c>
      <c r="K90" s="69"/>
      <c r="L90" s="72" t="s">
        <v>2387</v>
      </c>
      <c r="M90" s="72" t="b">
        <f t="shared" si="1"/>
        <v>1</v>
      </c>
    </row>
    <row r="91" spans="1:13" x14ac:dyDescent="0.25">
      <c r="A91" s="69" t="s">
        <v>179</v>
      </c>
      <c r="B91" s="70">
        <v>44003892</v>
      </c>
      <c r="C91" s="69" t="s">
        <v>177</v>
      </c>
      <c r="D91" s="71" t="s">
        <v>2387</v>
      </c>
      <c r="E91" s="69" t="s">
        <v>2388</v>
      </c>
      <c r="F91" s="69">
        <v>30</v>
      </c>
      <c r="G91" s="69">
        <v>30</v>
      </c>
      <c r="H91" s="69" t="s">
        <v>2391</v>
      </c>
      <c r="I91" s="69" t="s">
        <v>2433</v>
      </c>
      <c r="J91" s="69" t="s">
        <v>2435</v>
      </c>
      <c r="K91" s="69"/>
      <c r="L91" s="72" t="s">
        <v>2387</v>
      </c>
      <c r="M91" s="72" t="b">
        <f t="shared" si="1"/>
        <v>1</v>
      </c>
    </row>
    <row r="92" spans="1:13" x14ac:dyDescent="0.25">
      <c r="A92" s="69" t="s">
        <v>175</v>
      </c>
      <c r="B92" s="70">
        <v>44003892</v>
      </c>
      <c r="C92" s="69" t="s">
        <v>177</v>
      </c>
      <c r="D92" s="71" t="s">
        <v>2387</v>
      </c>
      <c r="E92" s="69" t="s">
        <v>2388</v>
      </c>
      <c r="F92" s="69">
        <v>30</v>
      </c>
      <c r="G92" s="69">
        <v>30</v>
      </c>
      <c r="H92" s="69" t="s">
        <v>2391</v>
      </c>
      <c r="I92" s="69" t="s">
        <v>2433</v>
      </c>
      <c r="J92" s="69" t="s">
        <v>2435</v>
      </c>
      <c r="K92" s="69"/>
      <c r="L92" s="72" t="s">
        <v>2387</v>
      </c>
      <c r="M92" s="72" t="b">
        <f t="shared" si="1"/>
        <v>1</v>
      </c>
    </row>
    <row r="93" spans="1:13" x14ac:dyDescent="0.25">
      <c r="A93" s="69" t="s">
        <v>1900</v>
      </c>
      <c r="B93" s="70">
        <v>44003892</v>
      </c>
      <c r="C93" s="69" t="s">
        <v>177</v>
      </c>
      <c r="D93" s="71" t="s">
        <v>2387</v>
      </c>
      <c r="E93" s="69" t="s">
        <v>2388</v>
      </c>
      <c r="F93" s="69">
        <v>30</v>
      </c>
      <c r="G93" s="69">
        <v>30</v>
      </c>
      <c r="H93" s="69" t="s">
        <v>2391</v>
      </c>
      <c r="I93" s="69" t="s">
        <v>2433</v>
      </c>
      <c r="J93" s="69" t="s">
        <v>2435</v>
      </c>
      <c r="K93" s="69"/>
      <c r="L93" s="72" t="s">
        <v>2387</v>
      </c>
      <c r="M93" s="72" t="b">
        <f t="shared" si="1"/>
        <v>1</v>
      </c>
    </row>
    <row r="94" spans="1:13" x14ac:dyDescent="0.25">
      <c r="A94" s="69" t="s">
        <v>1882</v>
      </c>
      <c r="B94" s="70">
        <v>44003892</v>
      </c>
      <c r="C94" s="69" t="s">
        <v>177</v>
      </c>
      <c r="D94" s="71" t="s">
        <v>2387</v>
      </c>
      <c r="E94" s="69" t="s">
        <v>2388</v>
      </c>
      <c r="F94" s="69">
        <v>30</v>
      </c>
      <c r="G94" s="69">
        <v>30</v>
      </c>
      <c r="H94" s="69" t="s">
        <v>2399</v>
      </c>
      <c r="I94" s="69" t="s">
        <v>2433</v>
      </c>
      <c r="J94" s="69" t="s">
        <v>2427</v>
      </c>
      <c r="K94" s="69"/>
      <c r="L94" s="72" t="s">
        <v>2387</v>
      </c>
      <c r="M94" s="72" t="b">
        <f t="shared" si="1"/>
        <v>1</v>
      </c>
    </row>
    <row r="95" spans="1:13" x14ac:dyDescent="0.25">
      <c r="A95" s="69" t="s">
        <v>1770</v>
      </c>
      <c r="B95" s="70">
        <v>44003892</v>
      </c>
      <c r="C95" s="69" t="s">
        <v>177</v>
      </c>
      <c r="D95" s="71" t="s">
        <v>2387</v>
      </c>
      <c r="E95" s="69" t="s">
        <v>2388</v>
      </c>
      <c r="F95" s="69">
        <v>30</v>
      </c>
      <c r="G95" s="69">
        <v>30</v>
      </c>
      <c r="H95" s="69" t="s">
        <v>2399</v>
      </c>
      <c r="I95" s="69" t="s">
        <v>2433</v>
      </c>
      <c r="J95" s="69" t="s">
        <v>2427</v>
      </c>
      <c r="K95" s="69"/>
      <c r="L95" s="72" t="s">
        <v>2387</v>
      </c>
      <c r="M95" s="72" t="b">
        <f t="shared" si="1"/>
        <v>1</v>
      </c>
    </row>
    <row r="96" spans="1:13" x14ac:dyDescent="0.25">
      <c r="A96" s="69" t="s">
        <v>2135</v>
      </c>
      <c r="B96" s="70">
        <v>44003892</v>
      </c>
      <c r="C96" s="69" t="s">
        <v>177</v>
      </c>
      <c r="D96" s="71" t="s">
        <v>2387</v>
      </c>
      <c r="E96" s="69" t="s">
        <v>2388</v>
      </c>
      <c r="F96" s="69">
        <v>30</v>
      </c>
      <c r="G96" s="69">
        <v>30</v>
      </c>
      <c r="H96" s="69" t="s">
        <v>2399</v>
      </c>
      <c r="I96" s="69" t="s">
        <v>2433</v>
      </c>
      <c r="J96" s="69" t="s">
        <v>2427</v>
      </c>
      <c r="K96" s="69"/>
      <c r="L96" s="72" t="s">
        <v>2387</v>
      </c>
      <c r="M96" s="72" t="b">
        <f t="shared" si="1"/>
        <v>1</v>
      </c>
    </row>
    <row r="97" spans="1:13" x14ac:dyDescent="0.25">
      <c r="A97" s="69" t="s">
        <v>2134</v>
      </c>
      <c r="B97" s="70">
        <v>44003892</v>
      </c>
      <c r="C97" s="69" t="s">
        <v>177</v>
      </c>
      <c r="D97" s="71" t="s">
        <v>2387</v>
      </c>
      <c r="E97" s="69" t="s">
        <v>2388</v>
      </c>
      <c r="F97" s="69">
        <v>30</v>
      </c>
      <c r="G97" s="69">
        <v>30</v>
      </c>
      <c r="H97" s="69" t="s">
        <v>2399</v>
      </c>
      <c r="I97" s="69" t="s">
        <v>2433</v>
      </c>
      <c r="J97" s="69" t="s">
        <v>2427</v>
      </c>
      <c r="K97" s="69"/>
      <c r="L97" s="72" t="s">
        <v>2387</v>
      </c>
      <c r="M97" s="72" t="b">
        <f t="shared" si="1"/>
        <v>1</v>
      </c>
    </row>
    <row r="98" spans="1:13" x14ac:dyDescent="0.25">
      <c r="A98" s="69" t="s">
        <v>88</v>
      </c>
      <c r="B98" s="70">
        <v>44003892</v>
      </c>
      <c r="C98" s="69" t="s">
        <v>177</v>
      </c>
      <c r="D98" s="71" t="s">
        <v>2387</v>
      </c>
      <c r="E98" s="69" t="s">
        <v>2388</v>
      </c>
      <c r="F98" s="69">
        <v>30</v>
      </c>
      <c r="G98" s="69">
        <v>30</v>
      </c>
      <c r="H98" s="69" t="s">
        <v>2391</v>
      </c>
      <c r="I98" s="69" t="s">
        <v>2433</v>
      </c>
      <c r="J98" s="69" t="s">
        <v>2435</v>
      </c>
      <c r="K98" s="69"/>
      <c r="L98" s="72" t="s">
        <v>2387</v>
      </c>
      <c r="M98" s="72" t="b">
        <f t="shared" si="1"/>
        <v>1</v>
      </c>
    </row>
    <row r="99" spans="1:13" x14ac:dyDescent="0.25">
      <c r="A99" s="69" t="s">
        <v>2053</v>
      </c>
      <c r="B99" s="70">
        <v>44003892</v>
      </c>
      <c r="C99" s="69" t="s">
        <v>177</v>
      </c>
      <c r="D99" s="71" t="s">
        <v>2387</v>
      </c>
      <c r="E99" s="69" t="s">
        <v>2388</v>
      </c>
      <c r="F99" s="69">
        <v>30</v>
      </c>
      <c r="G99" s="69">
        <v>30</v>
      </c>
      <c r="H99" s="69" t="s">
        <v>2391</v>
      </c>
      <c r="I99" s="69" t="s">
        <v>2433</v>
      </c>
      <c r="J99" s="69" t="s">
        <v>2435</v>
      </c>
      <c r="K99" s="69"/>
      <c r="L99" s="72" t="s">
        <v>2387</v>
      </c>
      <c r="M99" s="72" t="b">
        <f t="shared" si="1"/>
        <v>1</v>
      </c>
    </row>
    <row r="100" spans="1:13" x14ac:dyDescent="0.25">
      <c r="A100" s="69" t="s">
        <v>1992</v>
      </c>
      <c r="B100" s="70">
        <v>44003892</v>
      </c>
      <c r="C100" s="69" t="s">
        <v>177</v>
      </c>
      <c r="D100" s="71" t="s">
        <v>2387</v>
      </c>
      <c r="E100" s="69" t="s">
        <v>2388</v>
      </c>
      <c r="F100" s="69">
        <v>30</v>
      </c>
      <c r="G100" s="69">
        <v>30</v>
      </c>
      <c r="H100" s="69" t="s">
        <v>2391</v>
      </c>
      <c r="I100" s="69" t="s">
        <v>2433</v>
      </c>
      <c r="J100" s="69" t="s">
        <v>2435</v>
      </c>
      <c r="K100" s="69"/>
      <c r="L100" s="72" t="s">
        <v>2387</v>
      </c>
      <c r="M100" s="72" t="b">
        <f t="shared" si="1"/>
        <v>1</v>
      </c>
    </row>
    <row r="101" spans="1:13" x14ac:dyDescent="0.25">
      <c r="A101" s="69" t="s">
        <v>1989</v>
      </c>
      <c r="B101" s="70">
        <v>44003892</v>
      </c>
      <c r="C101" s="69" t="s">
        <v>177</v>
      </c>
      <c r="D101" s="71" t="s">
        <v>2387</v>
      </c>
      <c r="E101" s="69" t="s">
        <v>2388</v>
      </c>
      <c r="F101" s="69">
        <v>30</v>
      </c>
      <c r="G101" s="69">
        <v>30</v>
      </c>
      <c r="H101" s="69" t="s">
        <v>2391</v>
      </c>
      <c r="I101" s="69" t="s">
        <v>2433</v>
      </c>
      <c r="J101" s="69" t="s">
        <v>2435</v>
      </c>
      <c r="K101" s="69"/>
      <c r="L101" s="72" t="s">
        <v>2387</v>
      </c>
      <c r="M101" s="72" t="b">
        <f t="shared" si="1"/>
        <v>1</v>
      </c>
    </row>
    <row r="102" spans="1:13" x14ac:dyDescent="0.25">
      <c r="A102" s="69" t="s">
        <v>2032</v>
      </c>
      <c r="B102" s="70">
        <v>44003892</v>
      </c>
      <c r="C102" s="69" t="s">
        <v>177</v>
      </c>
      <c r="D102" s="71" t="s">
        <v>2387</v>
      </c>
      <c r="E102" s="69" t="s">
        <v>2388</v>
      </c>
      <c r="F102" s="69">
        <v>30</v>
      </c>
      <c r="G102" s="69">
        <v>30</v>
      </c>
      <c r="H102" s="69" t="s">
        <v>2391</v>
      </c>
      <c r="I102" s="69" t="s">
        <v>2433</v>
      </c>
      <c r="J102" s="69" t="s">
        <v>2435</v>
      </c>
      <c r="K102" s="69"/>
      <c r="L102" s="72" t="s">
        <v>2387</v>
      </c>
      <c r="M102" s="72" t="b">
        <f t="shared" si="1"/>
        <v>1</v>
      </c>
    </row>
    <row r="103" spans="1:13" x14ac:dyDescent="0.25">
      <c r="A103" s="69" t="s">
        <v>2057</v>
      </c>
      <c r="B103" s="70">
        <v>44003892</v>
      </c>
      <c r="C103" s="69" t="s">
        <v>177</v>
      </c>
      <c r="D103" s="71" t="s">
        <v>2387</v>
      </c>
      <c r="E103" s="69" t="s">
        <v>2388</v>
      </c>
      <c r="F103" s="69">
        <v>30</v>
      </c>
      <c r="G103" s="69">
        <v>30</v>
      </c>
      <c r="H103" s="69" t="s">
        <v>2391</v>
      </c>
      <c r="I103" s="69" t="s">
        <v>2433</v>
      </c>
      <c r="J103" s="69" t="s">
        <v>2435</v>
      </c>
      <c r="K103" s="69"/>
      <c r="L103" s="72" t="s">
        <v>2387</v>
      </c>
      <c r="M103" s="72" t="b">
        <f t="shared" si="1"/>
        <v>1</v>
      </c>
    </row>
    <row r="104" spans="1:13" x14ac:dyDescent="0.25">
      <c r="A104" s="69" t="s">
        <v>2052</v>
      </c>
      <c r="B104" s="70">
        <v>44003892</v>
      </c>
      <c r="C104" s="69" t="s">
        <v>177</v>
      </c>
      <c r="D104" s="71" t="s">
        <v>2387</v>
      </c>
      <c r="E104" s="69" t="s">
        <v>2388</v>
      </c>
      <c r="F104" s="69">
        <v>30</v>
      </c>
      <c r="G104" s="69">
        <v>30</v>
      </c>
      <c r="H104" s="69" t="s">
        <v>2391</v>
      </c>
      <c r="I104" s="69" t="s">
        <v>2433</v>
      </c>
      <c r="J104" s="69" t="s">
        <v>2436</v>
      </c>
      <c r="K104" s="69"/>
      <c r="L104" s="72" t="s">
        <v>2387</v>
      </c>
      <c r="M104" s="72" t="b">
        <f t="shared" si="1"/>
        <v>1</v>
      </c>
    </row>
    <row r="105" spans="1:13" x14ac:dyDescent="0.25">
      <c r="A105" s="69" t="s">
        <v>1895</v>
      </c>
      <c r="B105" s="70">
        <v>44005438</v>
      </c>
      <c r="C105" s="69" t="s">
        <v>2437</v>
      </c>
      <c r="D105" s="71" t="s">
        <v>2961</v>
      </c>
      <c r="E105" s="69" t="s">
        <v>2388</v>
      </c>
      <c r="F105" s="69">
        <v>30</v>
      </c>
      <c r="G105" s="69">
        <v>90</v>
      </c>
      <c r="H105" s="69" t="s">
        <v>2391</v>
      </c>
      <c r="I105" s="69" t="s">
        <v>2429</v>
      </c>
      <c r="J105" s="69" t="s">
        <v>2427</v>
      </c>
      <c r="K105" s="69"/>
      <c r="L105" s="72" t="s">
        <v>2387</v>
      </c>
      <c r="M105" s="72" t="b">
        <f t="shared" si="1"/>
        <v>0</v>
      </c>
    </row>
    <row r="106" spans="1:13" x14ac:dyDescent="0.25">
      <c r="A106" s="69" t="s">
        <v>1990</v>
      </c>
      <c r="B106" s="70">
        <v>44000875</v>
      </c>
      <c r="C106" s="69" t="s">
        <v>2438</v>
      </c>
      <c r="D106" s="71" t="s">
        <v>2961</v>
      </c>
      <c r="E106" s="69" t="s">
        <v>2388</v>
      </c>
      <c r="F106" s="69">
        <v>30</v>
      </c>
      <c r="G106" s="69">
        <v>45</v>
      </c>
      <c r="H106" s="69" t="s">
        <v>2395</v>
      </c>
      <c r="I106" s="69" t="s">
        <v>2423</v>
      </c>
      <c r="J106" s="69" t="s">
        <v>2390</v>
      </c>
      <c r="K106" s="69"/>
      <c r="L106" s="72" t="s">
        <v>2392</v>
      </c>
      <c r="M106" s="72" t="b">
        <f t="shared" si="1"/>
        <v>0</v>
      </c>
    </row>
    <row r="107" spans="1:13" x14ac:dyDescent="0.25">
      <c r="A107" s="69" t="s">
        <v>2439</v>
      </c>
      <c r="B107" s="70">
        <v>44001798</v>
      </c>
      <c r="C107" s="69" t="s">
        <v>401</v>
      </c>
      <c r="D107" s="71" t="s">
        <v>2961</v>
      </c>
      <c r="E107" s="69" t="s">
        <v>2388</v>
      </c>
      <c r="F107" s="69">
        <v>30</v>
      </c>
      <c r="G107" s="69">
        <v>0</v>
      </c>
      <c r="H107" s="69" t="s">
        <v>2412</v>
      </c>
      <c r="I107" s="69" t="s">
        <v>2410</v>
      </c>
      <c r="J107" s="69"/>
      <c r="K107" s="69"/>
      <c r="L107" s="72" t="s">
        <v>2392</v>
      </c>
      <c r="M107" s="72" t="b">
        <f t="shared" si="1"/>
        <v>0</v>
      </c>
    </row>
    <row r="108" spans="1:13" x14ac:dyDescent="0.25">
      <c r="A108" s="69" t="s">
        <v>432</v>
      </c>
      <c r="B108" s="70">
        <v>44001798</v>
      </c>
      <c r="C108" s="69" t="s">
        <v>401</v>
      </c>
      <c r="D108" s="71" t="s">
        <v>2961</v>
      </c>
      <c r="E108" s="69" t="s">
        <v>2388</v>
      </c>
      <c r="F108" s="69">
        <v>30</v>
      </c>
      <c r="G108" s="69">
        <v>90</v>
      </c>
      <c r="H108" s="69" t="s">
        <v>2399</v>
      </c>
      <c r="I108" s="69" t="s">
        <v>2405</v>
      </c>
      <c r="J108" s="69" t="s">
        <v>2406</v>
      </c>
      <c r="K108" s="69"/>
      <c r="L108" s="72" t="s">
        <v>2392</v>
      </c>
      <c r="M108" s="72" t="b">
        <f t="shared" si="1"/>
        <v>0</v>
      </c>
    </row>
    <row r="109" spans="1:13" x14ac:dyDescent="0.25">
      <c r="A109" s="69" t="s">
        <v>429</v>
      </c>
      <c r="B109" s="70">
        <v>44001798</v>
      </c>
      <c r="C109" s="69" t="s">
        <v>401</v>
      </c>
      <c r="D109" s="71" t="s">
        <v>2961</v>
      </c>
      <c r="E109" s="69" t="s">
        <v>2388</v>
      </c>
      <c r="F109" s="69">
        <v>30</v>
      </c>
      <c r="G109" s="69">
        <v>90</v>
      </c>
      <c r="H109" s="69" t="s">
        <v>2399</v>
      </c>
      <c r="I109" s="69" t="s">
        <v>2405</v>
      </c>
      <c r="J109" s="69" t="s">
        <v>2406</v>
      </c>
      <c r="K109" s="69"/>
      <c r="L109" s="72" t="s">
        <v>2392</v>
      </c>
      <c r="M109" s="72" t="b">
        <f t="shared" si="1"/>
        <v>0</v>
      </c>
    </row>
    <row r="110" spans="1:13" x14ac:dyDescent="0.25">
      <c r="A110" s="69" t="s">
        <v>426</v>
      </c>
      <c r="B110" s="70">
        <v>44001798</v>
      </c>
      <c r="C110" s="69" t="s">
        <v>401</v>
      </c>
      <c r="D110" s="71" t="s">
        <v>2961</v>
      </c>
      <c r="E110" s="69" t="s">
        <v>2388</v>
      </c>
      <c r="F110" s="69">
        <v>30</v>
      </c>
      <c r="G110" s="69">
        <v>90</v>
      </c>
      <c r="H110" s="69" t="s">
        <v>2399</v>
      </c>
      <c r="I110" s="69" t="s">
        <v>2405</v>
      </c>
      <c r="J110" s="69" t="s">
        <v>2406</v>
      </c>
      <c r="K110" s="69"/>
      <c r="L110" s="72" t="s">
        <v>2392</v>
      </c>
      <c r="M110" s="72" t="b">
        <f t="shared" si="1"/>
        <v>0</v>
      </c>
    </row>
    <row r="111" spans="1:13" x14ac:dyDescent="0.25">
      <c r="A111" s="69" t="s">
        <v>423</v>
      </c>
      <c r="B111" s="70">
        <v>44001798</v>
      </c>
      <c r="C111" s="69" t="s">
        <v>401</v>
      </c>
      <c r="D111" s="71" t="s">
        <v>2961</v>
      </c>
      <c r="E111" s="69" t="s">
        <v>2388</v>
      </c>
      <c r="F111" s="69">
        <v>30</v>
      </c>
      <c r="G111" s="69">
        <v>90</v>
      </c>
      <c r="H111" s="69" t="s">
        <v>2399</v>
      </c>
      <c r="I111" s="69" t="s">
        <v>2405</v>
      </c>
      <c r="J111" s="69" t="s">
        <v>2406</v>
      </c>
      <c r="K111" s="69"/>
      <c r="L111" s="72" t="s">
        <v>2392</v>
      </c>
      <c r="M111" s="72" t="b">
        <f t="shared" si="1"/>
        <v>0</v>
      </c>
    </row>
    <row r="112" spans="1:13" x14ac:dyDescent="0.25">
      <c r="A112" s="69" t="s">
        <v>420</v>
      </c>
      <c r="B112" s="70">
        <v>44001798</v>
      </c>
      <c r="C112" s="69" t="s">
        <v>401</v>
      </c>
      <c r="D112" s="71" t="s">
        <v>2961</v>
      </c>
      <c r="E112" s="72" t="s">
        <v>2388</v>
      </c>
      <c r="F112" s="72">
        <v>30</v>
      </c>
      <c r="G112" s="72">
        <v>90</v>
      </c>
      <c r="H112" s="69" t="s">
        <v>2399</v>
      </c>
      <c r="I112" s="69" t="s">
        <v>2405</v>
      </c>
      <c r="J112" s="69" t="s">
        <v>2406</v>
      </c>
      <c r="L112" s="72" t="s">
        <v>2392</v>
      </c>
      <c r="M112" s="72" t="b">
        <f t="shared" si="1"/>
        <v>0</v>
      </c>
    </row>
    <row r="113" spans="1:13" x14ac:dyDescent="0.25">
      <c r="A113" s="72" t="s">
        <v>417</v>
      </c>
      <c r="B113" s="70">
        <v>44001798</v>
      </c>
      <c r="C113" s="69" t="s">
        <v>401</v>
      </c>
      <c r="D113" s="71" t="s">
        <v>2961</v>
      </c>
      <c r="E113" s="72" t="s">
        <v>2388</v>
      </c>
      <c r="F113" s="72">
        <v>30</v>
      </c>
      <c r="G113" s="72">
        <v>90</v>
      </c>
      <c r="H113" s="69" t="s">
        <v>2399</v>
      </c>
      <c r="I113" s="69" t="s">
        <v>2405</v>
      </c>
      <c r="J113" s="69" t="s">
        <v>2406</v>
      </c>
      <c r="L113" s="72" t="s">
        <v>2392</v>
      </c>
      <c r="M113" s="72" t="b">
        <f t="shared" si="1"/>
        <v>0</v>
      </c>
    </row>
    <row r="114" spans="1:13" x14ac:dyDescent="0.25">
      <c r="A114" s="69" t="s">
        <v>414</v>
      </c>
      <c r="B114" s="70">
        <v>44001798</v>
      </c>
      <c r="C114" s="69" t="s">
        <v>401</v>
      </c>
      <c r="D114" s="71" t="s">
        <v>2961</v>
      </c>
      <c r="E114" s="69" t="s">
        <v>2388</v>
      </c>
      <c r="F114" s="69">
        <v>30</v>
      </c>
      <c r="G114" s="69">
        <v>90</v>
      </c>
      <c r="H114" s="69" t="s">
        <v>2399</v>
      </c>
      <c r="I114" s="69" t="s">
        <v>2405</v>
      </c>
      <c r="J114" s="69" t="s">
        <v>2406</v>
      </c>
      <c r="K114" s="69"/>
      <c r="L114" s="72" t="s">
        <v>2392</v>
      </c>
      <c r="M114" s="72" t="b">
        <f t="shared" si="1"/>
        <v>0</v>
      </c>
    </row>
    <row r="115" spans="1:13" x14ac:dyDescent="0.25">
      <c r="A115" s="72" t="s">
        <v>409</v>
      </c>
      <c r="B115" s="70">
        <v>44001798</v>
      </c>
      <c r="C115" s="69" t="s">
        <v>401</v>
      </c>
      <c r="D115" s="71" t="s">
        <v>2961</v>
      </c>
      <c r="E115" s="72" t="s">
        <v>2388</v>
      </c>
      <c r="F115" s="72">
        <v>30</v>
      </c>
      <c r="G115" s="72">
        <v>90</v>
      </c>
      <c r="H115" s="69" t="s">
        <v>2399</v>
      </c>
      <c r="I115" s="69" t="s">
        <v>2405</v>
      </c>
      <c r="J115" s="69" t="s">
        <v>2406</v>
      </c>
      <c r="L115" s="72" t="s">
        <v>2392</v>
      </c>
      <c r="M115" s="72" t="b">
        <f t="shared" si="1"/>
        <v>0</v>
      </c>
    </row>
    <row r="116" spans="1:13" x14ac:dyDescent="0.25">
      <c r="A116" s="69" t="s">
        <v>406</v>
      </c>
      <c r="B116" s="70">
        <v>44001798</v>
      </c>
      <c r="C116" s="69" t="s">
        <v>401</v>
      </c>
      <c r="D116" s="71" t="s">
        <v>2961</v>
      </c>
      <c r="E116" s="69" t="s">
        <v>2388</v>
      </c>
      <c r="F116" s="69">
        <v>30</v>
      </c>
      <c r="G116" s="69">
        <v>90</v>
      </c>
      <c r="H116" s="69" t="s">
        <v>2399</v>
      </c>
      <c r="I116" s="69" t="s">
        <v>2405</v>
      </c>
      <c r="J116" s="69" t="s">
        <v>2406</v>
      </c>
      <c r="K116" s="69"/>
      <c r="L116" s="72" t="s">
        <v>2392</v>
      </c>
      <c r="M116" s="72" t="b">
        <f t="shared" si="1"/>
        <v>0</v>
      </c>
    </row>
    <row r="117" spans="1:13" x14ac:dyDescent="0.25">
      <c r="A117" s="69" t="s">
        <v>2240</v>
      </c>
      <c r="B117" s="70">
        <v>44001798</v>
      </c>
      <c r="C117" s="69" t="s">
        <v>401</v>
      </c>
      <c r="D117" s="71" t="s">
        <v>2961</v>
      </c>
      <c r="E117" s="69" t="s">
        <v>2388</v>
      </c>
      <c r="F117" s="69">
        <v>30</v>
      </c>
      <c r="G117" s="69">
        <v>90</v>
      </c>
      <c r="H117" s="69" t="s">
        <v>2399</v>
      </c>
      <c r="I117" s="69" t="s">
        <v>2405</v>
      </c>
      <c r="J117" s="69" t="s">
        <v>2406</v>
      </c>
      <c r="K117" s="69"/>
      <c r="L117" s="72" t="s">
        <v>2392</v>
      </c>
      <c r="M117" s="72" t="b">
        <f t="shared" si="1"/>
        <v>0</v>
      </c>
    </row>
    <row r="118" spans="1:13" x14ac:dyDescent="0.25">
      <c r="A118" s="69" t="s">
        <v>1871</v>
      </c>
      <c r="B118" s="70">
        <v>44001839</v>
      </c>
      <c r="C118" s="69" t="s">
        <v>2440</v>
      </c>
      <c r="D118" s="71" t="s">
        <v>2961</v>
      </c>
      <c r="E118" s="69" t="s">
        <v>2388</v>
      </c>
      <c r="F118" s="69">
        <v>30</v>
      </c>
      <c r="G118" s="69">
        <v>30</v>
      </c>
      <c r="H118" s="69" t="s">
        <v>2391</v>
      </c>
      <c r="I118" s="69" t="s">
        <v>2441</v>
      </c>
      <c r="J118" s="69" t="s">
        <v>2390</v>
      </c>
      <c r="K118" s="69"/>
      <c r="L118" s="72" t="s">
        <v>2387</v>
      </c>
      <c r="M118" s="72" t="b">
        <f t="shared" si="1"/>
        <v>0</v>
      </c>
    </row>
    <row r="119" spans="1:13" x14ac:dyDescent="0.25">
      <c r="A119" s="69" t="s">
        <v>1868</v>
      </c>
      <c r="B119" s="70">
        <v>44001839</v>
      </c>
      <c r="C119" s="69" t="s">
        <v>2440</v>
      </c>
      <c r="D119" s="71" t="s">
        <v>2387</v>
      </c>
      <c r="E119" s="69" t="s">
        <v>2388</v>
      </c>
      <c r="F119" s="69">
        <v>30</v>
      </c>
      <c r="G119" s="69">
        <v>0</v>
      </c>
      <c r="H119" s="69" t="s">
        <v>2412</v>
      </c>
      <c r="I119" s="69" t="s">
        <v>2410</v>
      </c>
      <c r="J119" s="69" t="s">
        <v>2408</v>
      </c>
      <c r="K119" s="69" t="s">
        <v>3012</v>
      </c>
      <c r="L119" s="72" t="s">
        <v>2387</v>
      </c>
      <c r="M119" s="72" t="b">
        <f t="shared" si="1"/>
        <v>1</v>
      </c>
    </row>
    <row r="120" spans="1:13" x14ac:dyDescent="0.25">
      <c r="A120" s="69" t="s">
        <v>1707</v>
      </c>
      <c r="B120" s="70">
        <v>44001839</v>
      </c>
      <c r="C120" s="69" t="s">
        <v>2440</v>
      </c>
      <c r="D120" s="71" t="s">
        <v>2961</v>
      </c>
      <c r="E120" s="69" t="s">
        <v>2388</v>
      </c>
      <c r="F120" s="69">
        <v>30</v>
      </c>
      <c r="G120" s="69">
        <v>30</v>
      </c>
      <c r="H120" s="69" t="s">
        <v>2391</v>
      </c>
      <c r="I120" s="69" t="s">
        <v>2442</v>
      </c>
      <c r="J120" s="69" t="s">
        <v>2390</v>
      </c>
      <c r="K120" s="69"/>
      <c r="L120" s="72" t="s">
        <v>2387</v>
      </c>
      <c r="M120" s="72" t="b">
        <f t="shared" si="1"/>
        <v>0</v>
      </c>
    </row>
    <row r="121" spans="1:13" x14ac:dyDescent="0.25">
      <c r="A121" s="69" t="s">
        <v>2002</v>
      </c>
      <c r="B121" s="70">
        <v>44001839</v>
      </c>
      <c r="C121" s="69" t="s">
        <v>2440</v>
      </c>
      <c r="D121" s="71" t="s">
        <v>2961</v>
      </c>
      <c r="E121" s="69" t="s">
        <v>2388</v>
      </c>
      <c r="F121" s="69">
        <v>30</v>
      </c>
      <c r="G121" s="69">
        <v>30</v>
      </c>
      <c r="H121" s="69" t="s">
        <v>2391</v>
      </c>
      <c r="I121" s="69" t="s">
        <v>2442</v>
      </c>
      <c r="J121" s="69" t="s">
        <v>2390</v>
      </c>
      <c r="K121" s="69"/>
      <c r="L121" s="72" t="s">
        <v>2387</v>
      </c>
      <c r="M121" s="72" t="b">
        <f t="shared" si="1"/>
        <v>0</v>
      </c>
    </row>
    <row r="122" spans="1:13" x14ac:dyDescent="0.25">
      <c r="A122" s="69" t="s">
        <v>1704</v>
      </c>
      <c r="B122" s="70">
        <v>44001839</v>
      </c>
      <c r="C122" s="69" t="s">
        <v>2440</v>
      </c>
      <c r="D122" s="71" t="s">
        <v>2961</v>
      </c>
      <c r="E122" s="69" t="s">
        <v>2388</v>
      </c>
      <c r="F122" s="69">
        <v>30</v>
      </c>
      <c r="G122" s="69">
        <v>30</v>
      </c>
      <c r="H122" s="69" t="s">
        <v>2391</v>
      </c>
      <c r="I122" s="69" t="s">
        <v>2442</v>
      </c>
      <c r="J122" s="69" t="s">
        <v>2390</v>
      </c>
      <c r="K122" s="69"/>
      <c r="L122" s="72" t="s">
        <v>2387</v>
      </c>
      <c r="M122" s="72" t="b">
        <f t="shared" si="1"/>
        <v>0</v>
      </c>
    </row>
    <row r="123" spans="1:13" x14ac:dyDescent="0.25">
      <c r="A123" s="69" t="s">
        <v>1701</v>
      </c>
      <c r="B123" s="70">
        <v>44001839</v>
      </c>
      <c r="C123" s="69" t="s">
        <v>2440</v>
      </c>
      <c r="D123" s="71" t="s">
        <v>2961</v>
      </c>
      <c r="E123" s="69" t="s">
        <v>2388</v>
      </c>
      <c r="F123" s="69">
        <v>30</v>
      </c>
      <c r="G123" s="69">
        <v>30</v>
      </c>
      <c r="H123" s="69" t="s">
        <v>2391</v>
      </c>
      <c r="I123" s="69" t="s">
        <v>2442</v>
      </c>
      <c r="J123" s="69" t="s">
        <v>2390</v>
      </c>
      <c r="K123" s="69"/>
      <c r="L123" s="72" t="s">
        <v>2387</v>
      </c>
      <c r="M123" s="72" t="b">
        <f t="shared" si="1"/>
        <v>0</v>
      </c>
    </row>
    <row r="124" spans="1:13" x14ac:dyDescent="0.25">
      <c r="A124" s="69" t="s">
        <v>1698</v>
      </c>
      <c r="B124" s="70">
        <v>44001839</v>
      </c>
      <c r="C124" s="69" t="s">
        <v>2440</v>
      </c>
      <c r="D124" s="71" t="s">
        <v>2961</v>
      </c>
      <c r="E124" s="69" t="s">
        <v>2388</v>
      </c>
      <c r="F124" s="69">
        <v>30</v>
      </c>
      <c r="G124" s="69">
        <v>30</v>
      </c>
      <c r="H124" s="69" t="s">
        <v>2391</v>
      </c>
      <c r="I124" s="69" t="s">
        <v>2442</v>
      </c>
      <c r="J124" s="69" t="s">
        <v>2390</v>
      </c>
      <c r="K124" s="69"/>
      <c r="L124" s="72" t="s">
        <v>2387</v>
      </c>
      <c r="M124" s="72" t="b">
        <f t="shared" si="1"/>
        <v>0</v>
      </c>
    </row>
    <row r="125" spans="1:13" x14ac:dyDescent="0.25">
      <c r="A125" s="69" t="s">
        <v>1696</v>
      </c>
      <c r="B125" s="70">
        <v>44001839</v>
      </c>
      <c r="C125" s="69" t="s">
        <v>2440</v>
      </c>
      <c r="D125" s="71" t="s">
        <v>2961</v>
      </c>
      <c r="E125" s="69" t="s">
        <v>2388</v>
      </c>
      <c r="F125" s="69">
        <v>30</v>
      </c>
      <c r="G125" s="69">
        <v>30</v>
      </c>
      <c r="H125" s="69" t="s">
        <v>2391</v>
      </c>
      <c r="I125" s="69" t="s">
        <v>2442</v>
      </c>
      <c r="J125" s="69" t="s">
        <v>2390</v>
      </c>
      <c r="K125" s="69"/>
      <c r="L125" s="72" t="s">
        <v>2387</v>
      </c>
      <c r="M125" s="72" t="b">
        <f t="shared" si="1"/>
        <v>0</v>
      </c>
    </row>
    <row r="126" spans="1:13" x14ac:dyDescent="0.25">
      <c r="A126" s="69" t="s">
        <v>711</v>
      </c>
      <c r="B126" s="70">
        <v>44001839</v>
      </c>
      <c r="C126" s="69" t="s">
        <v>2440</v>
      </c>
      <c r="D126" s="71" t="s">
        <v>2961</v>
      </c>
      <c r="E126" s="69" t="s">
        <v>2388</v>
      </c>
      <c r="F126" s="69">
        <v>30</v>
      </c>
      <c r="G126" s="69">
        <v>30</v>
      </c>
      <c r="H126" s="69" t="s">
        <v>2391</v>
      </c>
      <c r="I126" s="69" t="s">
        <v>2442</v>
      </c>
      <c r="J126" s="69" t="s">
        <v>2390</v>
      </c>
      <c r="K126" s="69"/>
      <c r="L126" s="72" t="s">
        <v>2387</v>
      </c>
      <c r="M126" s="72" t="b">
        <f t="shared" si="1"/>
        <v>0</v>
      </c>
    </row>
    <row r="127" spans="1:13" x14ac:dyDescent="0.25">
      <c r="A127" s="69" t="s">
        <v>1692</v>
      </c>
      <c r="B127" s="70">
        <v>44001839</v>
      </c>
      <c r="C127" s="69" t="s">
        <v>2440</v>
      </c>
      <c r="D127" s="71" t="s">
        <v>2961</v>
      </c>
      <c r="E127" s="69" t="s">
        <v>2388</v>
      </c>
      <c r="F127" s="69">
        <v>30</v>
      </c>
      <c r="G127" s="69">
        <v>30</v>
      </c>
      <c r="H127" s="69" t="s">
        <v>2391</v>
      </c>
      <c r="I127" s="69" t="s">
        <v>2442</v>
      </c>
      <c r="J127" s="69" t="s">
        <v>2390</v>
      </c>
      <c r="K127" s="69"/>
      <c r="L127" s="72" t="s">
        <v>2387</v>
      </c>
      <c r="M127" s="72" t="b">
        <f t="shared" si="1"/>
        <v>0</v>
      </c>
    </row>
    <row r="128" spans="1:13" x14ac:dyDescent="0.25">
      <c r="A128" s="69" t="s">
        <v>1842</v>
      </c>
      <c r="B128" s="70">
        <v>44001829</v>
      </c>
      <c r="C128" s="69" t="s">
        <v>2443</v>
      </c>
      <c r="D128" s="71" t="s">
        <v>2392</v>
      </c>
      <c r="E128" s="69" t="s">
        <v>2388</v>
      </c>
      <c r="F128" s="69">
        <v>30</v>
      </c>
      <c r="G128" s="69">
        <v>30</v>
      </c>
      <c r="H128" s="69" t="s">
        <v>2412</v>
      </c>
      <c r="I128" s="69" t="s">
        <v>2410</v>
      </c>
      <c r="J128" s="69" t="s">
        <v>2444</v>
      </c>
      <c r="K128" s="69" t="s">
        <v>3205</v>
      </c>
      <c r="L128" s="72" t="s">
        <v>2392</v>
      </c>
      <c r="M128" s="72" t="b">
        <f t="shared" si="1"/>
        <v>1</v>
      </c>
    </row>
    <row r="129" spans="1:13" x14ac:dyDescent="0.25">
      <c r="A129" s="69" t="s">
        <v>1994</v>
      </c>
      <c r="B129" s="70">
        <v>44001811</v>
      </c>
      <c r="C129" s="69" t="s">
        <v>1855</v>
      </c>
      <c r="D129" s="71" t="s">
        <v>2961</v>
      </c>
      <c r="E129" s="69" t="s">
        <v>2388</v>
      </c>
      <c r="F129" s="69">
        <v>30</v>
      </c>
      <c r="G129" s="69">
        <v>30</v>
      </c>
      <c r="H129" s="69" t="s">
        <v>2391</v>
      </c>
      <c r="I129" s="69" t="s">
        <v>2441</v>
      </c>
      <c r="J129" s="69" t="s">
        <v>2390</v>
      </c>
      <c r="K129" s="69"/>
      <c r="L129" s="72" t="s">
        <v>2387</v>
      </c>
      <c r="M129" s="72" t="b">
        <f t="shared" si="1"/>
        <v>0</v>
      </c>
    </row>
    <row r="130" spans="1:13" x14ac:dyDescent="0.25">
      <c r="A130" s="69" t="s">
        <v>1874</v>
      </c>
      <c r="B130" s="70">
        <v>44001811</v>
      </c>
      <c r="C130" s="69" t="s">
        <v>1855</v>
      </c>
      <c r="D130" s="71" t="s">
        <v>2961</v>
      </c>
      <c r="E130" s="69" t="s">
        <v>2388</v>
      </c>
      <c r="F130" s="69">
        <v>30</v>
      </c>
      <c r="G130" s="69">
        <v>30</v>
      </c>
      <c r="H130" s="69" t="s">
        <v>2391</v>
      </c>
      <c r="I130" s="69" t="s">
        <v>2441</v>
      </c>
      <c r="J130" s="69" t="s">
        <v>2390</v>
      </c>
      <c r="K130" s="69"/>
      <c r="L130" s="72" t="s">
        <v>2387</v>
      </c>
      <c r="M130" s="72" t="b">
        <f t="shared" ref="M130:M193" si="2">L130=D130</f>
        <v>0</v>
      </c>
    </row>
    <row r="131" spans="1:13" x14ac:dyDescent="0.25">
      <c r="A131" s="69" t="s">
        <v>1853</v>
      </c>
      <c r="B131" s="70">
        <v>44001811</v>
      </c>
      <c r="C131" s="69" t="s">
        <v>1855</v>
      </c>
      <c r="D131" s="71" t="s">
        <v>2961</v>
      </c>
      <c r="E131" s="69" t="s">
        <v>2388</v>
      </c>
      <c r="F131" s="69">
        <v>30</v>
      </c>
      <c r="G131" s="69">
        <v>30</v>
      </c>
      <c r="H131" s="69" t="s">
        <v>2391</v>
      </c>
      <c r="I131" s="69" t="s">
        <v>2441</v>
      </c>
      <c r="J131" s="69" t="s">
        <v>2408</v>
      </c>
      <c r="K131" s="69"/>
      <c r="L131" s="72" t="s">
        <v>2387</v>
      </c>
      <c r="M131" s="72" t="b">
        <f t="shared" si="2"/>
        <v>0</v>
      </c>
    </row>
    <row r="132" spans="1:13" x14ac:dyDescent="0.25">
      <c r="A132" s="69" t="s">
        <v>1905</v>
      </c>
      <c r="B132" s="70"/>
      <c r="C132" s="69"/>
      <c r="D132" s="71" t="s">
        <v>2387</v>
      </c>
      <c r="E132" s="69" t="s">
        <v>2388</v>
      </c>
      <c r="F132" s="69">
        <v>30</v>
      </c>
      <c r="G132" s="69"/>
      <c r="H132" s="69" t="s">
        <v>2391</v>
      </c>
      <c r="I132" s="69" t="s">
        <v>2407</v>
      </c>
      <c r="J132" s="69" t="s">
        <v>2408</v>
      </c>
      <c r="K132" s="69"/>
      <c r="L132" s="72" t="s">
        <v>2392</v>
      </c>
      <c r="M132" s="72" t="b">
        <f t="shared" si="2"/>
        <v>0</v>
      </c>
    </row>
    <row r="133" spans="1:13" x14ac:dyDescent="0.25">
      <c r="A133" s="69" t="s">
        <v>1725</v>
      </c>
      <c r="B133" s="70">
        <v>44001889</v>
      </c>
      <c r="C133" s="69" t="s">
        <v>2445</v>
      </c>
      <c r="D133" s="71" t="s">
        <v>2961</v>
      </c>
      <c r="E133" s="69" t="s">
        <v>2388</v>
      </c>
      <c r="F133" s="69">
        <v>30</v>
      </c>
      <c r="G133" s="69">
        <v>30</v>
      </c>
      <c r="H133" s="69" t="s">
        <v>2391</v>
      </c>
      <c r="I133" s="69" t="s">
        <v>2446</v>
      </c>
      <c r="J133" s="69" t="s">
        <v>2415</v>
      </c>
      <c r="K133" s="69"/>
      <c r="L133" s="72" t="s">
        <v>2392</v>
      </c>
      <c r="M133" s="72" t="b">
        <f t="shared" si="2"/>
        <v>0</v>
      </c>
    </row>
    <row r="134" spans="1:13" x14ac:dyDescent="0.25">
      <c r="A134" s="69" t="s">
        <v>1825</v>
      </c>
      <c r="B134" s="70">
        <v>44005119</v>
      </c>
      <c r="C134" s="69" t="s">
        <v>990</v>
      </c>
      <c r="D134" s="71" t="s">
        <v>2392</v>
      </c>
      <c r="E134" s="69" t="s">
        <v>2388</v>
      </c>
      <c r="F134" s="69">
        <v>30</v>
      </c>
      <c r="G134" s="69">
        <v>180</v>
      </c>
      <c r="H134" s="69" t="s">
        <v>2395</v>
      </c>
      <c r="I134" s="69" t="s">
        <v>2407</v>
      </c>
      <c r="J134" s="69" t="s">
        <v>2408</v>
      </c>
      <c r="K134" s="69"/>
      <c r="L134" s="72" t="s">
        <v>2387</v>
      </c>
      <c r="M134" s="72" t="b">
        <f t="shared" si="2"/>
        <v>0</v>
      </c>
    </row>
    <row r="135" spans="1:13" x14ac:dyDescent="0.25">
      <c r="A135" s="69" t="s">
        <v>987</v>
      </c>
      <c r="B135" s="70">
        <v>44005119</v>
      </c>
      <c r="C135" s="69" t="s">
        <v>990</v>
      </c>
      <c r="D135" s="71" t="s">
        <v>2392</v>
      </c>
      <c r="E135" s="69" t="s">
        <v>2388</v>
      </c>
      <c r="F135" s="69">
        <v>30</v>
      </c>
      <c r="G135" s="69">
        <v>90</v>
      </c>
      <c r="H135" s="69" t="s">
        <v>2391</v>
      </c>
      <c r="I135" s="69" t="s">
        <v>2447</v>
      </c>
      <c r="J135" s="69" t="s">
        <v>2408</v>
      </c>
      <c r="K135" s="69"/>
      <c r="L135" s="72" t="s">
        <v>2387</v>
      </c>
      <c r="M135" s="72" t="b">
        <f t="shared" si="2"/>
        <v>0</v>
      </c>
    </row>
    <row r="136" spans="1:13" x14ac:dyDescent="0.25">
      <c r="A136" s="69" t="s">
        <v>1814</v>
      </c>
      <c r="B136" s="70">
        <v>44005740</v>
      </c>
      <c r="C136" s="69" t="s">
        <v>2448</v>
      </c>
      <c r="D136" s="71" t="s">
        <v>2961</v>
      </c>
      <c r="E136" s="69" t="s">
        <v>2388</v>
      </c>
      <c r="F136" s="69">
        <v>30</v>
      </c>
      <c r="G136" s="69">
        <v>30</v>
      </c>
      <c r="H136" s="69" t="s">
        <v>2449</v>
      </c>
      <c r="I136" s="69" t="s">
        <v>2420</v>
      </c>
      <c r="J136" s="69" t="s">
        <v>2427</v>
      </c>
      <c r="K136" s="69"/>
      <c r="L136" s="72" t="s">
        <v>2387</v>
      </c>
      <c r="M136" s="72" t="b">
        <f t="shared" si="2"/>
        <v>0</v>
      </c>
    </row>
    <row r="137" spans="1:13" x14ac:dyDescent="0.25">
      <c r="A137" s="69" t="s">
        <v>2040</v>
      </c>
      <c r="B137" s="70">
        <v>44005716</v>
      </c>
      <c r="C137" s="69" t="s">
        <v>2450</v>
      </c>
      <c r="D137" s="71" t="s">
        <v>2387</v>
      </c>
      <c r="E137" s="69" t="s">
        <v>2388</v>
      </c>
      <c r="F137" s="69">
        <v>30</v>
      </c>
      <c r="G137" s="69">
        <v>90</v>
      </c>
      <c r="H137" s="69" t="s">
        <v>2391</v>
      </c>
      <c r="I137" s="69" t="s">
        <v>2431</v>
      </c>
      <c r="J137" s="69" t="s">
        <v>2427</v>
      </c>
      <c r="K137" s="69"/>
      <c r="L137" s="72" t="s">
        <v>2387</v>
      </c>
      <c r="M137" s="72" t="b">
        <f t="shared" si="2"/>
        <v>1</v>
      </c>
    </row>
    <row r="138" spans="1:13" x14ac:dyDescent="0.25">
      <c r="A138" s="69" t="s">
        <v>1050</v>
      </c>
      <c r="B138" s="70">
        <v>44000447</v>
      </c>
      <c r="C138" s="69" t="s">
        <v>922</v>
      </c>
      <c r="D138" s="71" t="s">
        <v>2392</v>
      </c>
      <c r="E138" s="69" t="s">
        <v>2388</v>
      </c>
      <c r="F138" s="69">
        <v>30</v>
      </c>
      <c r="G138" s="69">
        <v>90</v>
      </c>
      <c r="H138" s="69" t="s">
        <v>2395</v>
      </c>
      <c r="I138" s="69" t="s">
        <v>2451</v>
      </c>
      <c r="J138" s="69" t="s">
        <v>2398</v>
      </c>
      <c r="K138" s="69"/>
      <c r="L138" s="72" t="s">
        <v>2387</v>
      </c>
      <c r="M138" s="72" t="b">
        <f t="shared" si="2"/>
        <v>0</v>
      </c>
    </row>
    <row r="139" spans="1:13" x14ac:dyDescent="0.25">
      <c r="A139" s="69" t="s">
        <v>991</v>
      </c>
      <c r="B139" s="70">
        <v>44000447</v>
      </c>
      <c r="C139" s="69" t="s">
        <v>922</v>
      </c>
      <c r="D139" s="71" t="s">
        <v>2392</v>
      </c>
      <c r="E139" s="69" t="s">
        <v>2388</v>
      </c>
      <c r="F139" s="69">
        <v>30</v>
      </c>
      <c r="G139" s="69">
        <v>45</v>
      </c>
      <c r="H139" s="69" t="s">
        <v>2391</v>
      </c>
      <c r="I139" s="69" t="s">
        <v>2431</v>
      </c>
      <c r="J139" s="69" t="s">
        <v>2416</v>
      </c>
      <c r="K139" s="69"/>
      <c r="L139" s="72" t="s">
        <v>2387</v>
      </c>
      <c r="M139" s="72" t="b">
        <f t="shared" si="2"/>
        <v>0</v>
      </c>
    </row>
    <row r="140" spans="1:13" x14ac:dyDescent="0.25">
      <c r="A140" s="69" t="s">
        <v>920</v>
      </c>
      <c r="B140" s="70">
        <v>44000447</v>
      </c>
      <c r="C140" s="69" t="s">
        <v>922</v>
      </c>
      <c r="D140" s="71" t="s">
        <v>2392</v>
      </c>
      <c r="E140" s="69" t="s">
        <v>2388</v>
      </c>
      <c r="F140" s="69">
        <v>30</v>
      </c>
      <c r="G140" s="69">
        <v>90</v>
      </c>
      <c r="H140" s="69" t="s">
        <v>2395</v>
      </c>
      <c r="I140" s="69" t="s">
        <v>2451</v>
      </c>
      <c r="J140" s="69" t="s">
        <v>2398</v>
      </c>
      <c r="K140" s="69"/>
      <c r="L140" s="72" t="s">
        <v>2387</v>
      </c>
      <c r="M140" s="72" t="b">
        <f t="shared" si="2"/>
        <v>0</v>
      </c>
    </row>
    <row r="141" spans="1:13" x14ac:dyDescent="0.25">
      <c r="A141" s="69" t="s">
        <v>1463</v>
      </c>
      <c r="B141" s="70">
        <v>44000447</v>
      </c>
      <c r="C141" s="69" t="s">
        <v>922</v>
      </c>
      <c r="D141" s="71" t="s">
        <v>2392</v>
      </c>
      <c r="E141" s="69" t="s">
        <v>2388</v>
      </c>
      <c r="F141" s="69">
        <v>30</v>
      </c>
      <c r="G141" s="69">
        <v>90</v>
      </c>
      <c r="H141" s="69" t="s">
        <v>2395</v>
      </c>
      <c r="I141" s="69" t="s">
        <v>2451</v>
      </c>
      <c r="J141" s="69" t="s">
        <v>2398</v>
      </c>
      <c r="K141" s="69"/>
      <c r="L141" s="72" t="s">
        <v>2387</v>
      </c>
      <c r="M141" s="72" t="b">
        <f t="shared" si="2"/>
        <v>0</v>
      </c>
    </row>
    <row r="142" spans="1:13" x14ac:dyDescent="0.25">
      <c r="A142" s="69" t="s">
        <v>1454</v>
      </c>
      <c r="B142" s="70">
        <v>44000447</v>
      </c>
      <c r="C142" s="69" t="s">
        <v>922</v>
      </c>
      <c r="D142" s="71" t="s">
        <v>2392</v>
      </c>
      <c r="E142" s="69" t="s">
        <v>2388</v>
      </c>
      <c r="F142" s="69">
        <v>30</v>
      </c>
      <c r="G142" s="69">
        <v>90</v>
      </c>
      <c r="H142" s="69" t="s">
        <v>2395</v>
      </c>
      <c r="I142" s="69" t="s">
        <v>2451</v>
      </c>
      <c r="J142" s="69" t="s">
        <v>2398</v>
      </c>
      <c r="K142" s="69"/>
      <c r="L142" s="72" t="s">
        <v>2387</v>
      </c>
      <c r="M142" s="72" t="b">
        <f t="shared" si="2"/>
        <v>0</v>
      </c>
    </row>
    <row r="143" spans="1:13" x14ac:dyDescent="0.25">
      <c r="A143" s="69" t="s">
        <v>1454</v>
      </c>
      <c r="B143" s="70" t="s">
        <v>3014</v>
      </c>
      <c r="C143" s="69" t="s">
        <v>3015</v>
      </c>
      <c r="D143" s="71" t="s">
        <v>2392</v>
      </c>
      <c r="E143" s="69" t="s">
        <v>2388</v>
      </c>
      <c r="F143" s="69">
        <v>30</v>
      </c>
      <c r="G143" s="69">
        <v>90</v>
      </c>
      <c r="H143" s="69" t="s">
        <v>2395</v>
      </c>
      <c r="I143" s="69" t="s">
        <v>2451</v>
      </c>
      <c r="J143" s="69" t="s">
        <v>2398</v>
      </c>
      <c r="K143" s="69"/>
      <c r="L143" s="72" t="s">
        <v>2387</v>
      </c>
      <c r="M143" s="72" t="b">
        <f t="shared" si="2"/>
        <v>0</v>
      </c>
    </row>
    <row r="144" spans="1:13" x14ac:dyDescent="0.25">
      <c r="A144" s="69" t="s">
        <v>1441</v>
      </c>
      <c r="B144" s="70">
        <v>44000447</v>
      </c>
      <c r="C144" s="69" t="s">
        <v>922</v>
      </c>
      <c r="D144" s="71" t="s">
        <v>2392</v>
      </c>
      <c r="E144" s="69" t="s">
        <v>2388</v>
      </c>
      <c r="F144" s="69">
        <v>30</v>
      </c>
      <c r="G144" s="69">
        <v>90</v>
      </c>
      <c r="H144" s="69" t="s">
        <v>2395</v>
      </c>
      <c r="I144" s="69" t="s">
        <v>2451</v>
      </c>
      <c r="J144" s="69" t="s">
        <v>2398</v>
      </c>
      <c r="K144" s="69"/>
      <c r="L144" s="72" t="s">
        <v>2387</v>
      </c>
      <c r="M144" s="72" t="b">
        <f t="shared" si="2"/>
        <v>0</v>
      </c>
    </row>
    <row r="145" spans="1:13" x14ac:dyDescent="0.25">
      <c r="A145" s="69" t="s">
        <v>1435</v>
      </c>
      <c r="B145" s="70">
        <v>44000447</v>
      </c>
      <c r="C145" s="69" t="s">
        <v>922</v>
      </c>
      <c r="D145" s="71" t="s">
        <v>2392</v>
      </c>
      <c r="E145" s="69" t="s">
        <v>2388</v>
      </c>
      <c r="F145" s="69">
        <v>30</v>
      </c>
      <c r="G145" s="69">
        <v>90</v>
      </c>
      <c r="H145" s="69" t="s">
        <v>2395</v>
      </c>
      <c r="I145" s="69" t="s">
        <v>2451</v>
      </c>
      <c r="J145" s="69" t="s">
        <v>2398</v>
      </c>
      <c r="K145" s="69" t="s">
        <v>3206</v>
      </c>
      <c r="L145" s="72" t="s">
        <v>2387</v>
      </c>
      <c r="M145" s="72" t="b">
        <f t="shared" si="2"/>
        <v>0</v>
      </c>
    </row>
    <row r="146" spans="1:13" x14ac:dyDescent="0.25">
      <c r="A146" s="69" t="s">
        <v>1432</v>
      </c>
      <c r="B146" s="70">
        <v>44000447</v>
      </c>
      <c r="C146" s="69" t="s">
        <v>922</v>
      </c>
      <c r="D146" s="71" t="s">
        <v>2392</v>
      </c>
      <c r="E146" s="69" t="s">
        <v>2388</v>
      </c>
      <c r="F146" s="69">
        <v>30</v>
      </c>
      <c r="G146" s="69">
        <v>90</v>
      </c>
      <c r="H146" s="69" t="s">
        <v>2395</v>
      </c>
      <c r="I146" s="69" t="s">
        <v>2451</v>
      </c>
      <c r="J146" s="69" t="s">
        <v>2398</v>
      </c>
      <c r="K146" s="69"/>
      <c r="L146" s="72" t="s">
        <v>2387</v>
      </c>
      <c r="M146" s="72" t="b">
        <f t="shared" si="2"/>
        <v>0</v>
      </c>
    </row>
    <row r="147" spans="1:13" x14ac:dyDescent="0.25">
      <c r="A147" s="69" t="s">
        <v>1430</v>
      </c>
      <c r="B147" s="70">
        <v>44000447</v>
      </c>
      <c r="C147" s="69" t="s">
        <v>922</v>
      </c>
      <c r="D147" s="71" t="s">
        <v>2392</v>
      </c>
      <c r="E147" s="69" t="s">
        <v>2388</v>
      </c>
      <c r="F147" s="69">
        <v>30</v>
      </c>
      <c r="G147" s="69">
        <v>90</v>
      </c>
      <c r="H147" s="69" t="s">
        <v>2395</v>
      </c>
      <c r="I147" s="69" t="s">
        <v>2451</v>
      </c>
      <c r="J147" s="69" t="s">
        <v>2398</v>
      </c>
      <c r="K147" s="69"/>
      <c r="L147" s="72" t="s">
        <v>2387</v>
      </c>
      <c r="M147" s="72" t="b">
        <f t="shared" si="2"/>
        <v>0</v>
      </c>
    </row>
    <row r="148" spans="1:13" x14ac:dyDescent="0.25">
      <c r="A148" s="69" t="s">
        <v>1427</v>
      </c>
      <c r="B148" s="70">
        <v>44000447</v>
      </c>
      <c r="C148" s="69" t="s">
        <v>922</v>
      </c>
      <c r="D148" s="71" t="s">
        <v>2392</v>
      </c>
      <c r="E148" s="69" t="s">
        <v>2388</v>
      </c>
      <c r="F148" s="69">
        <v>30</v>
      </c>
      <c r="G148" s="69">
        <v>90</v>
      </c>
      <c r="H148" s="69" t="s">
        <v>2395</v>
      </c>
      <c r="I148" s="69" t="s">
        <v>2451</v>
      </c>
      <c r="J148" s="69" t="s">
        <v>2398</v>
      </c>
      <c r="K148" s="69"/>
      <c r="L148" s="72" t="s">
        <v>2387</v>
      </c>
      <c r="M148" s="72" t="b">
        <f t="shared" si="2"/>
        <v>0</v>
      </c>
    </row>
    <row r="149" spans="1:13" x14ac:dyDescent="0.25">
      <c r="A149" s="69" t="s">
        <v>2009</v>
      </c>
      <c r="B149" s="70">
        <v>44006966</v>
      </c>
      <c r="C149" s="69" t="s">
        <v>2452</v>
      </c>
      <c r="D149" s="71" t="s">
        <v>2387</v>
      </c>
      <c r="E149" s="69" t="s">
        <v>2388</v>
      </c>
      <c r="F149" s="69">
        <v>30</v>
      </c>
      <c r="G149" s="69"/>
      <c r="H149" s="69" t="s">
        <v>2391</v>
      </c>
      <c r="I149" s="69" t="s">
        <v>2407</v>
      </c>
      <c r="J149" s="69" t="s">
        <v>2408</v>
      </c>
      <c r="K149" s="69"/>
      <c r="L149" s="72" t="s">
        <v>2392</v>
      </c>
      <c r="M149" s="72" t="b">
        <f t="shared" si="2"/>
        <v>0</v>
      </c>
    </row>
    <row r="150" spans="1:13" x14ac:dyDescent="0.25">
      <c r="A150" s="69" t="s">
        <v>1551</v>
      </c>
      <c r="B150" s="70">
        <v>44000005</v>
      </c>
      <c r="C150" s="69" t="s">
        <v>1553</v>
      </c>
      <c r="D150" s="71" t="s">
        <v>2392</v>
      </c>
      <c r="E150" s="69" t="s">
        <v>2388</v>
      </c>
      <c r="F150" s="69">
        <v>30</v>
      </c>
      <c r="G150" s="69">
        <v>90</v>
      </c>
      <c r="H150" s="69" t="s">
        <v>2395</v>
      </c>
      <c r="I150" s="69" t="s">
        <v>2453</v>
      </c>
      <c r="J150" s="69" t="s">
        <v>2398</v>
      </c>
      <c r="K150" s="69"/>
      <c r="L150" s="72" t="s">
        <v>2387</v>
      </c>
      <c r="M150" s="72" t="b">
        <f t="shared" si="2"/>
        <v>0</v>
      </c>
    </row>
    <row r="151" spans="1:13" x14ac:dyDescent="0.25">
      <c r="A151" s="69" t="s">
        <v>1799</v>
      </c>
      <c r="B151" s="70">
        <v>44005652</v>
      </c>
      <c r="C151" s="69" t="s">
        <v>2454</v>
      </c>
      <c r="D151" s="71" t="s">
        <v>2387</v>
      </c>
      <c r="E151" s="69" t="s">
        <v>2388</v>
      </c>
      <c r="F151" s="69">
        <v>30</v>
      </c>
      <c r="G151" s="69">
        <v>90</v>
      </c>
      <c r="H151" s="69" t="s">
        <v>2399</v>
      </c>
      <c r="I151" s="69" t="s">
        <v>2426</v>
      </c>
      <c r="J151" s="69" t="s">
        <v>2427</v>
      </c>
      <c r="K151" s="69"/>
      <c r="L151" s="72" t="s">
        <v>2387</v>
      </c>
      <c r="M151" s="72" t="b">
        <f t="shared" si="2"/>
        <v>1</v>
      </c>
    </row>
    <row r="152" spans="1:13" x14ac:dyDescent="0.25">
      <c r="A152" s="69" t="s">
        <v>1197</v>
      </c>
      <c r="B152" s="70">
        <v>40004588</v>
      </c>
      <c r="C152" s="69" t="s">
        <v>2396</v>
      </c>
      <c r="D152" s="71" t="s">
        <v>2392</v>
      </c>
      <c r="E152" s="69" t="s">
        <v>2393</v>
      </c>
      <c r="F152" s="69">
        <v>30</v>
      </c>
      <c r="G152" s="69">
        <v>900</v>
      </c>
      <c r="H152" s="69" t="s">
        <v>2399</v>
      </c>
      <c r="I152" s="69" t="s">
        <v>2397</v>
      </c>
      <c r="J152" s="69" t="s">
        <v>2398</v>
      </c>
      <c r="K152" s="69"/>
      <c r="L152" s="72" t="s">
        <v>2392</v>
      </c>
      <c r="M152" s="72" t="b">
        <f t="shared" si="2"/>
        <v>1</v>
      </c>
    </row>
    <row r="153" spans="1:13" x14ac:dyDescent="0.25">
      <c r="A153" s="69" t="s">
        <v>2149</v>
      </c>
      <c r="B153" s="70">
        <v>40004588</v>
      </c>
      <c r="C153" s="69" t="s">
        <v>2396</v>
      </c>
      <c r="D153" s="71" t="s">
        <v>2392</v>
      </c>
      <c r="E153" s="69" t="s">
        <v>2393</v>
      </c>
      <c r="F153" s="69">
        <v>30</v>
      </c>
      <c r="G153" s="69">
        <v>900</v>
      </c>
      <c r="H153" s="69" t="s">
        <v>2399</v>
      </c>
      <c r="I153" s="69" t="s">
        <v>2397</v>
      </c>
      <c r="J153" s="69" t="s">
        <v>2398</v>
      </c>
      <c r="K153" s="69"/>
      <c r="L153" s="72" t="s">
        <v>2392</v>
      </c>
      <c r="M153" s="72" t="b">
        <f t="shared" si="2"/>
        <v>1</v>
      </c>
    </row>
    <row r="154" spans="1:13" x14ac:dyDescent="0.25">
      <c r="A154" s="69" t="s">
        <v>1200</v>
      </c>
      <c r="B154" s="70">
        <v>44000081</v>
      </c>
      <c r="C154" s="69" t="s">
        <v>1202</v>
      </c>
      <c r="D154" s="71" t="s">
        <v>2392</v>
      </c>
      <c r="E154" s="69" t="s">
        <v>2393</v>
      </c>
      <c r="F154" s="69">
        <v>30</v>
      </c>
      <c r="G154" s="69">
        <v>900</v>
      </c>
      <c r="H154" s="69" t="s">
        <v>2399</v>
      </c>
      <c r="I154" s="69" t="s">
        <v>2397</v>
      </c>
      <c r="J154" s="69" t="s">
        <v>2398</v>
      </c>
      <c r="K154" s="69"/>
      <c r="L154" s="72" t="s">
        <v>2392</v>
      </c>
      <c r="M154" s="72" t="b">
        <f t="shared" si="2"/>
        <v>1</v>
      </c>
    </row>
    <row r="155" spans="1:13" x14ac:dyDescent="0.25">
      <c r="A155" s="69" t="s">
        <v>1210</v>
      </c>
      <c r="B155" s="70">
        <v>40004587</v>
      </c>
      <c r="C155" s="69" t="s">
        <v>963</v>
      </c>
      <c r="D155" s="71" t="s">
        <v>2392</v>
      </c>
      <c r="E155" s="69" t="s">
        <v>2393</v>
      </c>
      <c r="F155" s="69">
        <v>30</v>
      </c>
      <c r="G155" s="69">
        <v>900</v>
      </c>
      <c r="H155" s="69" t="s">
        <v>2399</v>
      </c>
      <c r="I155" s="69" t="s">
        <v>2397</v>
      </c>
      <c r="J155" s="69" t="s">
        <v>2398</v>
      </c>
      <c r="K155" s="69"/>
      <c r="L155" s="72" t="s">
        <v>2392</v>
      </c>
      <c r="M155" s="72" t="b">
        <f t="shared" si="2"/>
        <v>1</v>
      </c>
    </row>
    <row r="156" spans="1:13" x14ac:dyDescent="0.25">
      <c r="A156" s="69" t="s">
        <v>1253</v>
      </c>
      <c r="B156" s="70">
        <v>44000099</v>
      </c>
      <c r="C156" s="69" t="s">
        <v>1176</v>
      </c>
      <c r="D156" s="71" t="s">
        <v>2392</v>
      </c>
      <c r="E156" s="69" t="s">
        <v>2393</v>
      </c>
      <c r="F156" s="69">
        <v>30</v>
      </c>
      <c r="G156" s="69">
        <v>900</v>
      </c>
      <c r="H156" s="69" t="s">
        <v>2399</v>
      </c>
      <c r="I156" s="69" t="s">
        <v>2403</v>
      </c>
      <c r="J156" s="69" t="s">
        <v>2398</v>
      </c>
      <c r="K156" s="69"/>
      <c r="L156" s="72" t="s">
        <v>2392</v>
      </c>
      <c r="M156" s="72" t="b">
        <f t="shared" si="2"/>
        <v>1</v>
      </c>
    </row>
    <row r="157" spans="1:13" x14ac:dyDescent="0.25">
      <c r="A157" s="69" t="s">
        <v>1256</v>
      </c>
      <c r="B157" s="70">
        <v>44000099</v>
      </c>
      <c r="C157" s="69" t="s">
        <v>1176</v>
      </c>
      <c r="D157" s="71" t="s">
        <v>2392</v>
      </c>
      <c r="E157" s="69" t="s">
        <v>2393</v>
      </c>
      <c r="F157" s="69">
        <v>30</v>
      </c>
      <c r="G157" s="69">
        <v>900</v>
      </c>
      <c r="H157" s="69" t="s">
        <v>2399</v>
      </c>
      <c r="I157" s="69" t="s">
        <v>2403</v>
      </c>
      <c r="J157" s="69" t="s">
        <v>2398</v>
      </c>
      <c r="K157" s="69"/>
      <c r="L157" s="72" t="s">
        <v>2392</v>
      </c>
      <c r="M157" s="72" t="b">
        <f t="shared" si="2"/>
        <v>1</v>
      </c>
    </row>
    <row r="158" spans="1:13" x14ac:dyDescent="0.25">
      <c r="A158" s="69" t="s">
        <v>1259</v>
      </c>
      <c r="B158" s="70">
        <v>44000099</v>
      </c>
      <c r="C158" s="69" t="s">
        <v>1176</v>
      </c>
      <c r="D158" s="71" t="s">
        <v>2392</v>
      </c>
      <c r="E158" s="69" t="s">
        <v>2393</v>
      </c>
      <c r="F158" s="69">
        <v>30</v>
      </c>
      <c r="G158" s="69">
        <v>900</v>
      </c>
      <c r="H158" s="69" t="s">
        <v>2399</v>
      </c>
      <c r="I158" s="69" t="s">
        <v>2403</v>
      </c>
      <c r="J158" s="69" t="s">
        <v>2398</v>
      </c>
      <c r="K158" s="69"/>
      <c r="L158" s="72" t="s">
        <v>2392</v>
      </c>
      <c r="M158" s="72" t="b">
        <f t="shared" si="2"/>
        <v>1</v>
      </c>
    </row>
    <row r="159" spans="1:13" x14ac:dyDescent="0.25">
      <c r="A159" s="69" t="s">
        <v>1265</v>
      </c>
      <c r="B159" s="70">
        <v>44000099</v>
      </c>
      <c r="C159" s="69" t="s">
        <v>1176</v>
      </c>
      <c r="D159" s="71" t="s">
        <v>2392</v>
      </c>
      <c r="E159" s="69" t="s">
        <v>2393</v>
      </c>
      <c r="F159" s="69">
        <v>30</v>
      </c>
      <c r="G159" s="69">
        <v>900</v>
      </c>
      <c r="H159" s="69" t="s">
        <v>2399</v>
      </c>
      <c r="I159" s="69" t="s">
        <v>2403</v>
      </c>
      <c r="J159" s="69" t="s">
        <v>2398</v>
      </c>
      <c r="K159" s="69"/>
      <c r="L159" s="72" t="s">
        <v>2392</v>
      </c>
      <c r="M159" s="72" t="b">
        <f t="shared" si="2"/>
        <v>1</v>
      </c>
    </row>
    <row r="160" spans="1:13" x14ac:dyDescent="0.25">
      <c r="A160" s="69" t="s">
        <v>2206</v>
      </c>
      <c r="B160" s="70">
        <v>44000099</v>
      </c>
      <c r="C160" s="69" t="s">
        <v>1176</v>
      </c>
      <c r="D160" s="71" t="s">
        <v>2392</v>
      </c>
      <c r="E160" s="69" t="s">
        <v>2393</v>
      </c>
      <c r="F160" s="69">
        <v>30</v>
      </c>
      <c r="G160" s="69">
        <v>900</v>
      </c>
      <c r="H160" s="69" t="s">
        <v>2399</v>
      </c>
      <c r="I160" s="69" t="s">
        <v>2403</v>
      </c>
      <c r="J160" s="69" t="s">
        <v>2398</v>
      </c>
      <c r="K160" s="69"/>
      <c r="L160" s="72" t="s">
        <v>2392</v>
      </c>
      <c r="M160" s="72" t="b">
        <f t="shared" si="2"/>
        <v>1</v>
      </c>
    </row>
    <row r="161" spans="1:13" x14ac:dyDescent="0.25">
      <c r="A161" s="69" t="s">
        <v>1268</v>
      </c>
      <c r="B161" s="70">
        <v>44000099</v>
      </c>
      <c r="C161" s="69" t="s">
        <v>1176</v>
      </c>
      <c r="D161" s="71" t="s">
        <v>2392</v>
      </c>
      <c r="E161" s="69" t="s">
        <v>2393</v>
      </c>
      <c r="F161" s="69">
        <v>30</v>
      </c>
      <c r="G161" s="69">
        <v>900</v>
      </c>
      <c r="H161" s="69" t="s">
        <v>2399</v>
      </c>
      <c r="I161" s="69" t="s">
        <v>2403</v>
      </c>
      <c r="J161" s="69" t="s">
        <v>2398</v>
      </c>
      <c r="K161" s="69"/>
      <c r="L161" s="72" t="s">
        <v>2392</v>
      </c>
      <c r="M161" s="72" t="b">
        <f t="shared" si="2"/>
        <v>1</v>
      </c>
    </row>
    <row r="162" spans="1:13" x14ac:dyDescent="0.25">
      <c r="A162" s="69" t="s">
        <v>2207</v>
      </c>
      <c r="B162" s="70">
        <v>44000099</v>
      </c>
      <c r="C162" s="69" t="s">
        <v>1176</v>
      </c>
      <c r="D162" s="71" t="s">
        <v>2392</v>
      </c>
      <c r="E162" s="69" t="s">
        <v>2393</v>
      </c>
      <c r="F162" s="69">
        <v>30</v>
      </c>
      <c r="G162" s="69">
        <v>900</v>
      </c>
      <c r="H162" s="69" t="s">
        <v>2399</v>
      </c>
      <c r="I162" s="69" t="s">
        <v>2403</v>
      </c>
      <c r="J162" s="69" t="s">
        <v>2398</v>
      </c>
      <c r="K162" s="69"/>
      <c r="L162" s="72" t="s">
        <v>2392</v>
      </c>
      <c r="M162" s="72" t="b">
        <f t="shared" si="2"/>
        <v>1</v>
      </c>
    </row>
    <row r="163" spans="1:13" x14ac:dyDescent="0.25">
      <c r="A163" s="69" t="s">
        <v>1271</v>
      </c>
      <c r="B163" s="70">
        <v>44000099</v>
      </c>
      <c r="C163" s="69" t="s">
        <v>1176</v>
      </c>
      <c r="D163" s="71" t="s">
        <v>2392</v>
      </c>
      <c r="E163" s="69" t="s">
        <v>2393</v>
      </c>
      <c r="F163" s="69">
        <v>30</v>
      </c>
      <c r="G163" s="69">
        <v>900</v>
      </c>
      <c r="H163" s="69" t="s">
        <v>2399</v>
      </c>
      <c r="I163" s="69" t="s">
        <v>2403</v>
      </c>
      <c r="J163" s="69" t="s">
        <v>2398</v>
      </c>
      <c r="K163" s="69"/>
      <c r="L163" s="72" t="s">
        <v>2392</v>
      </c>
      <c r="M163" s="72" t="b">
        <f t="shared" si="2"/>
        <v>1</v>
      </c>
    </row>
    <row r="164" spans="1:13" x14ac:dyDescent="0.25">
      <c r="A164" s="69" t="s">
        <v>1277</v>
      </c>
      <c r="B164" s="70">
        <v>44003166</v>
      </c>
      <c r="C164" s="69" t="s">
        <v>2455</v>
      </c>
      <c r="D164" s="71" t="s">
        <v>2392</v>
      </c>
      <c r="E164" s="69" t="s">
        <v>2393</v>
      </c>
      <c r="F164" s="69">
        <v>30</v>
      </c>
      <c r="G164" s="69">
        <v>900</v>
      </c>
      <c r="H164" s="69" t="s">
        <v>2399</v>
      </c>
      <c r="I164" s="69" t="s">
        <v>2403</v>
      </c>
      <c r="J164" s="69" t="s">
        <v>2398</v>
      </c>
      <c r="K164" s="69"/>
      <c r="L164" s="72" t="s">
        <v>2392</v>
      </c>
      <c r="M164" s="72" t="b">
        <f t="shared" si="2"/>
        <v>1</v>
      </c>
    </row>
    <row r="165" spans="1:13" x14ac:dyDescent="0.25">
      <c r="A165" s="74" t="s">
        <v>2268</v>
      </c>
      <c r="B165" s="70">
        <v>44000311</v>
      </c>
      <c r="C165" s="69" t="s">
        <v>3016</v>
      </c>
      <c r="D165" s="71" t="s">
        <v>2387</v>
      </c>
      <c r="E165" s="69" t="s">
        <v>2388</v>
      </c>
      <c r="F165" s="69">
        <v>30</v>
      </c>
      <c r="G165" s="69">
        <v>45</v>
      </c>
      <c r="H165" s="69" t="s">
        <v>2399</v>
      </c>
      <c r="I165" s="69" t="s">
        <v>2414</v>
      </c>
      <c r="J165" s="69" t="s">
        <v>2415</v>
      </c>
      <c r="K165" s="69"/>
      <c r="L165" s="72" t="s">
        <v>2387</v>
      </c>
      <c r="M165" s="72" t="b">
        <f t="shared" si="2"/>
        <v>1</v>
      </c>
    </row>
    <row r="166" spans="1:13" x14ac:dyDescent="0.25">
      <c r="A166" s="69" t="s">
        <v>123</v>
      </c>
      <c r="B166" s="70">
        <v>44002368</v>
      </c>
      <c r="C166" s="69" t="s">
        <v>125</v>
      </c>
      <c r="D166" s="71" t="s">
        <v>2387</v>
      </c>
      <c r="E166" s="69" t="s">
        <v>2388</v>
      </c>
      <c r="F166" s="69">
        <v>30</v>
      </c>
      <c r="G166" s="69">
        <v>180</v>
      </c>
      <c r="H166" s="69" t="s">
        <v>2391</v>
      </c>
      <c r="I166" s="69" t="s">
        <v>2431</v>
      </c>
      <c r="J166" s="69" t="s">
        <v>2416</v>
      </c>
      <c r="K166" s="69"/>
      <c r="L166" s="72" t="s">
        <v>2392</v>
      </c>
      <c r="M166" s="72" t="b">
        <f t="shared" si="2"/>
        <v>0</v>
      </c>
    </row>
    <row r="167" spans="1:13" x14ac:dyDescent="0.25">
      <c r="A167" s="69" t="s">
        <v>2343</v>
      </c>
      <c r="B167" s="70"/>
      <c r="C167" s="69" t="s">
        <v>2394</v>
      </c>
      <c r="D167" s="71" t="s">
        <v>2392</v>
      </c>
      <c r="E167" s="69"/>
      <c r="F167" s="69">
        <v>30</v>
      </c>
      <c r="G167" s="69">
        <v>0</v>
      </c>
      <c r="H167" s="69" t="s">
        <v>2399</v>
      </c>
      <c r="I167" s="69" t="s">
        <v>2394</v>
      </c>
      <c r="J167" s="69" t="s">
        <v>2410</v>
      </c>
      <c r="K167" s="69" t="s">
        <v>3017</v>
      </c>
      <c r="L167" s="72" t="s">
        <v>2392</v>
      </c>
      <c r="M167" s="72" t="b">
        <f t="shared" si="2"/>
        <v>1</v>
      </c>
    </row>
    <row r="168" spans="1:13" x14ac:dyDescent="0.25">
      <c r="A168" s="69" t="s">
        <v>2154</v>
      </c>
      <c r="B168" s="70"/>
      <c r="C168" s="69"/>
      <c r="D168" s="71" t="s">
        <v>2387</v>
      </c>
      <c r="E168" s="69"/>
      <c r="F168" s="69">
        <v>30</v>
      </c>
      <c r="G168" s="69">
        <v>180</v>
      </c>
      <c r="H168" s="69" t="s">
        <v>2449</v>
      </c>
      <c r="I168" s="69" t="s">
        <v>2456</v>
      </c>
      <c r="J168" s="69" t="s">
        <v>2401</v>
      </c>
      <c r="K168" s="69"/>
      <c r="L168" s="72" t="s">
        <v>2392</v>
      </c>
      <c r="M168" s="72" t="b">
        <f t="shared" si="2"/>
        <v>0</v>
      </c>
    </row>
    <row r="169" spans="1:13" x14ac:dyDescent="0.25">
      <c r="A169" s="69" t="s">
        <v>2298</v>
      </c>
      <c r="B169" s="70"/>
      <c r="C169" s="69" t="s">
        <v>2394</v>
      </c>
      <c r="D169" s="71" t="s">
        <v>2387</v>
      </c>
      <c r="E169" s="69"/>
      <c r="F169" s="69">
        <v>30</v>
      </c>
      <c r="G169" s="69">
        <v>90</v>
      </c>
      <c r="H169" s="69" t="s">
        <v>2399</v>
      </c>
      <c r="I169" s="69" t="s">
        <v>2400</v>
      </c>
      <c r="J169" s="69" t="s">
        <v>2398</v>
      </c>
      <c r="K169" s="69"/>
      <c r="L169" s="72" t="s">
        <v>2392</v>
      </c>
      <c r="M169" s="72" t="b">
        <f t="shared" si="2"/>
        <v>0</v>
      </c>
    </row>
    <row r="170" spans="1:13" x14ac:dyDescent="0.25">
      <c r="A170" s="69" t="s">
        <v>1648</v>
      </c>
      <c r="B170" s="70">
        <v>44000323</v>
      </c>
      <c r="C170" s="69" t="s">
        <v>2457</v>
      </c>
      <c r="D170" s="71" t="s">
        <v>2961</v>
      </c>
      <c r="E170" s="69" t="s">
        <v>2388</v>
      </c>
      <c r="F170" s="69">
        <v>30</v>
      </c>
      <c r="G170" s="69">
        <v>90</v>
      </c>
      <c r="H170" s="69" t="s">
        <v>2449</v>
      </c>
      <c r="I170" s="69" t="s">
        <v>2420</v>
      </c>
      <c r="J170" s="69" t="s">
        <v>2424</v>
      </c>
      <c r="K170" s="69"/>
      <c r="L170" s="72" t="s">
        <v>2392</v>
      </c>
      <c r="M170" s="72" t="b">
        <f t="shared" si="2"/>
        <v>0</v>
      </c>
    </row>
    <row r="171" spans="1:13" x14ac:dyDescent="0.25">
      <c r="A171" s="69" t="s">
        <v>1785</v>
      </c>
      <c r="B171" s="70">
        <v>44006993</v>
      </c>
      <c r="C171" s="69" t="s">
        <v>1781</v>
      </c>
      <c r="D171" s="71" t="s">
        <v>2961</v>
      </c>
      <c r="E171" s="69" t="s">
        <v>2388</v>
      </c>
      <c r="F171" s="69">
        <v>30</v>
      </c>
      <c r="G171" s="69">
        <v>90</v>
      </c>
      <c r="H171" s="69" t="s">
        <v>2449</v>
      </c>
      <c r="I171" s="69" t="s">
        <v>2420</v>
      </c>
      <c r="J171" s="69" t="s">
        <v>2427</v>
      </c>
      <c r="K171" s="69"/>
      <c r="L171" s="72" t="s">
        <v>2387</v>
      </c>
      <c r="M171" s="72" t="b">
        <f t="shared" si="2"/>
        <v>0</v>
      </c>
    </row>
    <row r="172" spans="1:13" x14ac:dyDescent="0.25">
      <c r="A172" s="69" t="s">
        <v>1025</v>
      </c>
      <c r="B172" s="70">
        <v>44006993</v>
      </c>
      <c r="C172" s="69" t="s">
        <v>1781</v>
      </c>
      <c r="D172" s="71" t="s">
        <v>2961</v>
      </c>
      <c r="E172" s="69" t="s">
        <v>2388</v>
      </c>
      <c r="F172" s="69">
        <v>30</v>
      </c>
      <c r="G172" s="69">
        <v>90</v>
      </c>
      <c r="H172" s="69" t="s">
        <v>2449</v>
      </c>
      <c r="I172" s="69" t="s">
        <v>2420</v>
      </c>
      <c r="J172" s="69" t="s">
        <v>2427</v>
      </c>
      <c r="K172" s="69"/>
      <c r="L172" s="72" t="s">
        <v>2387</v>
      </c>
      <c r="M172" s="72" t="b">
        <f t="shared" si="2"/>
        <v>0</v>
      </c>
    </row>
    <row r="173" spans="1:13" x14ac:dyDescent="0.25">
      <c r="A173" s="69" t="s">
        <v>1782</v>
      </c>
      <c r="B173" s="70">
        <v>44006993</v>
      </c>
      <c r="C173" s="69" t="s">
        <v>1781</v>
      </c>
      <c r="D173" s="71" t="s">
        <v>2961</v>
      </c>
      <c r="E173" s="69" t="s">
        <v>2388</v>
      </c>
      <c r="F173" s="69">
        <v>30</v>
      </c>
      <c r="G173" s="69">
        <v>90</v>
      </c>
      <c r="H173" s="69" t="s">
        <v>2449</v>
      </c>
      <c r="I173" s="69" t="s">
        <v>2420</v>
      </c>
      <c r="J173" s="69" t="s">
        <v>2427</v>
      </c>
      <c r="K173" s="69"/>
      <c r="L173" s="72" t="s">
        <v>2387</v>
      </c>
      <c r="M173" s="72" t="b">
        <f t="shared" si="2"/>
        <v>0</v>
      </c>
    </row>
    <row r="174" spans="1:13" x14ac:dyDescent="0.25">
      <c r="A174" s="69" t="s">
        <v>1779</v>
      </c>
      <c r="B174" s="70">
        <v>44006993</v>
      </c>
      <c r="C174" s="69" t="s">
        <v>1781</v>
      </c>
      <c r="D174" s="71" t="s">
        <v>2961</v>
      </c>
      <c r="E174" s="69" t="s">
        <v>2388</v>
      </c>
      <c r="F174" s="69">
        <v>30</v>
      </c>
      <c r="G174" s="69">
        <v>90</v>
      </c>
      <c r="H174" s="69" t="s">
        <v>2449</v>
      </c>
      <c r="I174" s="69" t="s">
        <v>2420</v>
      </c>
      <c r="J174" s="69" t="s">
        <v>2427</v>
      </c>
      <c r="K174" s="69"/>
      <c r="L174" s="72" t="s">
        <v>2387</v>
      </c>
      <c r="M174" s="72" t="b">
        <f t="shared" si="2"/>
        <v>0</v>
      </c>
    </row>
    <row r="175" spans="1:13" x14ac:dyDescent="0.25">
      <c r="A175" s="69" t="s">
        <v>1020</v>
      </c>
      <c r="B175" s="70">
        <v>44001772</v>
      </c>
      <c r="C175" s="69" t="s">
        <v>1019</v>
      </c>
      <c r="D175" s="71" t="s">
        <v>2387</v>
      </c>
      <c r="E175" s="69" t="s">
        <v>2388</v>
      </c>
      <c r="F175" s="69">
        <v>30</v>
      </c>
      <c r="G175" s="69">
        <v>90</v>
      </c>
      <c r="H175" s="69" t="s">
        <v>2399</v>
      </c>
      <c r="I175" s="69" t="s">
        <v>2400</v>
      </c>
      <c r="J175" s="69" t="s">
        <v>2398</v>
      </c>
      <c r="K175" s="69"/>
      <c r="L175" s="72" t="s">
        <v>2387</v>
      </c>
      <c r="M175" s="72" t="b">
        <f t="shared" si="2"/>
        <v>1</v>
      </c>
    </row>
    <row r="176" spans="1:13" x14ac:dyDescent="0.25">
      <c r="A176" s="69" t="s">
        <v>1016</v>
      </c>
      <c r="B176" s="70">
        <v>44001772</v>
      </c>
      <c r="C176" s="69" t="s">
        <v>1019</v>
      </c>
      <c r="D176" s="71" t="s">
        <v>2387</v>
      </c>
      <c r="E176" s="69" t="s">
        <v>2388</v>
      </c>
      <c r="F176" s="69">
        <v>30</v>
      </c>
      <c r="G176" s="69">
        <v>90</v>
      </c>
      <c r="H176" s="69" t="s">
        <v>2399</v>
      </c>
      <c r="I176" s="69" t="s">
        <v>2400</v>
      </c>
      <c r="J176" s="69" t="s">
        <v>2398</v>
      </c>
      <c r="K176" s="69"/>
      <c r="L176" s="72" t="s">
        <v>2387</v>
      </c>
      <c r="M176" s="72" t="b">
        <f t="shared" si="2"/>
        <v>1</v>
      </c>
    </row>
    <row r="177" spans="1:13" x14ac:dyDescent="0.25">
      <c r="A177" s="69" t="s">
        <v>2458</v>
      </c>
      <c r="B177" s="70">
        <v>44001772</v>
      </c>
      <c r="C177" s="69" t="s">
        <v>1019</v>
      </c>
      <c r="D177" s="71" t="s">
        <v>2392</v>
      </c>
      <c r="E177" s="69" t="s">
        <v>2388</v>
      </c>
      <c r="F177" s="69">
        <v>30</v>
      </c>
      <c r="G177" s="69">
        <v>0</v>
      </c>
      <c r="H177" s="69" t="s">
        <v>2412</v>
      </c>
      <c r="I177" s="69" t="s">
        <v>2410</v>
      </c>
      <c r="J177" s="69"/>
      <c r="K177" s="69" t="s">
        <v>3207</v>
      </c>
      <c r="L177" s="72" t="s">
        <v>2387</v>
      </c>
      <c r="M177" s="72" t="b">
        <f t="shared" si="2"/>
        <v>0</v>
      </c>
    </row>
    <row r="178" spans="1:13" x14ac:dyDescent="0.25">
      <c r="A178" s="69" t="s">
        <v>1388</v>
      </c>
      <c r="B178" s="70">
        <v>44001772</v>
      </c>
      <c r="C178" s="69" t="s">
        <v>1019</v>
      </c>
      <c r="D178" s="71" t="s">
        <v>2387</v>
      </c>
      <c r="E178" s="69" t="s">
        <v>2388</v>
      </c>
      <c r="F178" s="69">
        <v>30</v>
      </c>
      <c r="G178" s="69">
        <v>90</v>
      </c>
      <c r="H178" s="69" t="s">
        <v>2399</v>
      </c>
      <c r="I178" s="69" t="s">
        <v>2400</v>
      </c>
      <c r="J178" s="69" t="s">
        <v>2398</v>
      </c>
      <c r="K178" s="69"/>
      <c r="L178" s="72" t="s">
        <v>2387</v>
      </c>
      <c r="M178" s="72" t="b">
        <f t="shared" si="2"/>
        <v>1</v>
      </c>
    </row>
    <row r="179" spans="1:13" x14ac:dyDescent="0.25">
      <c r="A179" s="69" t="s">
        <v>1383</v>
      </c>
      <c r="B179" s="70">
        <v>44001772</v>
      </c>
      <c r="C179" s="69" t="s">
        <v>1019</v>
      </c>
      <c r="D179" s="71" t="s">
        <v>2387</v>
      </c>
      <c r="E179" s="69" t="s">
        <v>2388</v>
      </c>
      <c r="F179" s="69">
        <v>30</v>
      </c>
      <c r="G179" s="69">
        <v>90</v>
      </c>
      <c r="H179" s="69" t="s">
        <v>2399</v>
      </c>
      <c r="I179" s="69" t="s">
        <v>2400</v>
      </c>
      <c r="J179" s="69" t="s">
        <v>2398</v>
      </c>
      <c r="K179" s="69"/>
      <c r="L179" s="72" t="s">
        <v>2387</v>
      </c>
      <c r="M179" s="72" t="b">
        <f t="shared" si="2"/>
        <v>1</v>
      </c>
    </row>
    <row r="180" spans="1:13" x14ac:dyDescent="0.25">
      <c r="A180" s="69" t="s">
        <v>1380</v>
      </c>
      <c r="B180" s="70">
        <v>44001772</v>
      </c>
      <c r="C180" s="69" t="s">
        <v>1019</v>
      </c>
      <c r="D180" s="71" t="s">
        <v>2387</v>
      </c>
      <c r="E180" s="69" t="s">
        <v>2388</v>
      </c>
      <c r="F180" s="69">
        <v>30</v>
      </c>
      <c r="G180" s="69">
        <v>90</v>
      </c>
      <c r="H180" s="69" t="s">
        <v>2399</v>
      </c>
      <c r="I180" s="69" t="s">
        <v>2400</v>
      </c>
      <c r="J180" s="69" t="s">
        <v>2398</v>
      </c>
      <c r="K180" s="69"/>
      <c r="L180" s="72" t="s">
        <v>2387</v>
      </c>
      <c r="M180" s="72" t="b">
        <f t="shared" si="2"/>
        <v>1</v>
      </c>
    </row>
    <row r="181" spans="1:13" x14ac:dyDescent="0.25">
      <c r="A181" s="69" t="s">
        <v>1377</v>
      </c>
      <c r="B181" s="70">
        <v>44001772</v>
      </c>
      <c r="C181" s="69" t="s">
        <v>1019</v>
      </c>
      <c r="D181" s="71" t="s">
        <v>2387</v>
      </c>
      <c r="E181" s="69" t="s">
        <v>2388</v>
      </c>
      <c r="F181" s="69">
        <v>30</v>
      </c>
      <c r="G181" s="69">
        <v>90</v>
      </c>
      <c r="H181" s="69" t="s">
        <v>2449</v>
      </c>
      <c r="I181" s="69" t="s">
        <v>2400</v>
      </c>
      <c r="J181" s="69" t="s">
        <v>2398</v>
      </c>
      <c r="K181" s="69"/>
      <c r="L181" s="72" t="s">
        <v>2387</v>
      </c>
      <c r="M181" s="72" t="b">
        <f t="shared" si="2"/>
        <v>1</v>
      </c>
    </row>
    <row r="182" spans="1:13" x14ac:dyDescent="0.25">
      <c r="A182" s="69" t="s">
        <v>1374</v>
      </c>
      <c r="B182" s="70">
        <v>44001772</v>
      </c>
      <c r="C182" s="69" t="s">
        <v>1019</v>
      </c>
      <c r="D182" s="71" t="s">
        <v>2387</v>
      </c>
      <c r="E182" s="69" t="s">
        <v>2388</v>
      </c>
      <c r="F182" s="69">
        <v>30</v>
      </c>
      <c r="G182" s="69">
        <v>90</v>
      </c>
      <c r="H182" s="69" t="s">
        <v>2449</v>
      </c>
      <c r="I182" s="69" t="s">
        <v>2400</v>
      </c>
      <c r="J182" s="69" t="s">
        <v>2398</v>
      </c>
      <c r="K182" s="69"/>
      <c r="L182" s="72" t="s">
        <v>2387</v>
      </c>
      <c r="M182" s="72" t="b">
        <f t="shared" si="2"/>
        <v>1</v>
      </c>
    </row>
    <row r="183" spans="1:13" x14ac:dyDescent="0.25">
      <c r="A183" s="69" t="s">
        <v>1347</v>
      </c>
      <c r="B183" s="70">
        <v>44001772</v>
      </c>
      <c r="C183" s="69" t="s">
        <v>1019</v>
      </c>
      <c r="D183" s="71" t="s">
        <v>2387</v>
      </c>
      <c r="E183" s="69" t="s">
        <v>2388</v>
      </c>
      <c r="F183" s="69">
        <v>30</v>
      </c>
      <c r="G183" s="69">
        <v>90</v>
      </c>
      <c r="H183" s="69" t="s">
        <v>2449</v>
      </c>
      <c r="I183" s="69" t="s">
        <v>2400</v>
      </c>
      <c r="J183" s="69" t="s">
        <v>2398</v>
      </c>
      <c r="K183" s="69"/>
      <c r="L183" s="72" t="s">
        <v>2387</v>
      </c>
      <c r="M183" s="72" t="b">
        <f t="shared" si="2"/>
        <v>1</v>
      </c>
    </row>
    <row r="184" spans="1:13" x14ac:dyDescent="0.25">
      <c r="A184" s="69" t="s">
        <v>1310</v>
      </c>
      <c r="B184" s="70">
        <v>44001772</v>
      </c>
      <c r="C184" s="69" t="s">
        <v>1019</v>
      </c>
      <c r="D184" s="71" t="s">
        <v>2387</v>
      </c>
      <c r="E184" s="69" t="s">
        <v>2388</v>
      </c>
      <c r="F184" s="69">
        <v>30</v>
      </c>
      <c r="G184" s="69">
        <v>90</v>
      </c>
      <c r="H184" s="69" t="s">
        <v>2399</v>
      </c>
      <c r="I184" s="69" t="s">
        <v>2400</v>
      </c>
      <c r="J184" s="69" t="s">
        <v>2398</v>
      </c>
      <c r="K184" s="69"/>
      <c r="L184" s="72" t="s">
        <v>2387</v>
      </c>
      <c r="M184" s="72" t="b">
        <f t="shared" si="2"/>
        <v>1</v>
      </c>
    </row>
    <row r="185" spans="1:13" x14ac:dyDescent="0.25">
      <c r="A185" s="69" t="s">
        <v>392</v>
      </c>
      <c r="B185" s="70">
        <v>44005965</v>
      </c>
      <c r="C185" s="69" t="s">
        <v>3019</v>
      </c>
      <c r="D185" s="71" t="s">
        <v>2961</v>
      </c>
      <c r="E185" s="69" t="s">
        <v>2388</v>
      </c>
      <c r="F185" s="69">
        <v>15</v>
      </c>
      <c r="G185" s="69">
        <v>90</v>
      </c>
      <c r="H185" s="69" t="s">
        <v>2399</v>
      </c>
      <c r="I185" s="69" t="s">
        <v>2405</v>
      </c>
      <c r="J185" s="69" t="s">
        <v>2406</v>
      </c>
      <c r="K185" s="69"/>
      <c r="L185" s="72" t="s">
        <v>2387</v>
      </c>
      <c r="M185" s="72" t="b">
        <f t="shared" si="2"/>
        <v>0</v>
      </c>
    </row>
    <row r="186" spans="1:13" x14ac:dyDescent="0.25">
      <c r="A186" s="69" t="s">
        <v>1284</v>
      </c>
      <c r="B186" s="70">
        <v>44004085</v>
      </c>
      <c r="C186" s="69" t="s">
        <v>1287</v>
      </c>
      <c r="D186" s="71" t="s">
        <v>2392</v>
      </c>
      <c r="E186" s="69" t="s">
        <v>2393</v>
      </c>
      <c r="F186" s="69">
        <v>30</v>
      </c>
      <c r="G186" s="69">
        <v>900</v>
      </c>
      <c r="H186" s="69" t="s">
        <v>2399</v>
      </c>
      <c r="I186" s="69" t="s">
        <v>2403</v>
      </c>
      <c r="J186" s="69" t="s">
        <v>2398</v>
      </c>
      <c r="K186" s="69"/>
      <c r="L186" s="72" t="s">
        <v>2392</v>
      </c>
      <c r="M186" s="72" t="b">
        <f t="shared" si="2"/>
        <v>1</v>
      </c>
    </row>
    <row r="187" spans="1:13" x14ac:dyDescent="0.25">
      <c r="A187" s="75" t="s">
        <v>127</v>
      </c>
      <c r="B187" s="70" t="s">
        <v>3020</v>
      </c>
      <c r="C187" s="69" t="s">
        <v>129</v>
      </c>
      <c r="D187" s="71" t="s">
        <v>2392</v>
      </c>
      <c r="E187" s="69" t="s">
        <v>2388</v>
      </c>
      <c r="F187" s="69">
        <v>30</v>
      </c>
      <c r="G187" s="69">
        <f>6*30</f>
        <v>180</v>
      </c>
      <c r="H187" s="69" t="s">
        <v>2391</v>
      </c>
      <c r="I187" s="69" t="s">
        <v>2431</v>
      </c>
      <c r="J187" s="69" t="s">
        <v>2424</v>
      </c>
      <c r="K187" s="69"/>
      <c r="L187" s="72" t="s">
        <v>2392</v>
      </c>
      <c r="M187" s="72" t="b">
        <f t="shared" si="2"/>
        <v>1</v>
      </c>
    </row>
    <row r="188" spans="1:13" x14ac:dyDescent="0.25">
      <c r="A188" s="69" t="s">
        <v>521</v>
      </c>
      <c r="B188" s="70">
        <v>44001825</v>
      </c>
      <c r="C188" s="69" t="s">
        <v>523</v>
      </c>
      <c r="D188" s="71" t="s">
        <v>2387</v>
      </c>
      <c r="E188" s="69" t="s">
        <v>2388</v>
      </c>
      <c r="F188" s="69">
        <v>30</v>
      </c>
      <c r="G188" s="69">
        <v>30</v>
      </c>
      <c r="H188" s="69" t="s">
        <v>2391</v>
      </c>
      <c r="I188" s="69" t="s">
        <v>2420</v>
      </c>
      <c r="J188" s="69" t="s">
        <v>2421</v>
      </c>
      <c r="K188" s="69"/>
      <c r="L188" s="72" t="s">
        <v>2387</v>
      </c>
      <c r="M188" s="72" t="b">
        <f t="shared" si="2"/>
        <v>1</v>
      </c>
    </row>
    <row r="189" spans="1:13" x14ac:dyDescent="0.25">
      <c r="A189" s="74" t="s">
        <v>2001</v>
      </c>
      <c r="B189" s="70">
        <v>44000788</v>
      </c>
      <c r="C189" s="69" t="s">
        <v>2459</v>
      </c>
      <c r="D189" s="71" t="s">
        <v>2387</v>
      </c>
      <c r="E189" s="69" t="s">
        <v>2388</v>
      </c>
      <c r="F189" s="69">
        <v>30</v>
      </c>
      <c r="G189" s="69">
        <v>60</v>
      </c>
      <c r="H189" s="69" t="s">
        <v>2391</v>
      </c>
      <c r="I189" s="69" t="s">
        <v>2431</v>
      </c>
      <c r="J189" s="69" t="s">
        <v>2398</v>
      </c>
      <c r="K189" s="69"/>
      <c r="L189" s="72" t="s">
        <v>2387</v>
      </c>
      <c r="M189" s="72" t="b">
        <f t="shared" si="2"/>
        <v>1</v>
      </c>
    </row>
    <row r="190" spans="1:13" x14ac:dyDescent="0.25">
      <c r="A190" s="69" t="s">
        <v>402</v>
      </c>
      <c r="B190" s="70">
        <v>44001565</v>
      </c>
      <c r="C190" s="69" t="s">
        <v>404</v>
      </c>
      <c r="D190" s="71" t="s">
        <v>2961</v>
      </c>
      <c r="E190" s="69" t="s">
        <v>2388</v>
      </c>
      <c r="F190" s="69">
        <v>15</v>
      </c>
      <c r="G190" s="69">
        <v>90</v>
      </c>
      <c r="H190" s="69" t="s">
        <v>2399</v>
      </c>
      <c r="I190" s="69" t="s">
        <v>2405</v>
      </c>
      <c r="J190" s="69" t="s">
        <v>2406</v>
      </c>
      <c r="K190" s="69"/>
      <c r="L190" s="72" t="s">
        <v>2392</v>
      </c>
      <c r="M190" s="72" t="b">
        <f t="shared" si="2"/>
        <v>0</v>
      </c>
    </row>
    <row r="191" spans="1:13" x14ac:dyDescent="0.25">
      <c r="A191" s="69" t="s">
        <v>996</v>
      </c>
      <c r="B191" s="70">
        <v>44001824</v>
      </c>
      <c r="C191" s="69" t="s">
        <v>998</v>
      </c>
      <c r="D191" s="71" t="s">
        <v>2961</v>
      </c>
      <c r="E191" s="69" t="s">
        <v>2388</v>
      </c>
      <c r="F191" s="69">
        <v>30</v>
      </c>
      <c r="G191" s="69">
        <v>40</v>
      </c>
      <c r="H191" s="69" t="s">
        <v>2391</v>
      </c>
      <c r="I191" s="69" t="s">
        <v>2431</v>
      </c>
      <c r="J191" s="69" t="s">
        <v>2415</v>
      </c>
      <c r="K191" s="69"/>
      <c r="L191" s="72" t="s">
        <v>2392</v>
      </c>
      <c r="M191" s="72" t="b">
        <f t="shared" si="2"/>
        <v>0</v>
      </c>
    </row>
    <row r="192" spans="1:13" x14ac:dyDescent="0.25">
      <c r="A192" s="69" t="s">
        <v>2038</v>
      </c>
      <c r="B192" s="70">
        <v>44001824</v>
      </c>
      <c r="C192" s="69" t="s">
        <v>998</v>
      </c>
      <c r="D192" s="71" t="s">
        <v>2961</v>
      </c>
      <c r="E192" s="69" t="s">
        <v>2388</v>
      </c>
      <c r="F192" s="69">
        <v>30</v>
      </c>
      <c r="G192" s="69">
        <v>40</v>
      </c>
      <c r="H192" s="69" t="s">
        <v>2391</v>
      </c>
      <c r="I192" s="69" t="s">
        <v>2431</v>
      </c>
      <c r="J192" s="69" t="s">
        <v>2398</v>
      </c>
      <c r="K192" s="69"/>
      <c r="L192" s="72" t="s">
        <v>2392</v>
      </c>
      <c r="M192" s="72" t="b">
        <f t="shared" si="2"/>
        <v>0</v>
      </c>
    </row>
    <row r="193" spans="1:13" x14ac:dyDescent="0.25">
      <c r="A193" s="69" t="s">
        <v>2039</v>
      </c>
      <c r="B193" s="70">
        <v>44001824</v>
      </c>
      <c r="C193" s="69" t="s">
        <v>998</v>
      </c>
      <c r="D193" s="71" t="s">
        <v>2961</v>
      </c>
      <c r="E193" s="69" t="s">
        <v>2388</v>
      </c>
      <c r="F193" s="69">
        <v>30</v>
      </c>
      <c r="G193" s="69">
        <v>40</v>
      </c>
      <c r="H193" s="69" t="s">
        <v>2391</v>
      </c>
      <c r="I193" s="69" t="s">
        <v>2431</v>
      </c>
      <c r="J193" s="69" t="s">
        <v>2398</v>
      </c>
      <c r="K193" s="69"/>
      <c r="L193" s="72" t="s">
        <v>2392</v>
      </c>
      <c r="M193" s="72" t="b">
        <f t="shared" si="2"/>
        <v>0</v>
      </c>
    </row>
    <row r="194" spans="1:13" x14ac:dyDescent="0.25">
      <c r="A194" s="69" t="s">
        <v>2041</v>
      </c>
      <c r="B194" s="70">
        <v>44001824</v>
      </c>
      <c r="C194" s="69" t="s">
        <v>998</v>
      </c>
      <c r="D194" s="71" t="s">
        <v>2961</v>
      </c>
      <c r="E194" s="69" t="s">
        <v>2388</v>
      </c>
      <c r="F194" s="69">
        <v>30</v>
      </c>
      <c r="G194" s="69">
        <v>45</v>
      </c>
      <c r="H194" s="69" t="s">
        <v>2391</v>
      </c>
      <c r="I194" s="69" t="s">
        <v>2431</v>
      </c>
      <c r="J194" s="69" t="s">
        <v>2398</v>
      </c>
      <c r="K194" s="69"/>
      <c r="L194" s="72" t="s">
        <v>2392</v>
      </c>
      <c r="M194" s="72" t="b">
        <f t="shared" ref="M194:M257" si="3">L194=D194</f>
        <v>0</v>
      </c>
    </row>
    <row r="195" spans="1:13" x14ac:dyDescent="0.25">
      <c r="A195" s="69" t="s">
        <v>2018</v>
      </c>
      <c r="B195" s="70">
        <v>44001824</v>
      </c>
      <c r="C195" s="69" t="s">
        <v>998</v>
      </c>
      <c r="D195" s="71" t="s">
        <v>2961</v>
      </c>
      <c r="E195" s="69" t="s">
        <v>2388</v>
      </c>
      <c r="F195" s="69">
        <v>30</v>
      </c>
      <c r="G195" s="69">
        <v>45</v>
      </c>
      <c r="H195" s="69" t="s">
        <v>2391</v>
      </c>
      <c r="I195" s="69" t="s">
        <v>2431</v>
      </c>
      <c r="J195" s="69" t="s">
        <v>2398</v>
      </c>
      <c r="K195" s="69"/>
      <c r="L195" s="72" t="s">
        <v>2392</v>
      </c>
      <c r="M195" s="72" t="b">
        <f t="shared" si="3"/>
        <v>0</v>
      </c>
    </row>
    <row r="196" spans="1:13" x14ac:dyDescent="0.25">
      <c r="A196" s="69" t="s">
        <v>2016</v>
      </c>
      <c r="B196" s="70">
        <v>44001824</v>
      </c>
      <c r="C196" s="69" t="s">
        <v>998</v>
      </c>
      <c r="D196" s="71" t="s">
        <v>2961</v>
      </c>
      <c r="E196" s="69" t="s">
        <v>2388</v>
      </c>
      <c r="F196" s="69">
        <v>30</v>
      </c>
      <c r="G196" s="69">
        <v>45</v>
      </c>
      <c r="H196" s="69" t="s">
        <v>2391</v>
      </c>
      <c r="I196" s="69" t="s">
        <v>2431</v>
      </c>
      <c r="J196" s="69" t="s">
        <v>2398</v>
      </c>
      <c r="K196" s="69"/>
      <c r="L196" s="72" t="s">
        <v>2392</v>
      </c>
      <c r="M196" s="72" t="b">
        <f t="shared" si="3"/>
        <v>0</v>
      </c>
    </row>
    <row r="197" spans="1:13" x14ac:dyDescent="0.25">
      <c r="A197" s="69" t="s">
        <v>2017</v>
      </c>
      <c r="B197" s="70">
        <v>44001824</v>
      </c>
      <c r="C197" s="69" t="s">
        <v>998</v>
      </c>
      <c r="D197" s="71" t="s">
        <v>2961</v>
      </c>
      <c r="E197" s="69" t="s">
        <v>2388</v>
      </c>
      <c r="F197" s="69">
        <v>30</v>
      </c>
      <c r="G197" s="69">
        <v>45</v>
      </c>
      <c r="H197" s="69" t="s">
        <v>2391</v>
      </c>
      <c r="I197" s="69" t="s">
        <v>2431</v>
      </c>
      <c r="J197" s="69" t="s">
        <v>2398</v>
      </c>
      <c r="K197" s="69"/>
      <c r="L197" s="72" t="s">
        <v>2392</v>
      </c>
      <c r="M197" s="72" t="b">
        <f t="shared" si="3"/>
        <v>0</v>
      </c>
    </row>
    <row r="198" spans="1:13" x14ac:dyDescent="0.25">
      <c r="A198" s="69" t="s">
        <v>2051</v>
      </c>
      <c r="B198" s="70">
        <v>44001824</v>
      </c>
      <c r="C198" s="69" t="s">
        <v>998</v>
      </c>
      <c r="D198" s="71" t="s">
        <v>2961</v>
      </c>
      <c r="E198" s="69" t="s">
        <v>2388</v>
      </c>
      <c r="F198" s="69">
        <v>30</v>
      </c>
      <c r="G198" s="69">
        <v>45</v>
      </c>
      <c r="H198" s="69" t="s">
        <v>2391</v>
      </c>
      <c r="I198" s="69" t="s">
        <v>2431</v>
      </c>
      <c r="J198" s="69" t="s">
        <v>2398</v>
      </c>
      <c r="K198" s="69"/>
      <c r="L198" s="72" t="s">
        <v>2392</v>
      </c>
      <c r="M198" s="72" t="b">
        <f t="shared" si="3"/>
        <v>0</v>
      </c>
    </row>
    <row r="199" spans="1:13" x14ac:dyDescent="0.25">
      <c r="A199" s="69" t="s">
        <v>2019</v>
      </c>
      <c r="B199" s="70">
        <v>44001824</v>
      </c>
      <c r="C199" s="69" t="s">
        <v>998</v>
      </c>
      <c r="D199" s="71" t="s">
        <v>2961</v>
      </c>
      <c r="E199" s="69" t="s">
        <v>2388</v>
      </c>
      <c r="F199" s="69">
        <v>30</v>
      </c>
      <c r="G199" s="69">
        <v>45</v>
      </c>
      <c r="H199" s="69" t="s">
        <v>2391</v>
      </c>
      <c r="I199" s="69" t="s">
        <v>2431</v>
      </c>
      <c r="J199" s="69" t="s">
        <v>2398</v>
      </c>
      <c r="K199" s="69"/>
      <c r="L199" s="72" t="s">
        <v>2392</v>
      </c>
      <c r="M199" s="72" t="b">
        <f t="shared" si="3"/>
        <v>0</v>
      </c>
    </row>
    <row r="200" spans="1:13" x14ac:dyDescent="0.25">
      <c r="A200" s="69" t="s">
        <v>2020</v>
      </c>
      <c r="B200" s="70">
        <v>44001824</v>
      </c>
      <c r="C200" s="69" t="s">
        <v>998</v>
      </c>
      <c r="D200" s="71" t="s">
        <v>2961</v>
      </c>
      <c r="E200" s="69" t="s">
        <v>2388</v>
      </c>
      <c r="F200" s="69">
        <v>30</v>
      </c>
      <c r="G200" s="69">
        <v>45</v>
      </c>
      <c r="H200" s="69" t="s">
        <v>2391</v>
      </c>
      <c r="I200" s="69" t="s">
        <v>2431</v>
      </c>
      <c r="J200" s="69" t="s">
        <v>2398</v>
      </c>
      <c r="K200" s="69"/>
      <c r="L200" s="72" t="s">
        <v>2392</v>
      </c>
      <c r="M200" s="72" t="b">
        <f t="shared" si="3"/>
        <v>0</v>
      </c>
    </row>
    <row r="201" spans="1:13" x14ac:dyDescent="0.25">
      <c r="A201" s="69" t="s">
        <v>2021</v>
      </c>
      <c r="B201" s="70">
        <v>44001824</v>
      </c>
      <c r="C201" s="69" t="s">
        <v>998</v>
      </c>
      <c r="D201" s="71" t="s">
        <v>2961</v>
      </c>
      <c r="E201" s="69" t="s">
        <v>2388</v>
      </c>
      <c r="F201" s="69">
        <v>30</v>
      </c>
      <c r="G201" s="69">
        <v>45</v>
      </c>
      <c r="H201" s="69" t="s">
        <v>2391</v>
      </c>
      <c r="I201" s="69" t="s">
        <v>2431</v>
      </c>
      <c r="J201" s="69" t="s">
        <v>2398</v>
      </c>
      <c r="K201" s="69"/>
      <c r="L201" s="72" t="s">
        <v>2392</v>
      </c>
      <c r="M201" s="72" t="b">
        <f t="shared" si="3"/>
        <v>0</v>
      </c>
    </row>
    <row r="202" spans="1:13" x14ac:dyDescent="0.25">
      <c r="A202" s="69" t="s">
        <v>2043</v>
      </c>
      <c r="B202" s="70">
        <v>44001824</v>
      </c>
      <c r="C202" s="69" t="s">
        <v>998</v>
      </c>
      <c r="D202" s="71" t="s">
        <v>2961</v>
      </c>
      <c r="E202" s="69" t="s">
        <v>2388</v>
      </c>
      <c r="F202" s="69">
        <v>30</v>
      </c>
      <c r="G202" s="69">
        <v>45</v>
      </c>
      <c r="H202" s="69" t="s">
        <v>2391</v>
      </c>
      <c r="I202" s="69" t="s">
        <v>2431</v>
      </c>
      <c r="J202" s="69" t="s">
        <v>2398</v>
      </c>
      <c r="K202" s="69"/>
      <c r="L202" s="72" t="s">
        <v>2392</v>
      </c>
      <c r="M202" s="72" t="b">
        <f t="shared" si="3"/>
        <v>0</v>
      </c>
    </row>
    <row r="203" spans="1:13" x14ac:dyDescent="0.25">
      <c r="A203" s="69" t="s">
        <v>2042</v>
      </c>
      <c r="B203" s="70">
        <v>44001824</v>
      </c>
      <c r="C203" s="69" t="s">
        <v>998</v>
      </c>
      <c r="D203" s="71" t="s">
        <v>2961</v>
      </c>
      <c r="E203" s="69" t="s">
        <v>2388</v>
      </c>
      <c r="F203" s="69">
        <v>30</v>
      </c>
      <c r="G203" s="69">
        <v>45</v>
      </c>
      <c r="H203" s="69" t="s">
        <v>2391</v>
      </c>
      <c r="I203" s="69" t="s">
        <v>2431</v>
      </c>
      <c r="J203" s="69" t="s">
        <v>2398</v>
      </c>
      <c r="K203" s="69"/>
      <c r="L203" s="72" t="s">
        <v>2392</v>
      </c>
      <c r="M203" s="72" t="b">
        <f t="shared" si="3"/>
        <v>0</v>
      </c>
    </row>
    <row r="204" spans="1:13" x14ac:dyDescent="0.25">
      <c r="A204" s="69" t="s">
        <v>2014</v>
      </c>
      <c r="B204" s="70">
        <v>44001824</v>
      </c>
      <c r="C204" s="69" t="s">
        <v>998</v>
      </c>
      <c r="D204" s="71" t="s">
        <v>2961</v>
      </c>
      <c r="E204" s="69" t="s">
        <v>2388</v>
      </c>
      <c r="F204" s="69">
        <v>30</v>
      </c>
      <c r="G204" s="69">
        <v>45</v>
      </c>
      <c r="H204" s="69" t="s">
        <v>2391</v>
      </c>
      <c r="I204" s="69" t="s">
        <v>2431</v>
      </c>
      <c r="J204" s="69" t="s">
        <v>2398</v>
      </c>
      <c r="K204" s="69"/>
      <c r="L204" s="72" t="s">
        <v>2392</v>
      </c>
      <c r="M204" s="72" t="b">
        <f t="shared" si="3"/>
        <v>0</v>
      </c>
    </row>
    <row r="205" spans="1:13" x14ac:dyDescent="0.25">
      <c r="A205" s="69" t="s">
        <v>1738</v>
      </c>
      <c r="B205" s="70">
        <v>44001824</v>
      </c>
      <c r="C205" s="69" t="s">
        <v>998</v>
      </c>
      <c r="D205" s="71" t="s">
        <v>2961</v>
      </c>
      <c r="E205" s="69" t="s">
        <v>2388</v>
      </c>
      <c r="F205" s="69">
        <v>30</v>
      </c>
      <c r="G205" s="69">
        <v>45</v>
      </c>
      <c r="H205" s="69" t="s">
        <v>2391</v>
      </c>
      <c r="I205" s="69" t="s">
        <v>2431</v>
      </c>
      <c r="J205" s="69" t="s">
        <v>2432</v>
      </c>
      <c r="K205" s="69"/>
      <c r="L205" s="72" t="s">
        <v>2392</v>
      </c>
      <c r="M205" s="72" t="b">
        <f t="shared" si="3"/>
        <v>0</v>
      </c>
    </row>
    <row r="206" spans="1:13" x14ac:dyDescent="0.25">
      <c r="A206" s="69" t="s">
        <v>1996</v>
      </c>
      <c r="B206" s="70">
        <v>44001824</v>
      </c>
      <c r="C206" s="69" t="s">
        <v>998</v>
      </c>
      <c r="D206" s="71" t="s">
        <v>2961</v>
      </c>
      <c r="E206" s="69" t="s">
        <v>2388</v>
      </c>
      <c r="F206" s="69">
        <v>30</v>
      </c>
      <c r="G206" s="69">
        <v>30</v>
      </c>
      <c r="H206" s="69" t="s">
        <v>2391</v>
      </c>
      <c r="I206" s="69" t="s">
        <v>2431</v>
      </c>
      <c r="J206" s="69" t="s">
        <v>2460</v>
      </c>
      <c r="K206" s="69" t="s">
        <v>3021</v>
      </c>
      <c r="L206" s="72" t="s">
        <v>2392</v>
      </c>
      <c r="M206" s="72" t="b">
        <f t="shared" si="3"/>
        <v>0</v>
      </c>
    </row>
    <row r="207" spans="1:13" x14ac:dyDescent="0.25">
      <c r="A207" s="69" t="s">
        <v>2048</v>
      </c>
      <c r="B207" s="70">
        <v>44001824</v>
      </c>
      <c r="C207" s="69" t="s">
        <v>998</v>
      </c>
      <c r="D207" s="71" t="s">
        <v>2961</v>
      </c>
      <c r="E207" s="69" t="s">
        <v>2388</v>
      </c>
      <c r="F207" s="69">
        <v>30</v>
      </c>
      <c r="G207" s="69">
        <v>45</v>
      </c>
      <c r="H207" s="69" t="s">
        <v>2391</v>
      </c>
      <c r="I207" s="69" t="s">
        <v>2431</v>
      </c>
      <c r="J207" s="69" t="s">
        <v>2398</v>
      </c>
      <c r="K207" s="69"/>
      <c r="L207" s="72" t="s">
        <v>2392</v>
      </c>
      <c r="M207" s="72" t="b">
        <f t="shared" si="3"/>
        <v>0</v>
      </c>
    </row>
    <row r="208" spans="1:13" x14ac:dyDescent="0.25">
      <c r="A208" s="69" t="s">
        <v>1725</v>
      </c>
      <c r="B208" s="70">
        <v>44001824</v>
      </c>
      <c r="C208" s="69" t="s">
        <v>998</v>
      </c>
      <c r="D208" s="71" t="s">
        <v>2961</v>
      </c>
      <c r="E208" s="69" t="s">
        <v>2388</v>
      </c>
      <c r="F208" s="69">
        <v>30</v>
      </c>
      <c r="G208" s="69">
        <v>45</v>
      </c>
      <c r="H208" s="69" t="s">
        <v>2391</v>
      </c>
      <c r="I208" s="69" t="s">
        <v>2446</v>
      </c>
      <c r="J208" s="69" t="s">
        <v>2415</v>
      </c>
      <c r="K208" s="69"/>
      <c r="L208" s="72" t="s">
        <v>2392</v>
      </c>
      <c r="M208" s="72" t="b">
        <f t="shared" si="3"/>
        <v>0</v>
      </c>
    </row>
    <row r="209" spans="1:13" x14ac:dyDescent="0.25">
      <c r="A209" s="69" t="s">
        <v>2086</v>
      </c>
      <c r="B209" s="70">
        <v>44001824</v>
      </c>
      <c r="C209" s="69" t="s">
        <v>998</v>
      </c>
      <c r="D209" s="71" t="s">
        <v>2961</v>
      </c>
      <c r="E209" s="69" t="s">
        <v>2388</v>
      </c>
      <c r="F209" s="69">
        <v>30</v>
      </c>
      <c r="G209" s="69">
        <v>45</v>
      </c>
      <c r="H209" s="69" t="s">
        <v>2391</v>
      </c>
      <c r="I209" s="69" t="s">
        <v>2446</v>
      </c>
      <c r="J209" s="69" t="s">
        <v>2415</v>
      </c>
      <c r="K209" s="69"/>
      <c r="L209" s="72" t="s">
        <v>2392</v>
      </c>
      <c r="M209" s="72" t="b">
        <f t="shared" si="3"/>
        <v>0</v>
      </c>
    </row>
    <row r="210" spans="1:13" x14ac:dyDescent="0.25">
      <c r="A210" s="69" t="s">
        <v>2087</v>
      </c>
      <c r="B210" s="70">
        <v>44001824</v>
      </c>
      <c r="C210" s="69" t="s">
        <v>998</v>
      </c>
      <c r="D210" s="71" t="s">
        <v>2961</v>
      </c>
      <c r="E210" s="69" t="s">
        <v>2388</v>
      </c>
      <c r="F210" s="69">
        <v>30</v>
      </c>
      <c r="G210" s="69">
        <v>45</v>
      </c>
      <c r="H210" s="69" t="s">
        <v>2391</v>
      </c>
      <c r="I210" s="69" t="s">
        <v>2446</v>
      </c>
      <c r="J210" s="69" t="s">
        <v>2415</v>
      </c>
      <c r="K210" s="69"/>
      <c r="L210" s="72" t="s">
        <v>2392</v>
      </c>
      <c r="M210" s="72" t="b">
        <f t="shared" si="3"/>
        <v>0</v>
      </c>
    </row>
    <row r="211" spans="1:13" x14ac:dyDescent="0.25">
      <c r="A211" s="69" t="s">
        <v>2288</v>
      </c>
      <c r="B211" s="70">
        <v>44001824</v>
      </c>
      <c r="C211" s="69" t="s">
        <v>998</v>
      </c>
      <c r="D211" s="71" t="s">
        <v>2961</v>
      </c>
      <c r="E211" s="69" t="s">
        <v>2388</v>
      </c>
      <c r="F211" s="69">
        <v>30</v>
      </c>
      <c r="G211" s="69">
        <v>45</v>
      </c>
      <c r="H211" s="69" t="s">
        <v>2391</v>
      </c>
      <c r="I211" s="69" t="s">
        <v>2446</v>
      </c>
      <c r="J211" s="69" t="s">
        <v>2415</v>
      </c>
      <c r="K211" s="69"/>
      <c r="L211" s="72" t="s">
        <v>2392</v>
      </c>
      <c r="M211" s="72" t="b">
        <f t="shared" si="3"/>
        <v>0</v>
      </c>
    </row>
    <row r="212" spans="1:13" x14ac:dyDescent="0.25">
      <c r="A212" s="69" t="s">
        <v>2275</v>
      </c>
      <c r="B212" s="70">
        <v>44001824</v>
      </c>
      <c r="C212" s="69" t="s">
        <v>998</v>
      </c>
      <c r="D212" s="71" t="s">
        <v>2961</v>
      </c>
      <c r="E212" s="69" t="s">
        <v>2388</v>
      </c>
      <c r="F212" s="69">
        <v>30</v>
      </c>
      <c r="G212" s="69">
        <v>45</v>
      </c>
      <c r="H212" s="69" t="s">
        <v>2391</v>
      </c>
      <c r="I212" s="69" t="s">
        <v>2446</v>
      </c>
      <c r="J212" s="69" t="s">
        <v>2415</v>
      </c>
      <c r="K212" s="69"/>
      <c r="L212" s="72" t="s">
        <v>2392</v>
      </c>
      <c r="M212" s="72" t="b">
        <f t="shared" si="3"/>
        <v>0</v>
      </c>
    </row>
    <row r="213" spans="1:13" x14ac:dyDescent="0.25">
      <c r="A213" s="69" t="s">
        <v>2276</v>
      </c>
      <c r="B213" s="70">
        <v>44001824</v>
      </c>
      <c r="C213" s="69" t="s">
        <v>998</v>
      </c>
      <c r="D213" s="71" t="s">
        <v>2961</v>
      </c>
      <c r="E213" s="69" t="s">
        <v>2388</v>
      </c>
      <c r="F213" s="69">
        <v>30</v>
      </c>
      <c r="G213" s="69">
        <v>45</v>
      </c>
      <c r="H213" s="69" t="s">
        <v>2391</v>
      </c>
      <c r="I213" s="69" t="s">
        <v>2446</v>
      </c>
      <c r="J213" s="69" t="s">
        <v>2415</v>
      </c>
      <c r="K213" s="69"/>
      <c r="L213" s="72" t="s">
        <v>2392</v>
      </c>
      <c r="M213" s="72" t="b">
        <f t="shared" si="3"/>
        <v>0</v>
      </c>
    </row>
    <row r="214" spans="1:13" x14ac:dyDescent="0.25">
      <c r="A214" s="69" t="s">
        <v>2277</v>
      </c>
      <c r="B214" s="70">
        <v>44001824</v>
      </c>
      <c r="C214" s="69" t="s">
        <v>998</v>
      </c>
      <c r="D214" s="71" t="s">
        <v>2961</v>
      </c>
      <c r="E214" s="69" t="s">
        <v>2388</v>
      </c>
      <c r="F214" s="69">
        <v>30</v>
      </c>
      <c r="G214" s="69">
        <v>45</v>
      </c>
      <c r="H214" s="69" t="s">
        <v>2391</v>
      </c>
      <c r="I214" s="69" t="s">
        <v>2446</v>
      </c>
      <c r="J214" s="69" t="s">
        <v>2401</v>
      </c>
      <c r="K214" s="69"/>
      <c r="L214" s="72" t="s">
        <v>2392</v>
      </c>
      <c r="M214" s="72" t="b">
        <f t="shared" si="3"/>
        <v>0</v>
      </c>
    </row>
    <row r="215" spans="1:13" x14ac:dyDescent="0.25">
      <c r="A215" s="69" t="s">
        <v>2088</v>
      </c>
      <c r="B215" s="70">
        <v>44001824</v>
      </c>
      <c r="C215" s="69" t="s">
        <v>998</v>
      </c>
      <c r="D215" s="71" t="s">
        <v>2961</v>
      </c>
      <c r="E215" s="69" t="s">
        <v>2388</v>
      </c>
      <c r="F215" s="69">
        <v>30</v>
      </c>
      <c r="G215" s="69">
        <v>45</v>
      </c>
      <c r="H215" s="69" t="s">
        <v>2391</v>
      </c>
      <c r="I215" s="69" t="s">
        <v>2446</v>
      </c>
      <c r="J215" s="69" t="s">
        <v>2401</v>
      </c>
      <c r="K215" s="69"/>
      <c r="L215" s="72" t="s">
        <v>2392</v>
      </c>
      <c r="M215" s="72" t="b">
        <f t="shared" si="3"/>
        <v>0</v>
      </c>
    </row>
    <row r="216" spans="1:13" x14ac:dyDescent="0.25">
      <c r="A216" s="69" t="s">
        <v>2278</v>
      </c>
      <c r="B216" s="70">
        <v>44001824</v>
      </c>
      <c r="C216" s="69" t="s">
        <v>998</v>
      </c>
      <c r="D216" s="71" t="s">
        <v>2961</v>
      </c>
      <c r="E216" s="69" t="s">
        <v>2388</v>
      </c>
      <c r="F216" s="69">
        <v>30</v>
      </c>
      <c r="G216" s="69">
        <v>45</v>
      </c>
      <c r="H216" s="69" t="s">
        <v>2391</v>
      </c>
      <c r="I216" s="69" t="s">
        <v>2446</v>
      </c>
      <c r="J216" s="69" t="s">
        <v>2401</v>
      </c>
      <c r="K216" s="69"/>
      <c r="L216" s="72" t="s">
        <v>2392</v>
      </c>
      <c r="M216" s="72" t="b">
        <f t="shared" si="3"/>
        <v>0</v>
      </c>
    </row>
    <row r="217" spans="1:13" x14ac:dyDescent="0.25">
      <c r="A217" s="69" t="s">
        <v>2279</v>
      </c>
      <c r="B217" s="70">
        <v>44001824</v>
      </c>
      <c r="C217" s="69" t="s">
        <v>998</v>
      </c>
      <c r="D217" s="71" t="s">
        <v>2961</v>
      </c>
      <c r="E217" s="69" t="s">
        <v>2388</v>
      </c>
      <c r="F217" s="69">
        <v>30</v>
      </c>
      <c r="G217" s="69">
        <v>45</v>
      </c>
      <c r="H217" s="69" t="s">
        <v>2391</v>
      </c>
      <c r="I217" s="69" t="s">
        <v>2446</v>
      </c>
      <c r="J217" s="69" t="s">
        <v>2401</v>
      </c>
      <c r="K217" s="69"/>
      <c r="L217" s="72" t="s">
        <v>2392</v>
      </c>
      <c r="M217" s="72" t="b">
        <f t="shared" si="3"/>
        <v>0</v>
      </c>
    </row>
    <row r="218" spans="1:13" x14ac:dyDescent="0.25">
      <c r="A218" s="69" t="s">
        <v>2089</v>
      </c>
      <c r="B218" s="70">
        <v>44001824</v>
      </c>
      <c r="C218" s="69" t="s">
        <v>998</v>
      </c>
      <c r="D218" s="71" t="s">
        <v>2961</v>
      </c>
      <c r="E218" s="69" t="s">
        <v>2388</v>
      </c>
      <c r="F218" s="69">
        <v>30</v>
      </c>
      <c r="G218" s="69">
        <v>45</v>
      </c>
      <c r="H218" s="69" t="s">
        <v>2391</v>
      </c>
      <c r="I218" s="69" t="s">
        <v>2446</v>
      </c>
      <c r="J218" s="69" t="s">
        <v>2401</v>
      </c>
      <c r="K218" s="69"/>
      <c r="L218" s="72" t="s">
        <v>2392</v>
      </c>
      <c r="M218" s="72" t="b">
        <f t="shared" si="3"/>
        <v>0</v>
      </c>
    </row>
    <row r="219" spans="1:13" x14ac:dyDescent="0.25">
      <c r="A219" s="69" t="s">
        <v>2066</v>
      </c>
      <c r="B219" s="70">
        <v>44001824</v>
      </c>
      <c r="C219" s="69" t="s">
        <v>998</v>
      </c>
      <c r="D219" s="71" t="s">
        <v>2961</v>
      </c>
      <c r="E219" s="69" t="s">
        <v>2388</v>
      </c>
      <c r="F219" s="69">
        <v>30</v>
      </c>
      <c r="G219" s="69">
        <v>45</v>
      </c>
      <c r="H219" s="69" t="s">
        <v>2391</v>
      </c>
      <c r="I219" s="69" t="s">
        <v>2446</v>
      </c>
      <c r="J219" s="69" t="s">
        <v>2415</v>
      </c>
      <c r="K219" s="69"/>
      <c r="L219" s="72" t="s">
        <v>2392</v>
      </c>
      <c r="M219" s="72" t="b">
        <f t="shared" si="3"/>
        <v>0</v>
      </c>
    </row>
    <row r="220" spans="1:13" x14ac:dyDescent="0.25">
      <c r="A220" s="69" t="s">
        <v>2280</v>
      </c>
      <c r="B220" s="70">
        <v>44001824</v>
      </c>
      <c r="C220" s="69" t="s">
        <v>998</v>
      </c>
      <c r="D220" s="71" t="s">
        <v>2961</v>
      </c>
      <c r="E220" s="69" t="s">
        <v>2388</v>
      </c>
      <c r="F220" s="69">
        <v>30</v>
      </c>
      <c r="G220" s="69">
        <v>45</v>
      </c>
      <c r="H220" s="69" t="s">
        <v>2391</v>
      </c>
      <c r="I220" s="69" t="s">
        <v>2446</v>
      </c>
      <c r="J220" s="69" t="s">
        <v>2401</v>
      </c>
      <c r="K220" s="69"/>
      <c r="L220" s="72" t="s">
        <v>2392</v>
      </c>
      <c r="M220" s="72" t="b">
        <f t="shared" si="3"/>
        <v>0</v>
      </c>
    </row>
    <row r="221" spans="1:13" x14ac:dyDescent="0.25">
      <c r="A221" s="69" t="s">
        <v>2028</v>
      </c>
      <c r="B221" s="70">
        <v>44001824</v>
      </c>
      <c r="C221" s="69" t="s">
        <v>998</v>
      </c>
      <c r="D221" s="71" t="s">
        <v>2961</v>
      </c>
      <c r="E221" s="69" t="s">
        <v>2388</v>
      </c>
      <c r="F221" s="69">
        <v>30</v>
      </c>
      <c r="G221" s="69">
        <v>45</v>
      </c>
      <c r="H221" s="69" t="s">
        <v>2391</v>
      </c>
      <c r="I221" s="69" t="s">
        <v>2446</v>
      </c>
      <c r="J221" s="69" t="s">
        <v>2415</v>
      </c>
      <c r="K221" s="69"/>
      <c r="L221" s="72" t="s">
        <v>2392</v>
      </c>
      <c r="M221" s="72" t="b">
        <f t="shared" si="3"/>
        <v>0</v>
      </c>
    </row>
    <row r="222" spans="1:13" x14ac:dyDescent="0.25">
      <c r="A222" s="69" t="s">
        <v>2281</v>
      </c>
      <c r="B222" s="70">
        <v>44001824</v>
      </c>
      <c r="C222" s="69" t="s">
        <v>998</v>
      </c>
      <c r="D222" s="71" t="s">
        <v>2961</v>
      </c>
      <c r="E222" s="69" t="s">
        <v>2388</v>
      </c>
      <c r="F222" s="69">
        <v>30</v>
      </c>
      <c r="G222" s="69">
        <v>45</v>
      </c>
      <c r="H222" s="69" t="s">
        <v>2391</v>
      </c>
      <c r="I222" s="69" t="s">
        <v>2446</v>
      </c>
      <c r="J222" s="69" t="s">
        <v>2401</v>
      </c>
      <c r="K222" s="69"/>
      <c r="L222" s="72" t="s">
        <v>2392</v>
      </c>
      <c r="M222" s="72" t="b">
        <f t="shared" si="3"/>
        <v>0</v>
      </c>
    </row>
    <row r="223" spans="1:13" x14ac:dyDescent="0.25">
      <c r="A223" s="69" t="s">
        <v>2090</v>
      </c>
      <c r="B223" s="70">
        <v>44001824</v>
      </c>
      <c r="C223" s="69" t="s">
        <v>998</v>
      </c>
      <c r="D223" s="71" t="s">
        <v>2961</v>
      </c>
      <c r="E223" s="69" t="s">
        <v>2388</v>
      </c>
      <c r="F223" s="69">
        <v>30</v>
      </c>
      <c r="G223" s="69">
        <v>45</v>
      </c>
      <c r="H223" s="69" t="s">
        <v>2391</v>
      </c>
      <c r="I223" s="69" t="s">
        <v>2446</v>
      </c>
      <c r="J223" s="69" t="s">
        <v>2401</v>
      </c>
      <c r="K223" s="69"/>
      <c r="L223" s="72" t="s">
        <v>2392</v>
      </c>
      <c r="M223" s="72" t="b">
        <f t="shared" si="3"/>
        <v>0</v>
      </c>
    </row>
    <row r="224" spans="1:13" x14ac:dyDescent="0.25">
      <c r="A224" s="69" t="s">
        <v>2353</v>
      </c>
      <c r="B224" s="70">
        <v>44001824</v>
      </c>
      <c r="C224" s="69" t="s">
        <v>998</v>
      </c>
      <c r="D224" s="71" t="s">
        <v>2961</v>
      </c>
      <c r="E224" s="69" t="s">
        <v>2388</v>
      </c>
      <c r="F224" s="69">
        <v>30</v>
      </c>
      <c r="G224" s="69">
        <v>0</v>
      </c>
      <c r="H224" s="69" t="s">
        <v>2391</v>
      </c>
      <c r="I224" s="69" t="s">
        <v>2446</v>
      </c>
      <c r="J224" s="69" t="s">
        <v>2415</v>
      </c>
      <c r="K224" s="69" t="s">
        <v>3022</v>
      </c>
      <c r="L224" s="72" t="s">
        <v>2392</v>
      </c>
      <c r="M224" s="72" t="b">
        <f t="shared" si="3"/>
        <v>0</v>
      </c>
    </row>
    <row r="225" spans="1:13" x14ac:dyDescent="0.25">
      <c r="A225" s="69" t="s">
        <v>2078</v>
      </c>
      <c r="B225" s="70">
        <v>44001824</v>
      </c>
      <c r="C225" s="69" t="s">
        <v>998</v>
      </c>
      <c r="D225" s="71" t="s">
        <v>2961</v>
      </c>
      <c r="E225" s="69" t="s">
        <v>2388</v>
      </c>
      <c r="F225" s="69">
        <v>30</v>
      </c>
      <c r="G225" s="69">
        <v>45</v>
      </c>
      <c r="H225" s="69" t="s">
        <v>2391</v>
      </c>
      <c r="I225" s="69" t="s">
        <v>2446</v>
      </c>
      <c r="J225" s="69" t="s">
        <v>2401</v>
      </c>
      <c r="K225" s="69"/>
      <c r="L225" s="72" t="s">
        <v>2392</v>
      </c>
      <c r="M225" s="72" t="b">
        <f t="shared" si="3"/>
        <v>0</v>
      </c>
    </row>
    <row r="226" spans="1:13" x14ac:dyDescent="0.25">
      <c r="A226" s="69" t="s">
        <v>2097</v>
      </c>
      <c r="B226" s="70">
        <v>44001824</v>
      </c>
      <c r="C226" s="69" t="s">
        <v>998</v>
      </c>
      <c r="D226" s="71" t="s">
        <v>2961</v>
      </c>
      <c r="E226" s="69" t="s">
        <v>2388</v>
      </c>
      <c r="F226" s="69">
        <v>30</v>
      </c>
      <c r="G226" s="69">
        <v>45</v>
      </c>
      <c r="H226" s="69" t="s">
        <v>2391</v>
      </c>
      <c r="I226" s="69" t="s">
        <v>2446</v>
      </c>
      <c r="J226" s="69" t="s">
        <v>2401</v>
      </c>
      <c r="K226" s="69"/>
      <c r="L226" s="72" t="s">
        <v>2392</v>
      </c>
      <c r="M226" s="72" t="b">
        <f t="shared" si="3"/>
        <v>0</v>
      </c>
    </row>
    <row r="227" spans="1:13" x14ac:dyDescent="0.25">
      <c r="A227" s="69" t="s">
        <v>2286</v>
      </c>
      <c r="B227" s="70">
        <v>44001824</v>
      </c>
      <c r="C227" s="69" t="s">
        <v>998</v>
      </c>
      <c r="D227" s="71" t="s">
        <v>2961</v>
      </c>
      <c r="E227" s="69" t="s">
        <v>2388</v>
      </c>
      <c r="F227" s="69">
        <v>30</v>
      </c>
      <c r="G227" s="69">
        <v>45</v>
      </c>
      <c r="H227" s="69" t="s">
        <v>2391</v>
      </c>
      <c r="I227" s="69" t="s">
        <v>2446</v>
      </c>
      <c r="J227" s="69" t="s">
        <v>2401</v>
      </c>
      <c r="K227" s="69"/>
      <c r="L227" s="72" t="s">
        <v>2392</v>
      </c>
      <c r="M227" s="72" t="b">
        <f t="shared" si="3"/>
        <v>0</v>
      </c>
    </row>
    <row r="228" spans="1:13" x14ac:dyDescent="0.25">
      <c r="A228" s="69" t="s">
        <v>2091</v>
      </c>
      <c r="B228" s="70">
        <v>44001824</v>
      </c>
      <c r="C228" s="69" t="s">
        <v>998</v>
      </c>
      <c r="D228" s="71" t="s">
        <v>2961</v>
      </c>
      <c r="E228" s="69" t="s">
        <v>2388</v>
      </c>
      <c r="F228" s="69">
        <v>30</v>
      </c>
      <c r="G228" s="69">
        <v>45</v>
      </c>
      <c r="H228" s="69" t="s">
        <v>2391</v>
      </c>
      <c r="I228" s="69" t="s">
        <v>2446</v>
      </c>
      <c r="J228" s="69" t="s">
        <v>2401</v>
      </c>
      <c r="K228" s="69"/>
      <c r="L228" s="72" t="s">
        <v>2392</v>
      </c>
      <c r="M228" s="72" t="b">
        <f t="shared" si="3"/>
        <v>0</v>
      </c>
    </row>
    <row r="229" spans="1:13" x14ac:dyDescent="0.25">
      <c r="A229" s="69" t="s">
        <v>2080</v>
      </c>
      <c r="B229" s="70">
        <v>44001824</v>
      </c>
      <c r="C229" s="69" t="s">
        <v>998</v>
      </c>
      <c r="D229" s="71" t="s">
        <v>2961</v>
      </c>
      <c r="E229" s="69" t="s">
        <v>2388</v>
      </c>
      <c r="F229" s="69">
        <v>30</v>
      </c>
      <c r="G229" s="69">
        <v>45</v>
      </c>
      <c r="H229" s="69" t="s">
        <v>2391</v>
      </c>
      <c r="I229" s="69" t="s">
        <v>2446</v>
      </c>
      <c r="J229" s="69" t="s">
        <v>2401</v>
      </c>
      <c r="K229" s="69"/>
      <c r="L229" s="72" t="s">
        <v>2392</v>
      </c>
      <c r="M229" s="72" t="b">
        <f t="shared" si="3"/>
        <v>0</v>
      </c>
    </row>
    <row r="230" spans="1:13" x14ac:dyDescent="0.25">
      <c r="A230" s="69" t="s">
        <v>2098</v>
      </c>
      <c r="B230" s="70">
        <v>44001824</v>
      </c>
      <c r="C230" s="69" t="s">
        <v>998</v>
      </c>
      <c r="D230" s="71" t="s">
        <v>2961</v>
      </c>
      <c r="E230" s="69" t="s">
        <v>2388</v>
      </c>
      <c r="F230" s="69">
        <v>30</v>
      </c>
      <c r="G230" s="69">
        <v>45</v>
      </c>
      <c r="H230" s="69" t="s">
        <v>2391</v>
      </c>
      <c r="I230" s="69" t="s">
        <v>2446</v>
      </c>
      <c r="J230" s="69" t="s">
        <v>2401</v>
      </c>
      <c r="K230" s="69"/>
      <c r="L230" s="72" t="s">
        <v>2392</v>
      </c>
      <c r="M230" s="72" t="b">
        <f t="shared" si="3"/>
        <v>0</v>
      </c>
    </row>
    <row r="231" spans="1:13" x14ac:dyDescent="0.25">
      <c r="A231" s="69" t="s">
        <v>2284</v>
      </c>
      <c r="B231" s="70">
        <v>44001824</v>
      </c>
      <c r="C231" s="69" t="s">
        <v>998</v>
      </c>
      <c r="D231" s="71" t="s">
        <v>2961</v>
      </c>
      <c r="E231" s="69" t="s">
        <v>2388</v>
      </c>
      <c r="F231" s="69">
        <v>30</v>
      </c>
      <c r="G231" s="69">
        <v>45</v>
      </c>
      <c r="H231" s="69" t="s">
        <v>2391</v>
      </c>
      <c r="I231" s="69" t="s">
        <v>2446</v>
      </c>
      <c r="J231" s="69" t="s">
        <v>2401</v>
      </c>
      <c r="K231" s="69"/>
      <c r="L231" s="72" t="s">
        <v>2392</v>
      </c>
      <c r="M231" s="72" t="b">
        <f t="shared" si="3"/>
        <v>0</v>
      </c>
    </row>
    <row r="232" spans="1:13" x14ac:dyDescent="0.25">
      <c r="A232" s="69" t="s">
        <v>2354</v>
      </c>
      <c r="B232" s="70">
        <v>44001824</v>
      </c>
      <c r="C232" s="69" t="s">
        <v>998</v>
      </c>
      <c r="D232" s="71" t="s">
        <v>2961</v>
      </c>
      <c r="E232" s="69" t="s">
        <v>2388</v>
      </c>
      <c r="F232" s="69">
        <v>30</v>
      </c>
      <c r="G232" s="69"/>
      <c r="H232" s="69" t="s">
        <v>2391</v>
      </c>
      <c r="I232" s="69" t="s">
        <v>2446</v>
      </c>
      <c r="J232" s="69" t="s">
        <v>2415</v>
      </c>
      <c r="K232" s="69" t="s">
        <v>3022</v>
      </c>
      <c r="L232" s="72" t="s">
        <v>2392</v>
      </c>
      <c r="M232" s="72" t="b">
        <f t="shared" si="3"/>
        <v>0</v>
      </c>
    </row>
    <row r="233" spans="1:13" x14ac:dyDescent="0.25">
      <c r="A233" s="69" t="s">
        <v>2013</v>
      </c>
      <c r="B233" s="70">
        <v>44001824</v>
      </c>
      <c r="C233" s="69" t="s">
        <v>998</v>
      </c>
      <c r="D233" s="71" t="s">
        <v>2961</v>
      </c>
      <c r="E233" s="69" t="s">
        <v>2388</v>
      </c>
      <c r="F233" s="69">
        <v>30</v>
      </c>
      <c r="G233" s="69">
        <v>45</v>
      </c>
      <c r="H233" s="69" t="s">
        <v>2391</v>
      </c>
      <c r="I233" s="69" t="s">
        <v>2431</v>
      </c>
      <c r="J233" s="69" t="s">
        <v>2461</v>
      </c>
      <c r="K233" s="69"/>
      <c r="L233" s="72" t="s">
        <v>2392</v>
      </c>
      <c r="M233" s="72" t="b">
        <f t="shared" si="3"/>
        <v>0</v>
      </c>
    </row>
    <row r="234" spans="1:13" x14ac:dyDescent="0.25">
      <c r="A234" s="69" t="s">
        <v>2022</v>
      </c>
      <c r="B234" s="70">
        <v>44000619</v>
      </c>
      <c r="C234" s="69" t="s">
        <v>2462</v>
      </c>
      <c r="D234" s="71" t="s">
        <v>2961</v>
      </c>
      <c r="E234" s="69" t="s">
        <v>2388</v>
      </c>
      <c r="F234" s="69">
        <v>30</v>
      </c>
      <c r="G234" s="69">
        <v>30</v>
      </c>
      <c r="H234" s="69" t="s">
        <v>2391</v>
      </c>
      <c r="I234" s="69" t="s">
        <v>2446</v>
      </c>
      <c r="J234" s="69" t="s">
        <v>2401</v>
      </c>
      <c r="K234" s="69" t="s">
        <v>3021</v>
      </c>
      <c r="L234" s="72" t="s">
        <v>2387</v>
      </c>
      <c r="M234" s="72" t="b">
        <f t="shared" si="3"/>
        <v>0</v>
      </c>
    </row>
    <row r="235" spans="1:13" x14ac:dyDescent="0.25">
      <c r="A235" s="69" t="s">
        <v>1718</v>
      </c>
      <c r="B235" s="70">
        <v>44001824</v>
      </c>
      <c r="C235" s="69" t="s">
        <v>998</v>
      </c>
      <c r="D235" s="71" t="s">
        <v>2961</v>
      </c>
      <c r="E235" s="69" t="s">
        <v>2388</v>
      </c>
      <c r="F235" s="69">
        <v>30</v>
      </c>
      <c r="G235" s="69">
        <v>45</v>
      </c>
      <c r="H235" s="69" t="s">
        <v>2391</v>
      </c>
      <c r="I235" s="69" t="s">
        <v>2431</v>
      </c>
      <c r="J235" s="69" t="s">
        <v>2398</v>
      </c>
      <c r="K235" s="69"/>
      <c r="L235" s="72" t="s">
        <v>2392</v>
      </c>
      <c r="M235" s="72" t="b">
        <f t="shared" si="3"/>
        <v>0</v>
      </c>
    </row>
    <row r="236" spans="1:13" x14ac:dyDescent="0.25">
      <c r="A236" s="69" t="s">
        <v>1297</v>
      </c>
      <c r="B236" s="70">
        <v>44000122</v>
      </c>
      <c r="C236" s="69" t="s">
        <v>903</v>
      </c>
      <c r="D236" s="71" t="s">
        <v>2392</v>
      </c>
      <c r="E236" s="69" t="s">
        <v>2393</v>
      </c>
      <c r="F236" s="69">
        <v>30</v>
      </c>
      <c r="G236" s="69">
        <v>900</v>
      </c>
      <c r="H236" s="69" t="s">
        <v>2399</v>
      </c>
      <c r="I236" s="69" t="s">
        <v>2403</v>
      </c>
      <c r="J236" s="69" t="s">
        <v>2398</v>
      </c>
      <c r="K236" s="69"/>
      <c r="L236" s="72" t="s">
        <v>2392</v>
      </c>
      <c r="M236" s="72" t="b">
        <f t="shared" si="3"/>
        <v>1</v>
      </c>
    </row>
    <row r="237" spans="1:13" x14ac:dyDescent="0.25">
      <c r="A237" s="69" t="s">
        <v>1058</v>
      </c>
      <c r="B237" s="70">
        <v>44000935</v>
      </c>
      <c r="C237" s="69" t="s">
        <v>144</v>
      </c>
      <c r="D237" s="71" t="s">
        <v>2392</v>
      </c>
      <c r="E237" s="69" t="s">
        <v>2388</v>
      </c>
      <c r="F237" s="69">
        <v>30</v>
      </c>
      <c r="G237" s="69">
        <v>30</v>
      </c>
      <c r="H237" s="69" t="s">
        <v>2486</v>
      </c>
      <c r="I237" s="69" t="s">
        <v>2463</v>
      </c>
      <c r="J237" s="69" t="s">
        <v>3208</v>
      </c>
      <c r="K237" s="69"/>
      <c r="L237" s="72" t="s">
        <v>2392</v>
      </c>
      <c r="M237" s="72" t="b">
        <f t="shared" si="3"/>
        <v>1</v>
      </c>
    </row>
    <row r="238" spans="1:13" x14ac:dyDescent="0.25">
      <c r="A238" s="69" t="s">
        <v>727</v>
      </c>
      <c r="B238" s="70">
        <v>44000935</v>
      </c>
      <c r="C238" s="69" t="s">
        <v>144</v>
      </c>
      <c r="D238" s="71" t="s">
        <v>2392</v>
      </c>
      <c r="E238" s="69" t="s">
        <v>2388</v>
      </c>
      <c r="F238" s="69">
        <v>30</v>
      </c>
      <c r="G238" s="69">
        <v>0</v>
      </c>
      <c r="H238" s="69" t="s">
        <v>2395</v>
      </c>
      <c r="I238" s="69" t="s">
        <v>2463</v>
      </c>
      <c r="J238" s="69" t="s">
        <v>2444</v>
      </c>
      <c r="K238" s="69" t="s">
        <v>3013</v>
      </c>
      <c r="L238" s="72" t="s">
        <v>2392</v>
      </c>
      <c r="M238" s="72" t="b">
        <f t="shared" si="3"/>
        <v>1</v>
      </c>
    </row>
    <row r="239" spans="1:13" x14ac:dyDescent="0.25">
      <c r="A239" s="69" t="s">
        <v>142</v>
      </c>
      <c r="B239" s="70">
        <v>44000935</v>
      </c>
      <c r="C239" s="69" t="s">
        <v>144</v>
      </c>
      <c r="D239" s="71" t="s">
        <v>2392</v>
      </c>
      <c r="E239" s="69" t="s">
        <v>2388</v>
      </c>
      <c r="F239" s="69">
        <v>30</v>
      </c>
      <c r="G239" s="69">
        <v>0</v>
      </c>
      <c r="H239" s="69" t="s">
        <v>2412</v>
      </c>
      <c r="I239" s="69" t="s">
        <v>2410</v>
      </c>
      <c r="J239" s="69" t="s">
        <v>2444</v>
      </c>
      <c r="K239" s="69" t="s">
        <v>3209</v>
      </c>
      <c r="L239" s="72" t="s">
        <v>2392</v>
      </c>
      <c r="M239" s="72" t="b">
        <f t="shared" si="3"/>
        <v>1</v>
      </c>
    </row>
    <row r="240" spans="1:13" x14ac:dyDescent="0.25">
      <c r="A240" s="69" t="s">
        <v>870</v>
      </c>
      <c r="B240" s="70">
        <v>44000935</v>
      </c>
      <c r="C240" s="69" t="s">
        <v>144</v>
      </c>
      <c r="D240" s="71" t="s">
        <v>2392</v>
      </c>
      <c r="E240" s="69" t="s">
        <v>2388</v>
      </c>
      <c r="F240" s="69">
        <v>30</v>
      </c>
      <c r="G240" s="69">
        <v>30</v>
      </c>
      <c r="H240" s="69" t="s">
        <v>2391</v>
      </c>
      <c r="I240" s="69" t="s">
        <v>2431</v>
      </c>
      <c r="J240" s="69" t="s">
        <v>3210</v>
      </c>
      <c r="K240" s="69"/>
      <c r="L240" s="72" t="s">
        <v>2392</v>
      </c>
      <c r="M240" s="72" t="b">
        <f t="shared" si="3"/>
        <v>1</v>
      </c>
    </row>
    <row r="241" spans="1:13" x14ac:dyDescent="0.25">
      <c r="A241" s="69" t="s">
        <v>2369</v>
      </c>
      <c r="B241" s="70">
        <v>44000935</v>
      </c>
      <c r="C241" s="69" t="s">
        <v>144</v>
      </c>
      <c r="D241" s="71" t="s">
        <v>2392</v>
      </c>
      <c r="E241" s="69" t="s">
        <v>2388</v>
      </c>
      <c r="F241" s="69"/>
      <c r="G241" s="69"/>
      <c r="H241" s="69" t="s">
        <v>2395</v>
      </c>
      <c r="I241" s="69" t="s">
        <v>2410</v>
      </c>
      <c r="J241" s="69" t="s">
        <v>2444</v>
      </c>
      <c r="K241" s="69"/>
      <c r="L241" s="72" t="s">
        <v>2392</v>
      </c>
      <c r="M241" s="72" t="b">
        <f t="shared" si="3"/>
        <v>1</v>
      </c>
    </row>
    <row r="242" spans="1:13" x14ac:dyDescent="0.25">
      <c r="A242" s="69" t="s">
        <v>2464</v>
      </c>
      <c r="B242" s="70">
        <v>44000935</v>
      </c>
      <c r="C242" s="69" t="s">
        <v>144</v>
      </c>
      <c r="D242" s="71" t="s">
        <v>2392</v>
      </c>
      <c r="E242" s="69" t="s">
        <v>2388</v>
      </c>
      <c r="F242" s="69">
        <v>30</v>
      </c>
      <c r="G242" s="69">
        <v>30</v>
      </c>
      <c r="H242" s="69" t="s">
        <v>2412</v>
      </c>
      <c r="I242" s="69" t="s">
        <v>2394</v>
      </c>
      <c r="J242" s="69" t="s">
        <v>2401</v>
      </c>
      <c r="K242" s="69"/>
      <c r="L242" s="72" t="s">
        <v>2392</v>
      </c>
      <c r="M242" s="72" t="b">
        <f t="shared" si="3"/>
        <v>1</v>
      </c>
    </row>
    <row r="243" spans="1:13" x14ac:dyDescent="0.25">
      <c r="A243" s="69" t="s">
        <v>2210</v>
      </c>
      <c r="B243" s="70" t="s">
        <v>3023</v>
      </c>
      <c r="C243" s="69" t="s">
        <v>2465</v>
      </c>
      <c r="D243" s="71" t="s">
        <v>2392</v>
      </c>
      <c r="E243" s="69" t="s">
        <v>2388</v>
      </c>
      <c r="F243" s="69">
        <v>30</v>
      </c>
      <c r="G243" s="69">
        <v>0</v>
      </c>
      <c r="H243" s="69" t="s">
        <v>2395</v>
      </c>
      <c r="I243" s="69" t="s">
        <v>2463</v>
      </c>
      <c r="J243" s="69" t="s">
        <v>2444</v>
      </c>
      <c r="K243" s="69" t="s">
        <v>3013</v>
      </c>
      <c r="L243" s="72" t="s">
        <v>2387</v>
      </c>
      <c r="M243" s="72" t="b">
        <f t="shared" si="3"/>
        <v>0</v>
      </c>
    </row>
    <row r="244" spans="1:13" x14ac:dyDescent="0.25">
      <c r="A244" s="69" t="s">
        <v>373</v>
      </c>
      <c r="B244" s="70">
        <v>44000935</v>
      </c>
      <c r="C244" s="69" t="s">
        <v>144</v>
      </c>
      <c r="D244" s="71" t="s">
        <v>2392</v>
      </c>
      <c r="E244" s="69" t="s">
        <v>2388</v>
      </c>
      <c r="F244" s="69">
        <v>30</v>
      </c>
      <c r="G244" s="69">
        <v>30</v>
      </c>
      <c r="H244" s="69" t="s">
        <v>2486</v>
      </c>
      <c r="I244" s="69" t="s">
        <v>2463</v>
      </c>
      <c r="J244" s="69" t="s">
        <v>3208</v>
      </c>
      <c r="K244" s="69" t="s">
        <v>3013</v>
      </c>
      <c r="L244" s="72" t="s">
        <v>2392</v>
      </c>
      <c r="M244" s="72" t="b">
        <f t="shared" si="3"/>
        <v>1</v>
      </c>
    </row>
    <row r="245" spans="1:13" x14ac:dyDescent="0.25">
      <c r="A245" s="69" t="s">
        <v>361</v>
      </c>
      <c r="B245" s="70">
        <v>44000935</v>
      </c>
      <c r="C245" s="69" t="s">
        <v>144</v>
      </c>
      <c r="D245" s="71" t="s">
        <v>2392</v>
      </c>
      <c r="E245" s="69" t="s">
        <v>2388</v>
      </c>
      <c r="F245" s="69">
        <v>30</v>
      </c>
      <c r="G245" s="69">
        <v>30</v>
      </c>
      <c r="H245" s="69" t="s">
        <v>2486</v>
      </c>
      <c r="I245" s="69" t="s">
        <v>2463</v>
      </c>
      <c r="J245" s="69" t="s">
        <v>3208</v>
      </c>
      <c r="K245" s="69" t="s">
        <v>3013</v>
      </c>
      <c r="L245" s="72" t="s">
        <v>2392</v>
      </c>
      <c r="M245" s="72" t="b">
        <f t="shared" si="3"/>
        <v>1</v>
      </c>
    </row>
    <row r="246" spans="1:13" x14ac:dyDescent="0.25">
      <c r="A246" s="69" t="s">
        <v>358</v>
      </c>
      <c r="B246" s="70">
        <v>44000935</v>
      </c>
      <c r="C246" s="69" t="s">
        <v>144</v>
      </c>
      <c r="D246" s="71" t="s">
        <v>2392</v>
      </c>
      <c r="E246" s="69" t="s">
        <v>2388</v>
      </c>
      <c r="F246" s="69">
        <v>30</v>
      </c>
      <c r="G246" s="69">
        <v>30</v>
      </c>
      <c r="H246" s="69" t="s">
        <v>2486</v>
      </c>
      <c r="I246" s="69" t="s">
        <v>2463</v>
      </c>
      <c r="J246" s="69" t="s">
        <v>3208</v>
      </c>
      <c r="K246" s="69" t="s">
        <v>3013</v>
      </c>
      <c r="L246" s="72" t="s">
        <v>2392</v>
      </c>
      <c r="M246" s="72" t="b">
        <f t="shared" si="3"/>
        <v>1</v>
      </c>
    </row>
    <row r="247" spans="1:13" x14ac:dyDescent="0.25">
      <c r="A247" s="69" t="s">
        <v>355</v>
      </c>
      <c r="B247" s="70">
        <v>44000935</v>
      </c>
      <c r="C247" s="69" t="s">
        <v>144</v>
      </c>
      <c r="D247" s="71" t="s">
        <v>2392</v>
      </c>
      <c r="E247" s="69" t="s">
        <v>2388</v>
      </c>
      <c r="F247" s="69">
        <v>30</v>
      </c>
      <c r="G247" s="69">
        <v>30</v>
      </c>
      <c r="H247" s="69" t="s">
        <v>2486</v>
      </c>
      <c r="I247" s="69" t="s">
        <v>2463</v>
      </c>
      <c r="J247" s="69" t="s">
        <v>3208</v>
      </c>
      <c r="K247" s="69" t="s">
        <v>3013</v>
      </c>
      <c r="L247" s="72" t="s">
        <v>2392</v>
      </c>
      <c r="M247" s="72" t="b">
        <f t="shared" si="3"/>
        <v>1</v>
      </c>
    </row>
    <row r="248" spans="1:13" x14ac:dyDescent="0.25">
      <c r="A248" s="69" t="s">
        <v>352</v>
      </c>
      <c r="B248" s="70">
        <v>44000935</v>
      </c>
      <c r="C248" s="69" t="s">
        <v>144</v>
      </c>
      <c r="D248" s="71" t="s">
        <v>2392</v>
      </c>
      <c r="E248" s="69" t="s">
        <v>2388</v>
      </c>
      <c r="F248" s="69">
        <v>30</v>
      </c>
      <c r="G248" s="69">
        <v>30</v>
      </c>
      <c r="H248" s="69" t="s">
        <v>2486</v>
      </c>
      <c r="I248" s="69" t="s">
        <v>2463</v>
      </c>
      <c r="J248" s="69" t="s">
        <v>3208</v>
      </c>
      <c r="K248" s="69" t="s">
        <v>3013</v>
      </c>
      <c r="L248" s="72" t="s">
        <v>2392</v>
      </c>
      <c r="M248" s="72" t="b">
        <f t="shared" si="3"/>
        <v>1</v>
      </c>
    </row>
    <row r="249" spans="1:13" x14ac:dyDescent="0.25">
      <c r="A249" s="69" t="s">
        <v>349</v>
      </c>
      <c r="B249" s="70">
        <v>44000935</v>
      </c>
      <c r="C249" s="69" t="s">
        <v>144</v>
      </c>
      <c r="D249" s="71" t="s">
        <v>2392</v>
      </c>
      <c r="E249" s="69" t="s">
        <v>2388</v>
      </c>
      <c r="F249" s="69">
        <v>30</v>
      </c>
      <c r="G249" s="69">
        <v>0</v>
      </c>
      <c r="H249" s="69" t="s">
        <v>2395</v>
      </c>
      <c r="I249" s="69" t="s">
        <v>2463</v>
      </c>
      <c r="J249" s="69" t="s">
        <v>2444</v>
      </c>
      <c r="K249" s="69" t="s">
        <v>3013</v>
      </c>
      <c r="L249" s="72" t="s">
        <v>2392</v>
      </c>
      <c r="M249" s="72" t="b">
        <f t="shared" si="3"/>
        <v>1</v>
      </c>
    </row>
    <row r="250" spans="1:13" x14ac:dyDescent="0.25">
      <c r="A250" s="69" t="s">
        <v>346</v>
      </c>
      <c r="B250" s="70">
        <v>44000935</v>
      </c>
      <c r="C250" s="69" t="s">
        <v>144</v>
      </c>
      <c r="D250" s="71" t="s">
        <v>2392</v>
      </c>
      <c r="E250" s="69" t="s">
        <v>2388</v>
      </c>
      <c r="F250" s="69">
        <v>30</v>
      </c>
      <c r="G250" s="69">
        <v>0</v>
      </c>
      <c r="H250" s="69" t="s">
        <v>2395</v>
      </c>
      <c r="I250" s="69" t="s">
        <v>2463</v>
      </c>
      <c r="J250" s="69" t="s">
        <v>2444</v>
      </c>
      <c r="K250" s="69" t="s">
        <v>3013</v>
      </c>
      <c r="L250" s="72" t="s">
        <v>2392</v>
      </c>
      <c r="M250" s="72" t="b">
        <f t="shared" si="3"/>
        <v>1</v>
      </c>
    </row>
    <row r="251" spans="1:13" x14ac:dyDescent="0.25">
      <c r="A251" s="69" t="s">
        <v>334</v>
      </c>
      <c r="B251" s="70">
        <v>44000935</v>
      </c>
      <c r="C251" s="69" t="s">
        <v>144</v>
      </c>
      <c r="D251" s="71" t="s">
        <v>2392</v>
      </c>
      <c r="E251" s="69" t="s">
        <v>2388</v>
      </c>
      <c r="F251" s="69">
        <v>30</v>
      </c>
      <c r="G251" s="69">
        <v>0</v>
      </c>
      <c r="H251" s="69" t="s">
        <v>2395</v>
      </c>
      <c r="I251" s="69" t="s">
        <v>2463</v>
      </c>
      <c r="J251" s="69" t="s">
        <v>2444</v>
      </c>
      <c r="K251" s="69" t="s">
        <v>3013</v>
      </c>
      <c r="L251" s="72" t="s">
        <v>2392</v>
      </c>
      <c r="M251" s="72" t="b">
        <f t="shared" si="3"/>
        <v>1</v>
      </c>
    </row>
    <row r="252" spans="1:13" x14ac:dyDescent="0.25">
      <c r="A252" s="69" t="s">
        <v>331</v>
      </c>
      <c r="B252" s="70">
        <v>44000935</v>
      </c>
      <c r="C252" s="69" t="s">
        <v>144</v>
      </c>
      <c r="D252" s="71" t="s">
        <v>2392</v>
      </c>
      <c r="E252" s="69" t="s">
        <v>2388</v>
      </c>
      <c r="F252" s="69">
        <v>30</v>
      </c>
      <c r="G252" s="69">
        <v>30</v>
      </c>
      <c r="H252" s="69" t="s">
        <v>2486</v>
      </c>
      <c r="I252" s="69" t="s">
        <v>2463</v>
      </c>
      <c r="J252" s="69" t="s">
        <v>3208</v>
      </c>
      <c r="K252" s="69" t="s">
        <v>3013</v>
      </c>
      <c r="L252" s="72" t="s">
        <v>2392</v>
      </c>
      <c r="M252" s="72" t="b">
        <f t="shared" si="3"/>
        <v>1</v>
      </c>
    </row>
    <row r="253" spans="1:13" x14ac:dyDescent="0.25">
      <c r="A253" s="69" t="s">
        <v>327</v>
      </c>
      <c r="B253" s="70" t="s">
        <v>3024</v>
      </c>
      <c r="C253" s="69" t="s">
        <v>144</v>
      </c>
      <c r="D253" s="71" t="s">
        <v>2392</v>
      </c>
      <c r="E253" s="69" t="s">
        <v>2388</v>
      </c>
      <c r="F253" s="69">
        <v>30</v>
      </c>
      <c r="G253" s="69">
        <v>30</v>
      </c>
      <c r="H253" s="69" t="s">
        <v>2395</v>
      </c>
      <c r="I253" s="69" t="s">
        <v>2463</v>
      </c>
      <c r="J253" s="69" t="s">
        <v>2444</v>
      </c>
      <c r="K253" s="69" t="s">
        <v>3025</v>
      </c>
      <c r="L253" s="72" t="s">
        <v>2392</v>
      </c>
      <c r="M253" s="72" t="b">
        <f t="shared" si="3"/>
        <v>1</v>
      </c>
    </row>
    <row r="254" spans="1:13" x14ac:dyDescent="0.25">
      <c r="A254" s="69" t="s">
        <v>320</v>
      </c>
      <c r="B254" s="70">
        <v>44000935</v>
      </c>
      <c r="C254" s="69" t="s">
        <v>144</v>
      </c>
      <c r="D254" s="71" t="s">
        <v>2392</v>
      </c>
      <c r="E254" s="69" t="s">
        <v>2388</v>
      </c>
      <c r="F254" s="69">
        <v>30</v>
      </c>
      <c r="G254" s="69">
        <v>30</v>
      </c>
      <c r="H254" s="69" t="s">
        <v>2395</v>
      </c>
      <c r="I254" s="69" t="s">
        <v>2410</v>
      </c>
      <c r="J254" s="69" t="s">
        <v>2444</v>
      </c>
      <c r="K254" s="69" t="s">
        <v>3211</v>
      </c>
      <c r="L254" s="72" t="s">
        <v>2392</v>
      </c>
      <c r="M254" s="72" t="b">
        <f t="shared" si="3"/>
        <v>1</v>
      </c>
    </row>
    <row r="255" spans="1:13" x14ac:dyDescent="0.25">
      <c r="A255" s="69" t="s">
        <v>318</v>
      </c>
      <c r="B255" s="70">
        <v>44000935</v>
      </c>
      <c r="C255" s="69" t="s">
        <v>144</v>
      </c>
      <c r="D255" s="71" t="s">
        <v>2392</v>
      </c>
      <c r="E255" s="69" t="s">
        <v>2388</v>
      </c>
      <c r="F255" s="69">
        <v>30</v>
      </c>
      <c r="G255" s="69">
        <v>30</v>
      </c>
      <c r="H255" s="69" t="s">
        <v>2486</v>
      </c>
      <c r="I255" s="69" t="s">
        <v>2463</v>
      </c>
      <c r="J255" s="69" t="s">
        <v>3208</v>
      </c>
      <c r="K255" s="69" t="s">
        <v>3013</v>
      </c>
      <c r="L255" s="72" t="s">
        <v>2392</v>
      </c>
      <c r="M255" s="72" t="b">
        <f t="shared" si="3"/>
        <v>1</v>
      </c>
    </row>
    <row r="256" spans="1:13" x14ac:dyDescent="0.25">
      <c r="A256" s="69" t="s">
        <v>2466</v>
      </c>
      <c r="B256" s="70">
        <v>44000935</v>
      </c>
      <c r="C256" s="69" t="s">
        <v>144</v>
      </c>
      <c r="D256" s="71" t="s">
        <v>2392</v>
      </c>
      <c r="E256" s="69" t="s">
        <v>2388</v>
      </c>
      <c r="F256" s="69">
        <v>30</v>
      </c>
      <c r="G256" s="69">
        <v>30</v>
      </c>
      <c r="H256" s="69" t="s">
        <v>2412</v>
      </c>
      <c r="I256" s="69" t="s">
        <v>2394</v>
      </c>
      <c r="J256" s="69" t="s">
        <v>2401</v>
      </c>
      <c r="K256" s="69"/>
      <c r="L256" s="72" t="s">
        <v>2392</v>
      </c>
      <c r="M256" s="72" t="b">
        <f t="shared" si="3"/>
        <v>1</v>
      </c>
    </row>
    <row r="257" spans="1:13" x14ac:dyDescent="0.25">
      <c r="A257" s="69" t="s">
        <v>306</v>
      </c>
      <c r="B257" s="70">
        <v>44000935</v>
      </c>
      <c r="C257" s="69" t="s">
        <v>144</v>
      </c>
      <c r="D257" s="71" t="s">
        <v>2392</v>
      </c>
      <c r="E257" s="69" t="s">
        <v>2388</v>
      </c>
      <c r="F257" s="69">
        <v>30</v>
      </c>
      <c r="G257" s="69">
        <v>30</v>
      </c>
      <c r="H257" s="69" t="s">
        <v>2486</v>
      </c>
      <c r="I257" s="69" t="s">
        <v>2463</v>
      </c>
      <c r="J257" s="69" t="s">
        <v>3208</v>
      </c>
      <c r="K257" s="69"/>
      <c r="L257" s="72" t="s">
        <v>2392</v>
      </c>
      <c r="M257" s="72" t="b">
        <f t="shared" si="3"/>
        <v>1</v>
      </c>
    </row>
    <row r="258" spans="1:13" x14ac:dyDescent="0.25">
      <c r="A258" s="69" t="s">
        <v>301</v>
      </c>
      <c r="B258" s="70">
        <v>44000935</v>
      </c>
      <c r="C258" s="69" t="s">
        <v>144</v>
      </c>
      <c r="D258" s="71" t="s">
        <v>2392</v>
      </c>
      <c r="E258" s="69" t="s">
        <v>2388</v>
      </c>
      <c r="F258" s="69">
        <v>30</v>
      </c>
      <c r="G258" s="69">
        <v>0</v>
      </c>
      <c r="H258" s="69" t="s">
        <v>2395</v>
      </c>
      <c r="I258" s="69" t="s">
        <v>2463</v>
      </c>
      <c r="J258" s="69" t="s">
        <v>2444</v>
      </c>
      <c r="K258" s="69" t="s">
        <v>3013</v>
      </c>
      <c r="L258" s="72" t="s">
        <v>2392</v>
      </c>
      <c r="M258" s="72" t="b">
        <f t="shared" ref="M258:M321" si="4">L258=D258</f>
        <v>1</v>
      </c>
    </row>
    <row r="259" spans="1:13" x14ac:dyDescent="0.25">
      <c r="A259" s="69" t="s">
        <v>1303</v>
      </c>
      <c r="B259" s="70">
        <v>44000074</v>
      </c>
      <c r="C259" s="69" t="s">
        <v>1305</v>
      </c>
      <c r="D259" s="71" t="s">
        <v>2392</v>
      </c>
      <c r="E259" s="69" t="s">
        <v>2393</v>
      </c>
      <c r="F259" s="69">
        <v>30</v>
      </c>
      <c r="G259" s="69">
        <v>900</v>
      </c>
      <c r="H259" s="69" t="s">
        <v>2399</v>
      </c>
      <c r="I259" s="69" t="s">
        <v>2403</v>
      </c>
      <c r="J259" s="69" t="s">
        <v>2398</v>
      </c>
      <c r="K259" s="69"/>
      <c r="L259" s="72" t="s">
        <v>2392</v>
      </c>
      <c r="M259" s="72" t="b">
        <f t="shared" si="4"/>
        <v>1</v>
      </c>
    </row>
    <row r="260" spans="1:13" x14ac:dyDescent="0.25">
      <c r="A260" s="69" t="s">
        <v>1307</v>
      </c>
      <c r="B260" s="70">
        <v>44000074</v>
      </c>
      <c r="C260" s="69" t="s">
        <v>1305</v>
      </c>
      <c r="D260" s="71" t="s">
        <v>2392</v>
      </c>
      <c r="E260" s="69" t="s">
        <v>2393</v>
      </c>
      <c r="F260" s="69">
        <v>30</v>
      </c>
      <c r="G260" s="69">
        <v>900</v>
      </c>
      <c r="H260" s="69" t="s">
        <v>2399</v>
      </c>
      <c r="I260" s="69" t="s">
        <v>2403</v>
      </c>
      <c r="J260" s="69" t="s">
        <v>2398</v>
      </c>
      <c r="K260" s="69"/>
      <c r="L260" s="72" t="s">
        <v>2392</v>
      </c>
      <c r="M260" s="72" t="b">
        <f t="shared" si="4"/>
        <v>1</v>
      </c>
    </row>
    <row r="261" spans="1:13" x14ac:dyDescent="0.25">
      <c r="A261" s="69" t="s">
        <v>1466</v>
      </c>
      <c r="B261" s="70">
        <v>44000046</v>
      </c>
      <c r="C261" s="69" t="s">
        <v>1471</v>
      </c>
      <c r="D261" s="71" t="s">
        <v>2387</v>
      </c>
      <c r="E261" s="69" t="s">
        <v>2393</v>
      </c>
      <c r="F261" s="69">
        <v>30</v>
      </c>
      <c r="G261" s="69">
        <v>120</v>
      </c>
      <c r="H261" s="69" t="s">
        <v>2399</v>
      </c>
      <c r="I261" s="69" t="s">
        <v>2414</v>
      </c>
      <c r="J261" s="69" t="s">
        <v>2424</v>
      </c>
      <c r="K261" s="69" t="s">
        <v>3206</v>
      </c>
      <c r="L261" s="72" t="s">
        <v>2392</v>
      </c>
      <c r="M261" s="72" t="b">
        <f t="shared" si="4"/>
        <v>0</v>
      </c>
    </row>
    <row r="262" spans="1:13" x14ac:dyDescent="0.25">
      <c r="A262" s="69" t="s">
        <v>2467</v>
      </c>
      <c r="B262" s="70">
        <v>44003892</v>
      </c>
      <c r="C262" s="69" t="s">
        <v>177</v>
      </c>
      <c r="D262" s="71" t="s">
        <v>2387</v>
      </c>
      <c r="E262" s="69" t="s">
        <v>2388</v>
      </c>
      <c r="F262" s="69">
        <v>30</v>
      </c>
      <c r="G262" s="69">
        <v>30</v>
      </c>
      <c r="H262" s="69" t="s">
        <v>2412</v>
      </c>
      <c r="I262" s="69" t="s">
        <v>2410</v>
      </c>
      <c r="J262" s="69" t="s">
        <v>2401</v>
      </c>
      <c r="K262" s="69" t="s">
        <v>3026</v>
      </c>
      <c r="L262" s="72" t="s">
        <v>2387</v>
      </c>
      <c r="M262" s="72" t="b">
        <f t="shared" si="4"/>
        <v>1</v>
      </c>
    </row>
    <row r="263" spans="1:13" x14ac:dyDescent="0.25">
      <c r="A263" s="69" t="s">
        <v>1993</v>
      </c>
      <c r="B263" s="70">
        <v>44003892</v>
      </c>
      <c r="C263" s="69" t="s">
        <v>177</v>
      </c>
      <c r="D263" s="71" t="s">
        <v>2387</v>
      </c>
      <c r="E263" s="69" t="s">
        <v>2388</v>
      </c>
      <c r="F263" s="69">
        <v>30</v>
      </c>
      <c r="G263" s="69">
        <v>30</v>
      </c>
      <c r="H263" s="69" t="s">
        <v>2391</v>
      </c>
      <c r="I263" s="69" t="s">
        <v>2433</v>
      </c>
      <c r="J263" s="69" t="s">
        <v>2435</v>
      </c>
      <c r="K263" s="69"/>
      <c r="L263" s="72" t="s">
        <v>2387</v>
      </c>
      <c r="M263" s="72" t="b">
        <f t="shared" si="4"/>
        <v>1</v>
      </c>
    </row>
    <row r="264" spans="1:13" x14ac:dyDescent="0.25">
      <c r="A264" s="69" t="s">
        <v>2004</v>
      </c>
      <c r="B264" s="70">
        <v>44003892</v>
      </c>
      <c r="C264" s="69" t="s">
        <v>177</v>
      </c>
      <c r="D264" s="71" t="s">
        <v>2387</v>
      </c>
      <c r="E264" s="69" t="s">
        <v>2388</v>
      </c>
      <c r="F264" s="69">
        <v>30</v>
      </c>
      <c r="G264" s="69">
        <v>30</v>
      </c>
      <c r="H264" s="69" t="s">
        <v>2391</v>
      </c>
      <c r="I264" s="69" t="s">
        <v>2433</v>
      </c>
      <c r="J264" s="69" t="s">
        <v>2435</v>
      </c>
      <c r="K264" s="69"/>
      <c r="L264" s="72" t="s">
        <v>2387</v>
      </c>
      <c r="M264" s="72" t="b">
        <f t="shared" si="4"/>
        <v>1</v>
      </c>
    </row>
    <row r="265" spans="1:13" x14ac:dyDescent="0.25">
      <c r="A265" s="69" t="s">
        <v>1749</v>
      </c>
      <c r="B265" s="70">
        <v>44004822</v>
      </c>
      <c r="C265" s="69" t="s">
        <v>2468</v>
      </c>
      <c r="D265" s="71" t="s">
        <v>2387</v>
      </c>
      <c r="E265" s="69" t="s">
        <v>2388</v>
      </c>
      <c r="F265" s="69">
        <v>30</v>
      </c>
      <c r="G265" s="69">
        <v>30</v>
      </c>
      <c r="H265" s="69" t="s">
        <v>2391</v>
      </c>
      <c r="I265" s="69" t="s">
        <v>2420</v>
      </c>
      <c r="J265" s="69" t="s">
        <v>2427</v>
      </c>
      <c r="K265" s="69"/>
      <c r="L265" s="72" t="s">
        <v>2392</v>
      </c>
      <c r="M265" s="72" t="b">
        <f t="shared" si="4"/>
        <v>0</v>
      </c>
    </row>
    <row r="266" spans="1:13" x14ac:dyDescent="0.25">
      <c r="A266" s="69" t="s">
        <v>2371</v>
      </c>
      <c r="B266" s="70">
        <v>44004822</v>
      </c>
      <c r="C266" s="69" t="s">
        <v>2468</v>
      </c>
      <c r="D266" s="71" t="s">
        <v>2387</v>
      </c>
      <c r="E266" s="69" t="s">
        <v>2388</v>
      </c>
      <c r="F266" s="69">
        <v>30</v>
      </c>
      <c r="G266" s="69">
        <v>30</v>
      </c>
      <c r="H266" s="69" t="s">
        <v>2391</v>
      </c>
      <c r="I266" s="69" t="s">
        <v>2431</v>
      </c>
      <c r="J266" s="69" t="s">
        <v>3027</v>
      </c>
      <c r="K266" s="69" t="s">
        <v>3028</v>
      </c>
      <c r="L266" s="72" t="s">
        <v>2392</v>
      </c>
      <c r="M266" s="72" t="b">
        <f t="shared" si="4"/>
        <v>0</v>
      </c>
    </row>
    <row r="267" spans="1:13" x14ac:dyDescent="0.25">
      <c r="A267" s="69" t="s">
        <v>2210</v>
      </c>
      <c r="B267" s="70">
        <v>44005492</v>
      </c>
      <c r="C267" s="69" t="s">
        <v>3029</v>
      </c>
      <c r="D267" s="71" t="s">
        <v>2392</v>
      </c>
      <c r="E267" s="69" t="s">
        <v>2388</v>
      </c>
      <c r="F267" s="69">
        <v>30</v>
      </c>
      <c r="G267" s="69">
        <v>0</v>
      </c>
      <c r="H267" s="69" t="s">
        <v>2395</v>
      </c>
      <c r="I267" s="69" t="s">
        <v>2463</v>
      </c>
      <c r="J267" s="69" t="s">
        <v>2444</v>
      </c>
      <c r="K267" s="69" t="s">
        <v>3013</v>
      </c>
      <c r="L267" s="72" t="s">
        <v>2387</v>
      </c>
      <c r="M267" s="72" t="b">
        <f t="shared" si="4"/>
        <v>0</v>
      </c>
    </row>
    <row r="268" spans="1:13" x14ac:dyDescent="0.25">
      <c r="A268" s="69" t="s">
        <v>1469</v>
      </c>
      <c r="B268" s="70">
        <v>44000046</v>
      </c>
      <c r="C268" s="69" t="s">
        <v>1471</v>
      </c>
      <c r="D268" s="71" t="s">
        <v>2387</v>
      </c>
      <c r="E268" s="69" t="s">
        <v>2393</v>
      </c>
      <c r="F268" s="69">
        <v>30</v>
      </c>
      <c r="G268" s="69">
        <v>120</v>
      </c>
      <c r="H268" s="69" t="s">
        <v>2399</v>
      </c>
      <c r="I268" s="69" t="s">
        <v>2414</v>
      </c>
      <c r="J268" s="69" t="s">
        <v>2424</v>
      </c>
      <c r="K268" s="69"/>
      <c r="L268" s="72" t="s">
        <v>2392</v>
      </c>
      <c r="M268" s="72" t="b">
        <f t="shared" si="4"/>
        <v>0</v>
      </c>
    </row>
    <row r="269" spans="1:13" x14ac:dyDescent="0.25">
      <c r="A269" s="69" t="s">
        <v>1479</v>
      </c>
      <c r="B269" s="70">
        <v>44000046</v>
      </c>
      <c r="C269" s="69" t="s">
        <v>1471</v>
      </c>
      <c r="D269" s="71" t="s">
        <v>2387</v>
      </c>
      <c r="E269" s="69" t="s">
        <v>2393</v>
      </c>
      <c r="F269" s="69">
        <v>30</v>
      </c>
      <c r="G269" s="69">
        <v>120</v>
      </c>
      <c r="H269" s="69" t="s">
        <v>2399</v>
      </c>
      <c r="I269" s="69" t="s">
        <v>2414</v>
      </c>
      <c r="J269" s="69" t="s">
        <v>2424</v>
      </c>
      <c r="K269" s="69"/>
      <c r="L269" s="72" t="s">
        <v>2392</v>
      </c>
      <c r="M269" s="72" t="b">
        <f t="shared" si="4"/>
        <v>0</v>
      </c>
    </row>
    <row r="270" spans="1:13" x14ac:dyDescent="0.25">
      <c r="A270" s="69" t="s">
        <v>1715</v>
      </c>
      <c r="B270" s="70">
        <v>44000958</v>
      </c>
      <c r="C270" s="69" t="s">
        <v>1714</v>
      </c>
      <c r="D270" s="71" t="s">
        <v>2387</v>
      </c>
      <c r="E270" s="69" t="s">
        <v>2388</v>
      </c>
      <c r="F270" s="69">
        <v>30</v>
      </c>
      <c r="G270" s="69">
        <v>90</v>
      </c>
      <c r="H270" s="69" t="s">
        <v>2391</v>
      </c>
      <c r="I270" s="69" t="s">
        <v>2431</v>
      </c>
      <c r="J270" s="69" t="s">
        <v>2416</v>
      </c>
      <c r="K270" s="69"/>
      <c r="L270" s="72" t="s">
        <v>2392</v>
      </c>
      <c r="M270" s="72" t="b">
        <f t="shared" si="4"/>
        <v>0</v>
      </c>
    </row>
    <row r="271" spans="1:13" x14ac:dyDescent="0.25">
      <c r="A271" s="69" t="s">
        <v>1711</v>
      </c>
      <c r="B271" s="70">
        <v>44000958</v>
      </c>
      <c r="C271" s="69" t="s">
        <v>1714</v>
      </c>
      <c r="D271" s="71" t="s">
        <v>2387</v>
      </c>
      <c r="E271" s="69" t="s">
        <v>2388</v>
      </c>
      <c r="F271" s="69">
        <v>30</v>
      </c>
      <c r="G271" s="69">
        <v>90</v>
      </c>
      <c r="H271" s="69" t="s">
        <v>2391</v>
      </c>
      <c r="I271" s="69" t="s">
        <v>2431</v>
      </c>
      <c r="J271" s="69" t="s">
        <v>2416</v>
      </c>
      <c r="K271" s="69"/>
      <c r="L271" s="72" t="s">
        <v>2392</v>
      </c>
      <c r="M271" s="72" t="b">
        <f t="shared" si="4"/>
        <v>0</v>
      </c>
    </row>
    <row r="272" spans="1:13" x14ac:dyDescent="0.25">
      <c r="A272" s="69" t="s">
        <v>1998</v>
      </c>
      <c r="B272" s="70">
        <v>44001733</v>
      </c>
      <c r="C272" s="69" t="s">
        <v>41</v>
      </c>
      <c r="D272" s="71" t="s">
        <v>2961</v>
      </c>
      <c r="E272" s="69" t="s">
        <v>2388</v>
      </c>
      <c r="F272" s="69">
        <v>30</v>
      </c>
      <c r="G272" s="69">
        <v>45</v>
      </c>
      <c r="H272" s="69" t="s">
        <v>2391</v>
      </c>
      <c r="I272" s="69" t="s">
        <v>2429</v>
      </c>
      <c r="J272" s="69" t="s">
        <v>2435</v>
      </c>
      <c r="K272" s="69"/>
      <c r="L272" s="72" t="s">
        <v>2387</v>
      </c>
      <c r="M272" s="72" t="b">
        <f t="shared" si="4"/>
        <v>0</v>
      </c>
    </row>
    <row r="273" spans="1:13" x14ac:dyDescent="0.25">
      <c r="A273" s="69" t="s">
        <v>1926</v>
      </c>
      <c r="B273" s="70">
        <v>44001733</v>
      </c>
      <c r="C273" s="69" t="s">
        <v>41</v>
      </c>
      <c r="D273" s="71" t="s">
        <v>2961</v>
      </c>
      <c r="E273" s="69" t="s">
        <v>2388</v>
      </c>
      <c r="F273" s="69">
        <v>30</v>
      </c>
      <c r="G273" s="69">
        <v>45</v>
      </c>
      <c r="H273" s="69" t="s">
        <v>2391</v>
      </c>
      <c r="I273" s="69" t="s">
        <v>2429</v>
      </c>
      <c r="J273" s="69" t="s">
        <v>2469</v>
      </c>
      <c r="K273" s="69"/>
      <c r="L273" s="72" t="s">
        <v>2387</v>
      </c>
      <c r="M273" s="72" t="b">
        <f t="shared" si="4"/>
        <v>0</v>
      </c>
    </row>
    <row r="274" spans="1:13" x14ac:dyDescent="0.25">
      <c r="A274" s="69" t="s">
        <v>1922</v>
      </c>
      <c r="B274" s="70">
        <v>44001733</v>
      </c>
      <c r="C274" s="69" t="s">
        <v>41</v>
      </c>
      <c r="D274" s="71" t="s">
        <v>2961</v>
      </c>
      <c r="E274" s="69" t="s">
        <v>2388</v>
      </c>
      <c r="F274" s="69">
        <v>30</v>
      </c>
      <c r="G274" s="69">
        <v>45</v>
      </c>
      <c r="H274" s="69" t="s">
        <v>2391</v>
      </c>
      <c r="I274" s="69" t="s">
        <v>2429</v>
      </c>
      <c r="J274" s="69" t="s">
        <v>2470</v>
      </c>
      <c r="K274" s="69"/>
      <c r="L274" s="72" t="s">
        <v>2387</v>
      </c>
      <c r="M274" s="72" t="b">
        <f t="shared" si="4"/>
        <v>0</v>
      </c>
    </row>
    <row r="275" spans="1:13" x14ac:dyDescent="0.25">
      <c r="A275" s="69" t="s">
        <v>1919</v>
      </c>
      <c r="B275" s="70">
        <v>44001733</v>
      </c>
      <c r="C275" s="69" t="s">
        <v>41</v>
      </c>
      <c r="D275" s="71" t="s">
        <v>2961</v>
      </c>
      <c r="E275" s="69" t="s">
        <v>2388</v>
      </c>
      <c r="F275" s="69">
        <v>30</v>
      </c>
      <c r="G275" s="69">
        <v>45</v>
      </c>
      <c r="H275" s="69" t="s">
        <v>2391</v>
      </c>
      <c r="I275" s="69" t="s">
        <v>2429</v>
      </c>
      <c r="J275" s="69" t="s">
        <v>2470</v>
      </c>
      <c r="K275" s="69"/>
      <c r="L275" s="72" t="s">
        <v>2387</v>
      </c>
      <c r="M275" s="72" t="b">
        <f t="shared" si="4"/>
        <v>0</v>
      </c>
    </row>
    <row r="276" spans="1:13" x14ac:dyDescent="0.25">
      <c r="A276" s="69" t="s">
        <v>1916</v>
      </c>
      <c r="B276" s="70">
        <v>44001733</v>
      </c>
      <c r="C276" s="69" t="s">
        <v>41</v>
      </c>
      <c r="D276" s="71" t="s">
        <v>2961</v>
      </c>
      <c r="E276" s="69" t="s">
        <v>2388</v>
      </c>
      <c r="F276" s="69">
        <v>30</v>
      </c>
      <c r="G276" s="69">
        <v>45</v>
      </c>
      <c r="H276" s="69" t="s">
        <v>2391</v>
      </c>
      <c r="I276" s="69" t="s">
        <v>2429</v>
      </c>
      <c r="J276" s="69" t="s">
        <v>2470</v>
      </c>
      <c r="K276" s="69"/>
      <c r="L276" s="72" t="s">
        <v>2387</v>
      </c>
      <c r="M276" s="72" t="b">
        <f t="shared" si="4"/>
        <v>0</v>
      </c>
    </row>
    <row r="277" spans="1:13" x14ac:dyDescent="0.25">
      <c r="A277" s="69" t="s">
        <v>2166</v>
      </c>
      <c r="B277" s="70">
        <v>44001733</v>
      </c>
      <c r="C277" s="69" t="s">
        <v>41</v>
      </c>
      <c r="D277" s="71" t="s">
        <v>2961</v>
      </c>
      <c r="E277" s="69" t="s">
        <v>2388</v>
      </c>
      <c r="F277" s="69">
        <v>30</v>
      </c>
      <c r="G277" s="69">
        <v>45</v>
      </c>
      <c r="H277" s="69" t="s">
        <v>2391</v>
      </c>
      <c r="I277" s="69" t="s">
        <v>2429</v>
      </c>
      <c r="J277" s="69" t="s">
        <v>2390</v>
      </c>
      <c r="K277" s="69"/>
      <c r="L277" s="72" t="s">
        <v>2387</v>
      </c>
      <c r="M277" s="72" t="b">
        <f t="shared" si="4"/>
        <v>0</v>
      </c>
    </row>
    <row r="278" spans="1:13" x14ac:dyDescent="0.25">
      <c r="A278" s="69" t="s">
        <v>1912</v>
      </c>
      <c r="B278" s="70">
        <v>44001733</v>
      </c>
      <c r="C278" s="69" t="s">
        <v>41</v>
      </c>
      <c r="D278" s="71" t="s">
        <v>2961</v>
      </c>
      <c r="E278" s="69" t="s">
        <v>2388</v>
      </c>
      <c r="F278" s="69">
        <v>30</v>
      </c>
      <c r="G278" s="69">
        <v>90</v>
      </c>
      <c r="H278" s="69" t="s">
        <v>2399</v>
      </c>
      <c r="I278" s="69" t="s">
        <v>2429</v>
      </c>
      <c r="J278" s="69" t="s">
        <v>2427</v>
      </c>
      <c r="K278" s="69"/>
      <c r="L278" s="72" t="s">
        <v>2387</v>
      </c>
      <c r="M278" s="72" t="b">
        <f t="shared" si="4"/>
        <v>0</v>
      </c>
    </row>
    <row r="279" spans="1:13" x14ac:dyDescent="0.25">
      <c r="A279" s="69" t="s">
        <v>1055</v>
      </c>
      <c r="B279" s="70">
        <v>44001733</v>
      </c>
      <c r="C279" s="69" t="s">
        <v>41</v>
      </c>
      <c r="D279" s="71" t="s">
        <v>2961</v>
      </c>
      <c r="E279" s="69" t="s">
        <v>2388</v>
      </c>
      <c r="F279" s="69">
        <v>30</v>
      </c>
      <c r="G279" s="69">
        <v>45</v>
      </c>
      <c r="H279" s="69" t="s">
        <v>2391</v>
      </c>
      <c r="I279" s="69" t="s">
        <v>2429</v>
      </c>
      <c r="J279" s="69" t="s">
        <v>2424</v>
      </c>
      <c r="K279" s="69"/>
      <c r="L279" s="72" t="s">
        <v>2387</v>
      </c>
      <c r="M279" s="72" t="b">
        <f t="shared" si="4"/>
        <v>0</v>
      </c>
    </row>
    <row r="280" spans="1:13" x14ac:dyDescent="0.25">
      <c r="A280" s="69" t="s">
        <v>1037</v>
      </c>
      <c r="B280" s="70">
        <v>44001733</v>
      </c>
      <c r="C280" s="69" t="s">
        <v>41</v>
      </c>
      <c r="D280" s="71" t="s">
        <v>2961</v>
      </c>
      <c r="E280" s="69" t="s">
        <v>2388</v>
      </c>
      <c r="F280" s="69">
        <v>30</v>
      </c>
      <c r="G280" s="69">
        <v>45</v>
      </c>
      <c r="H280" s="69" t="s">
        <v>2391</v>
      </c>
      <c r="I280" s="69" t="s">
        <v>2429</v>
      </c>
      <c r="J280" s="69" t="s">
        <v>2435</v>
      </c>
      <c r="K280" s="69"/>
      <c r="L280" s="72" t="s">
        <v>2387</v>
      </c>
      <c r="M280" s="72" t="b">
        <f t="shared" si="4"/>
        <v>0</v>
      </c>
    </row>
    <row r="281" spans="1:13" x14ac:dyDescent="0.25">
      <c r="A281" s="75" t="s">
        <v>1013</v>
      </c>
      <c r="B281" s="70">
        <v>44001733</v>
      </c>
      <c r="C281" s="69" t="s">
        <v>41</v>
      </c>
      <c r="D281" s="71" t="s">
        <v>2961</v>
      </c>
      <c r="E281" s="69" t="s">
        <v>2388</v>
      </c>
      <c r="F281" s="69">
        <v>30</v>
      </c>
      <c r="G281" s="69">
        <v>45</v>
      </c>
      <c r="H281" s="69" t="s">
        <v>2391</v>
      </c>
      <c r="I281" s="69" t="s">
        <v>2429</v>
      </c>
      <c r="J281" s="69" t="s">
        <v>2424</v>
      </c>
      <c r="K281" s="69" t="s">
        <v>3026</v>
      </c>
      <c r="L281" s="72" t="s">
        <v>2387</v>
      </c>
      <c r="M281" s="72" t="b">
        <f t="shared" si="4"/>
        <v>0</v>
      </c>
    </row>
    <row r="282" spans="1:13" x14ac:dyDescent="0.25">
      <c r="A282" s="69" t="s">
        <v>1010</v>
      </c>
      <c r="B282" s="70">
        <v>44001733</v>
      </c>
      <c r="C282" s="69" t="s">
        <v>41</v>
      </c>
      <c r="D282" s="71" t="s">
        <v>2961</v>
      </c>
      <c r="E282" s="69" t="s">
        <v>2388</v>
      </c>
      <c r="F282" s="69">
        <v>30</v>
      </c>
      <c r="G282" s="69">
        <v>45</v>
      </c>
      <c r="H282" s="69" t="s">
        <v>2391</v>
      </c>
      <c r="I282" s="69" t="s">
        <v>2429</v>
      </c>
      <c r="J282" s="69" t="s">
        <v>2424</v>
      </c>
      <c r="K282" s="69"/>
      <c r="L282" s="72" t="s">
        <v>2387</v>
      </c>
      <c r="M282" s="72" t="b">
        <f t="shared" si="4"/>
        <v>0</v>
      </c>
    </row>
    <row r="283" spans="1:13" x14ac:dyDescent="0.25">
      <c r="A283" s="69" t="s">
        <v>984</v>
      </c>
      <c r="B283" s="70">
        <v>44001733</v>
      </c>
      <c r="C283" s="69" t="s">
        <v>41</v>
      </c>
      <c r="D283" s="71" t="s">
        <v>2961</v>
      </c>
      <c r="E283" s="69" t="s">
        <v>2388</v>
      </c>
      <c r="F283" s="69">
        <v>30</v>
      </c>
      <c r="G283" s="69">
        <v>45</v>
      </c>
      <c r="H283" s="69" t="s">
        <v>2391</v>
      </c>
      <c r="I283" s="69" t="s">
        <v>2429</v>
      </c>
      <c r="J283" s="69" t="s">
        <v>2424</v>
      </c>
      <c r="K283" s="69"/>
      <c r="L283" s="72" t="s">
        <v>2387</v>
      </c>
      <c r="M283" s="72" t="b">
        <f t="shared" si="4"/>
        <v>0</v>
      </c>
    </row>
    <row r="284" spans="1:13" x14ac:dyDescent="0.25">
      <c r="A284" s="69" t="s">
        <v>2085</v>
      </c>
      <c r="B284" s="70">
        <v>44001733</v>
      </c>
      <c r="C284" s="69" t="s">
        <v>41</v>
      </c>
      <c r="D284" s="71" t="s">
        <v>2961</v>
      </c>
      <c r="E284" s="69" t="s">
        <v>2388</v>
      </c>
      <c r="F284" s="69">
        <v>30</v>
      </c>
      <c r="G284" s="69">
        <v>45</v>
      </c>
      <c r="H284" s="69" t="s">
        <v>2391</v>
      </c>
      <c r="I284" s="69" t="s">
        <v>2429</v>
      </c>
      <c r="J284" s="69" t="s">
        <v>2411</v>
      </c>
      <c r="K284" s="69"/>
      <c r="L284" s="72" t="s">
        <v>2387</v>
      </c>
      <c r="M284" s="72" t="b">
        <f t="shared" si="4"/>
        <v>0</v>
      </c>
    </row>
    <row r="285" spans="1:13" x14ac:dyDescent="0.25">
      <c r="A285" s="69" t="s">
        <v>2099</v>
      </c>
      <c r="B285" s="70">
        <v>44001733</v>
      </c>
      <c r="C285" s="69" t="s">
        <v>41</v>
      </c>
      <c r="D285" s="71" t="s">
        <v>2961</v>
      </c>
      <c r="E285" s="69" t="s">
        <v>2388</v>
      </c>
      <c r="F285" s="69">
        <v>30</v>
      </c>
      <c r="G285" s="69">
        <v>45</v>
      </c>
      <c r="H285" s="69" t="s">
        <v>2391</v>
      </c>
      <c r="I285" s="69" t="s">
        <v>2429</v>
      </c>
      <c r="J285" s="69" t="s">
        <v>2411</v>
      </c>
      <c r="K285" s="69"/>
      <c r="L285" s="72" t="s">
        <v>2387</v>
      </c>
      <c r="M285" s="72" t="b">
        <f t="shared" si="4"/>
        <v>0</v>
      </c>
    </row>
    <row r="286" spans="1:13" x14ac:dyDescent="0.25">
      <c r="A286" s="69" t="s">
        <v>2077</v>
      </c>
      <c r="B286" s="70">
        <v>44001733</v>
      </c>
      <c r="C286" s="69" t="s">
        <v>41</v>
      </c>
      <c r="D286" s="71" t="s">
        <v>2961</v>
      </c>
      <c r="E286" s="69" t="s">
        <v>2388</v>
      </c>
      <c r="F286" s="69">
        <v>30</v>
      </c>
      <c r="G286" s="69">
        <v>45</v>
      </c>
      <c r="H286" s="69" t="s">
        <v>2391</v>
      </c>
      <c r="I286" s="69" t="s">
        <v>2429</v>
      </c>
      <c r="J286" s="69" t="s">
        <v>2411</v>
      </c>
      <c r="K286" s="69"/>
      <c r="L286" s="72" t="s">
        <v>2387</v>
      </c>
      <c r="M286" s="72" t="b">
        <f t="shared" si="4"/>
        <v>0</v>
      </c>
    </row>
    <row r="287" spans="1:13" x14ac:dyDescent="0.25">
      <c r="A287" s="69" t="s">
        <v>2172</v>
      </c>
      <c r="B287" s="70">
        <v>44001733</v>
      </c>
      <c r="C287" s="69" t="s">
        <v>41</v>
      </c>
      <c r="D287" s="71" t="s">
        <v>2961</v>
      </c>
      <c r="E287" s="69" t="s">
        <v>2388</v>
      </c>
      <c r="F287" s="69">
        <v>30</v>
      </c>
      <c r="G287" s="69">
        <v>45</v>
      </c>
      <c r="H287" s="69" t="s">
        <v>2391</v>
      </c>
      <c r="I287" s="69" t="s">
        <v>2429</v>
      </c>
      <c r="J287" s="69" t="s">
        <v>2401</v>
      </c>
      <c r="K287" s="69"/>
      <c r="L287" s="72" t="s">
        <v>2387</v>
      </c>
      <c r="M287" s="72" t="b">
        <f t="shared" si="4"/>
        <v>0</v>
      </c>
    </row>
    <row r="288" spans="1:13" x14ac:dyDescent="0.25">
      <c r="A288" s="69" t="s">
        <v>39</v>
      </c>
      <c r="B288" s="70">
        <v>44001733</v>
      </c>
      <c r="C288" s="69" t="s">
        <v>41</v>
      </c>
      <c r="D288" s="71" t="s">
        <v>2961</v>
      </c>
      <c r="E288" s="69" t="s">
        <v>2388</v>
      </c>
      <c r="F288" s="69">
        <v>30</v>
      </c>
      <c r="G288" s="69">
        <v>45</v>
      </c>
      <c r="H288" s="69" t="s">
        <v>2391</v>
      </c>
      <c r="I288" s="69" t="s">
        <v>2429</v>
      </c>
      <c r="J288" s="69" t="s">
        <v>2424</v>
      </c>
      <c r="K288" s="69"/>
      <c r="L288" s="72" t="s">
        <v>2387</v>
      </c>
      <c r="M288" s="72" t="b">
        <f t="shared" si="4"/>
        <v>0</v>
      </c>
    </row>
    <row r="289" spans="1:13" x14ac:dyDescent="0.25">
      <c r="A289" s="69" t="s">
        <v>2000</v>
      </c>
      <c r="B289" s="70">
        <v>44001733</v>
      </c>
      <c r="C289" s="69" t="s">
        <v>41</v>
      </c>
      <c r="D289" s="71" t="s">
        <v>2961</v>
      </c>
      <c r="E289" s="69" t="s">
        <v>2388</v>
      </c>
      <c r="F289" s="69">
        <v>30</v>
      </c>
      <c r="G289" s="69">
        <v>45</v>
      </c>
      <c r="H289" s="69" t="s">
        <v>2391</v>
      </c>
      <c r="I289" s="69" t="s">
        <v>2429</v>
      </c>
      <c r="J289" s="69" t="s">
        <v>2470</v>
      </c>
      <c r="K289" s="69"/>
      <c r="L289" s="72" t="s">
        <v>2387</v>
      </c>
      <c r="M289" s="72" t="b">
        <f t="shared" si="4"/>
        <v>0</v>
      </c>
    </row>
    <row r="290" spans="1:13" x14ac:dyDescent="0.25">
      <c r="A290" s="69" t="s">
        <v>1728</v>
      </c>
      <c r="B290" s="70">
        <v>44001733</v>
      </c>
      <c r="C290" s="69" t="s">
        <v>41</v>
      </c>
      <c r="D290" s="71" t="s">
        <v>2961</v>
      </c>
      <c r="E290" s="69" t="s">
        <v>2388</v>
      </c>
      <c r="F290" s="69">
        <v>30</v>
      </c>
      <c r="G290" s="69">
        <v>45</v>
      </c>
      <c r="H290" s="69" t="s">
        <v>2391</v>
      </c>
      <c r="I290" s="69" t="s">
        <v>2429</v>
      </c>
      <c r="J290" s="69" t="s">
        <v>2390</v>
      </c>
      <c r="K290" s="69"/>
      <c r="L290" s="72" t="s">
        <v>2387</v>
      </c>
      <c r="M290" s="72" t="b">
        <f t="shared" si="4"/>
        <v>0</v>
      </c>
    </row>
    <row r="291" spans="1:13" ht="13.5" customHeight="1" x14ac:dyDescent="0.25">
      <c r="A291" s="69" t="s">
        <v>2150</v>
      </c>
      <c r="B291" s="70">
        <v>44001733</v>
      </c>
      <c r="C291" s="69" t="s">
        <v>41</v>
      </c>
      <c r="D291" s="71" t="s">
        <v>2961</v>
      </c>
      <c r="E291" s="69" t="s">
        <v>2388</v>
      </c>
      <c r="F291" s="69">
        <v>30</v>
      </c>
      <c r="G291" s="69">
        <v>45</v>
      </c>
      <c r="H291" s="69" t="s">
        <v>2391</v>
      </c>
      <c r="I291" s="69" t="s">
        <v>2429</v>
      </c>
      <c r="J291" s="69" t="s">
        <v>2424</v>
      </c>
      <c r="K291" s="69"/>
      <c r="L291" s="72" t="s">
        <v>2387</v>
      </c>
      <c r="M291" s="72" t="b">
        <f t="shared" si="4"/>
        <v>0</v>
      </c>
    </row>
    <row r="292" spans="1:13" x14ac:dyDescent="0.25">
      <c r="A292" s="69" t="s">
        <v>709</v>
      </c>
      <c r="B292" s="70">
        <v>44001733</v>
      </c>
      <c r="C292" s="69" t="s">
        <v>41</v>
      </c>
      <c r="D292" s="71" t="s">
        <v>2961</v>
      </c>
      <c r="E292" s="69" t="s">
        <v>2388</v>
      </c>
      <c r="F292" s="69">
        <v>30</v>
      </c>
      <c r="G292" s="69">
        <v>45</v>
      </c>
      <c r="H292" s="69" t="s">
        <v>2391</v>
      </c>
      <c r="I292" s="69" t="s">
        <v>2429</v>
      </c>
      <c r="J292" s="69" t="s">
        <v>2435</v>
      </c>
      <c r="K292" s="69"/>
      <c r="L292" s="72" t="s">
        <v>2387</v>
      </c>
      <c r="M292" s="72" t="b">
        <f t="shared" si="4"/>
        <v>0</v>
      </c>
    </row>
    <row r="293" spans="1:13" x14ac:dyDescent="0.25">
      <c r="A293" s="69" t="s">
        <v>1688</v>
      </c>
      <c r="B293" s="70">
        <v>44001733</v>
      </c>
      <c r="C293" s="69" t="s">
        <v>41</v>
      </c>
      <c r="D293" s="71" t="s">
        <v>2961</v>
      </c>
      <c r="E293" s="69" t="s">
        <v>2388</v>
      </c>
      <c r="F293" s="69">
        <v>30</v>
      </c>
      <c r="G293" s="69">
        <v>45</v>
      </c>
      <c r="H293" s="69" t="s">
        <v>2391</v>
      </c>
      <c r="I293" s="69" t="s">
        <v>2429</v>
      </c>
      <c r="J293" s="69" t="s">
        <v>2424</v>
      </c>
      <c r="K293" s="69"/>
      <c r="L293" s="72" t="s">
        <v>2387</v>
      </c>
      <c r="M293" s="72" t="b">
        <f t="shared" si="4"/>
        <v>0</v>
      </c>
    </row>
    <row r="294" spans="1:13" x14ac:dyDescent="0.25">
      <c r="A294" s="69" t="s">
        <v>1685</v>
      </c>
      <c r="B294" s="70">
        <v>44001733</v>
      </c>
      <c r="C294" s="69" t="s">
        <v>41</v>
      </c>
      <c r="D294" s="71" t="s">
        <v>2961</v>
      </c>
      <c r="E294" s="69" t="s">
        <v>2388</v>
      </c>
      <c r="F294" s="69">
        <v>30</v>
      </c>
      <c r="G294" s="69">
        <v>45</v>
      </c>
      <c r="H294" s="69" t="s">
        <v>2391</v>
      </c>
      <c r="I294" s="69" t="s">
        <v>2429</v>
      </c>
      <c r="J294" s="69" t="s">
        <v>2424</v>
      </c>
      <c r="K294" s="69"/>
      <c r="L294" s="72" t="s">
        <v>2387</v>
      </c>
      <c r="M294" s="72" t="b">
        <f t="shared" si="4"/>
        <v>0</v>
      </c>
    </row>
    <row r="295" spans="1:13" x14ac:dyDescent="0.25">
      <c r="A295" s="69" t="s">
        <v>1682</v>
      </c>
      <c r="B295" s="70">
        <v>44001733</v>
      </c>
      <c r="C295" s="69" t="s">
        <v>41</v>
      </c>
      <c r="D295" s="71" t="s">
        <v>2961</v>
      </c>
      <c r="E295" s="69" t="s">
        <v>2388</v>
      </c>
      <c r="F295" s="69">
        <v>30</v>
      </c>
      <c r="G295" s="69">
        <v>45</v>
      </c>
      <c r="H295" s="69" t="s">
        <v>2391</v>
      </c>
      <c r="I295" s="69" t="s">
        <v>2429</v>
      </c>
      <c r="J295" s="69" t="s">
        <v>2424</v>
      </c>
      <c r="K295" s="69"/>
      <c r="L295" s="72" t="s">
        <v>2387</v>
      </c>
      <c r="M295" s="72" t="b">
        <f t="shared" si="4"/>
        <v>0</v>
      </c>
    </row>
    <row r="296" spans="1:13" x14ac:dyDescent="0.25">
      <c r="A296" s="69" t="s">
        <v>707</v>
      </c>
      <c r="B296" s="70">
        <v>44001733</v>
      </c>
      <c r="C296" s="69" t="s">
        <v>41</v>
      </c>
      <c r="D296" s="71" t="s">
        <v>2961</v>
      </c>
      <c r="E296" s="69" t="s">
        <v>2388</v>
      </c>
      <c r="F296" s="69">
        <v>30</v>
      </c>
      <c r="G296" s="69">
        <v>45</v>
      </c>
      <c r="H296" s="69" t="s">
        <v>2391</v>
      </c>
      <c r="I296" s="69" t="s">
        <v>2429</v>
      </c>
      <c r="J296" s="69" t="s">
        <v>2424</v>
      </c>
      <c r="K296" s="69"/>
      <c r="L296" s="72" t="s">
        <v>2387</v>
      </c>
      <c r="M296" s="72" t="b">
        <f t="shared" si="4"/>
        <v>0</v>
      </c>
    </row>
    <row r="297" spans="1:13" x14ac:dyDescent="0.25">
      <c r="A297" s="69" t="s">
        <v>1678</v>
      </c>
      <c r="B297" s="70">
        <v>44001733</v>
      </c>
      <c r="C297" s="69" t="s">
        <v>41</v>
      </c>
      <c r="D297" s="71" t="s">
        <v>2961</v>
      </c>
      <c r="E297" s="69" t="s">
        <v>2388</v>
      </c>
      <c r="F297" s="69">
        <v>30</v>
      </c>
      <c r="G297" s="69">
        <v>45</v>
      </c>
      <c r="H297" s="69" t="s">
        <v>2391</v>
      </c>
      <c r="I297" s="69" t="s">
        <v>2429</v>
      </c>
      <c r="J297" s="69" t="s">
        <v>2424</v>
      </c>
      <c r="K297" s="69"/>
      <c r="L297" s="72" t="s">
        <v>2387</v>
      </c>
      <c r="M297" s="72" t="b">
        <f t="shared" si="4"/>
        <v>0</v>
      </c>
    </row>
    <row r="298" spans="1:13" x14ac:dyDescent="0.25">
      <c r="A298" s="69" t="s">
        <v>1675</v>
      </c>
      <c r="B298" s="70">
        <v>44001733</v>
      </c>
      <c r="C298" s="69" t="s">
        <v>41</v>
      </c>
      <c r="D298" s="71" t="s">
        <v>2961</v>
      </c>
      <c r="E298" s="69" t="s">
        <v>2388</v>
      </c>
      <c r="F298" s="69">
        <v>30</v>
      </c>
      <c r="G298" s="69">
        <v>45</v>
      </c>
      <c r="H298" s="69" t="s">
        <v>2391</v>
      </c>
      <c r="I298" s="69" t="s">
        <v>2429</v>
      </c>
      <c r="J298" s="69" t="s">
        <v>2411</v>
      </c>
      <c r="K298" s="69"/>
      <c r="L298" s="72" t="s">
        <v>2387</v>
      </c>
      <c r="M298" s="72" t="b">
        <f t="shared" si="4"/>
        <v>0</v>
      </c>
    </row>
    <row r="299" spans="1:13" x14ac:dyDescent="0.25">
      <c r="A299" s="69" t="s">
        <v>2093</v>
      </c>
      <c r="B299" s="70">
        <v>44001733</v>
      </c>
      <c r="C299" s="69" t="s">
        <v>41</v>
      </c>
      <c r="D299" s="71" t="s">
        <v>2961</v>
      </c>
      <c r="E299" s="69" t="s">
        <v>2388</v>
      </c>
      <c r="F299" s="69">
        <v>30</v>
      </c>
      <c r="G299" s="69">
        <v>0</v>
      </c>
      <c r="H299" s="69" t="s">
        <v>2412</v>
      </c>
      <c r="I299" s="69" t="s">
        <v>2410</v>
      </c>
      <c r="J299" s="69" t="s">
        <v>2410</v>
      </c>
      <c r="K299" s="69"/>
      <c r="L299" s="72" t="s">
        <v>2387</v>
      </c>
      <c r="M299" s="72" t="b">
        <f t="shared" si="4"/>
        <v>0</v>
      </c>
    </row>
    <row r="300" spans="1:13" x14ac:dyDescent="0.25">
      <c r="A300" s="69" t="s">
        <v>2071</v>
      </c>
      <c r="B300" s="70">
        <v>44001733</v>
      </c>
      <c r="C300" s="69" t="s">
        <v>41</v>
      </c>
      <c r="D300" s="71" t="s">
        <v>2961</v>
      </c>
      <c r="E300" s="69" t="s">
        <v>2388</v>
      </c>
      <c r="F300" s="69">
        <v>30</v>
      </c>
      <c r="G300" s="69">
        <v>0</v>
      </c>
      <c r="H300" s="69" t="s">
        <v>2412</v>
      </c>
      <c r="I300" s="69" t="s">
        <v>2410</v>
      </c>
      <c r="J300" s="69" t="s">
        <v>2410</v>
      </c>
      <c r="K300" s="69"/>
      <c r="L300" s="72" t="s">
        <v>2387</v>
      </c>
      <c r="M300" s="72" t="b">
        <f t="shared" si="4"/>
        <v>0</v>
      </c>
    </row>
    <row r="301" spans="1:13" x14ac:dyDescent="0.25">
      <c r="A301" s="69" t="s">
        <v>2171</v>
      </c>
      <c r="B301" s="70">
        <v>44001733</v>
      </c>
      <c r="C301" s="69" t="s">
        <v>41</v>
      </c>
      <c r="D301" s="71" t="s">
        <v>2961</v>
      </c>
      <c r="E301" s="69" t="s">
        <v>2388</v>
      </c>
      <c r="F301" s="69">
        <v>30</v>
      </c>
      <c r="G301" s="69">
        <v>0</v>
      </c>
      <c r="H301" s="69" t="s">
        <v>2412</v>
      </c>
      <c r="I301" s="69" t="s">
        <v>2410</v>
      </c>
      <c r="J301" s="69" t="s">
        <v>2410</v>
      </c>
      <c r="K301" s="69"/>
      <c r="L301" s="72" t="s">
        <v>2387</v>
      </c>
      <c r="M301" s="72" t="b">
        <f t="shared" si="4"/>
        <v>0</v>
      </c>
    </row>
    <row r="302" spans="1:13" x14ac:dyDescent="0.25">
      <c r="A302" s="69" t="s">
        <v>2177</v>
      </c>
      <c r="B302" s="70">
        <v>44001733</v>
      </c>
      <c r="C302" s="69" t="s">
        <v>41</v>
      </c>
      <c r="D302" s="71" t="s">
        <v>2961</v>
      </c>
      <c r="E302" s="69" t="s">
        <v>2388</v>
      </c>
      <c r="F302" s="69">
        <v>30</v>
      </c>
      <c r="G302" s="69">
        <v>0</v>
      </c>
      <c r="H302" s="69" t="s">
        <v>2412</v>
      </c>
      <c r="I302" s="69" t="s">
        <v>2410</v>
      </c>
      <c r="J302" s="69" t="s">
        <v>2410</v>
      </c>
      <c r="K302" s="69"/>
      <c r="L302" s="72" t="s">
        <v>2387</v>
      </c>
      <c r="M302" s="72" t="b">
        <f t="shared" si="4"/>
        <v>0</v>
      </c>
    </row>
    <row r="303" spans="1:13" x14ac:dyDescent="0.25">
      <c r="A303" s="69" t="s">
        <v>2289</v>
      </c>
      <c r="B303" s="70">
        <v>44001733</v>
      </c>
      <c r="C303" s="69" t="s">
        <v>41</v>
      </c>
      <c r="D303" s="71" t="s">
        <v>2961</v>
      </c>
      <c r="E303" s="69" t="s">
        <v>2388</v>
      </c>
      <c r="F303" s="69">
        <v>30</v>
      </c>
      <c r="G303" s="69">
        <v>0</v>
      </c>
      <c r="H303" s="69" t="s">
        <v>2412</v>
      </c>
      <c r="I303" s="69" t="s">
        <v>2410</v>
      </c>
      <c r="J303" s="69" t="s">
        <v>2410</v>
      </c>
      <c r="K303" s="69"/>
      <c r="L303" s="72" t="s">
        <v>2387</v>
      </c>
      <c r="M303" s="72" t="b">
        <f t="shared" si="4"/>
        <v>0</v>
      </c>
    </row>
    <row r="304" spans="1:13" x14ac:dyDescent="0.25">
      <c r="A304" s="69" t="s">
        <v>2070</v>
      </c>
      <c r="B304" s="70">
        <v>44001733</v>
      </c>
      <c r="C304" s="69" t="s">
        <v>41</v>
      </c>
      <c r="D304" s="71" t="s">
        <v>2961</v>
      </c>
      <c r="E304" s="69" t="s">
        <v>2388</v>
      </c>
      <c r="F304" s="69">
        <v>30</v>
      </c>
      <c r="G304" s="69">
        <v>0</v>
      </c>
      <c r="H304" s="69" t="s">
        <v>2412</v>
      </c>
      <c r="I304" s="69" t="s">
        <v>2410</v>
      </c>
      <c r="J304" s="69" t="s">
        <v>2410</v>
      </c>
      <c r="K304" s="69"/>
      <c r="L304" s="72" t="s">
        <v>2387</v>
      </c>
      <c r="M304" s="72" t="b">
        <f t="shared" si="4"/>
        <v>0</v>
      </c>
    </row>
    <row r="305" spans="1:13" x14ac:dyDescent="0.25">
      <c r="A305" s="69" t="s">
        <v>2202</v>
      </c>
      <c r="B305" s="70">
        <v>44001733</v>
      </c>
      <c r="C305" s="69" t="s">
        <v>41</v>
      </c>
      <c r="D305" s="71" t="s">
        <v>2961</v>
      </c>
      <c r="E305" s="69" t="s">
        <v>2388</v>
      </c>
      <c r="F305" s="69">
        <v>30</v>
      </c>
      <c r="G305" s="69">
        <v>0</v>
      </c>
      <c r="H305" s="69" t="s">
        <v>2412</v>
      </c>
      <c r="I305" s="69" t="s">
        <v>2410</v>
      </c>
      <c r="J305" s="69" t="s">
        <v>2410</v>
      </c>
      <c r="K305" s="69"/>
      <c r="L305" s="72" t="s">
        <v>2387</v>
      </c>
      <c r="M305" s="72" t="b">
        <f t="shared" si="4"/>
        <v>0</v>
      </c>
    </row>
    <row r="306" spans="1:13" x14ac:dyDescent="0.25">
      <c r="A306" s="69" t="s">
        <v>2075</v>
      </c>
      <c r="B306" s="70">
        <v>44001733</v>
      </c>
      <c r="C306" s="69" t="s">
        <v>41</v>
      </c>
      <c r="D306" s="71" t="s">
        <v>2961</v>
      </c>
      <c r="E306" s="69" t="s">
        <v>2388</v>
      </c>
      <c r="F306" s="69">
        <v>30</v>
      </c>
      <c r="G306" s="69">
        <v>0</v>
      </c>
      <c r="H306" s="69" t="s">
        <v>2412</v>
      </c>
      <c r="I306" s="69" t="s">
        <v>2410</v>
      </c>
      <c r="J306" s="69" t="s">
        <v>2410</v>
      </c>
      <c r="K306" s="69"/>
      <c r="L306" s="72" t="s">
        <v>2387</v>
      </c>
      <c r="M306" s="72" t="b">
        <f t="shared" si="4"/>
        <v>0</v>
      </c>
    </row>
    <row r="307" spans="1:13" x14ac:dyDescent="0.25">
      <c r="A307" s="69" t="s">
        <v>2072</v>
      </c>
      <c r="B307" s="70">
        <v>44001733</v>
      </c>
      <c r="C307" s="69" t="s">
        <v>41</v>
      </c>
      <c r="D307" s="71" t="s">
        <v>2961</v>
      </c>
      <c r="E307" s="69" t="s">
        <v>2388</v>
      </c>
      <c r="F307" s="69">
        <v>30</v>
      </c>
      <c r="G307" s="69">
        <v>0</v>
      </c>
      <c r="H307" s="69" t="s">
        <v>2412</v>
      </c>
      <c r="I307" s="69" t="s">
        <v>2410</v>
      </c>
      <c r="J307" s="69" t="s">
        <v>2410</v>
      </c>
      <c r="K307" s="69"/>
      <c r="L307" s="72" t="s">
        <v>2387</v>
      </c>
      <c r="M307" s="72" t="b">
        <f t="shared" si="4"/>
        <v>0</v>
      </c>
    </row>
    <row r="308" spans="1:13" x14ac:dyDescent="0.25">
      <c r="A308" s="69" t="s">
        <v>705</v>
      </c>
      <c r="B308" s="70">
        <v>44001733</v>
      </c>
      <c r="C308" s="69" t="s">
        <v>41</v>
      </c>
      <c r="D308" s="71" t="s">
        <v>2961</v>
      </c>
      <c r="E308" s="69" t="s">
        <v>2388</v>
      </c>
      <c r="F308" s="69">
        <v>30</v>
      </c>
      <c r="G308" s="69">
        <v>45</v>
      </c>
      <c r="H308" s="69" t="s">
        <v>2391</v>
      </c>
      <c r="I308" s="69" t="s">
        <v>2429</v>
      </c>
      <c r="J308" s="69" t="s">
        <v>2434</v>
      </c>
      <c r="K308" s="69"/>
      <c r="L308" s="72" t="s">
        <v>2387</v>
      </c>
      <c r="M308" s="72" t="b">
        <f t="shared" si="4"/>
        <v>0</v>
      </c>
    </row>
    <row r="309" spans="1:13" x14ac:dyDescent="0.25">
      <c r="A309" s="69" t="s">
        <v>2370</v>
      </c>
      <c r="B309" s="70">
        <v>44001733</v>
      </c>
      <c r="C309" s="69" t="s">
        <v>41</v>
      </c>
      <c r="D309" s="71" t="s">
        <v>2961</v>
      </c>
      <c r="E309" s="69" t="s">
        <v>2388</v>
      </c>
      <c r="F309" s="69">
        <v>30</v>
      </c>
      <c r="G309" s="69">
        <v>45</v>
      </c>
      <c r="H309" s="69" t="s">
        <v>2412</v>
      </c>
      <c r="I309" s="69" t="s">
        <v>2429</v>
      </c>
      <c r="J309" s="69" t="s">
        <v>3027</v>
      </c>
      <c r="K309" s="69" t="s">
        <v>3026</v>
      </c>
      <c r="L309" s="72" t="s">
        <v>2387</v>
      </c>
      <c r="M309" s="72" t="b">
        <f t="shared" si="4"/>
        <v>0</v>
      </c>
    </row>
    <row r="310" spans="1:13" x14ac:dyDescent="0.25">
      <c r="A310" s="69" t="s">
        <v>1671</v>
      </c>
      <c r="B310" s="70">
        <v>44001733</v>
      </c>
      <c r="C310" s="69" t="s">
        <v>41</v>
      </c>
      <c r="D310" s="71" t="s">
        <v>2961</v>
      </c>
      <c r="E310" s="69" t="s">
        <v>2388</v>
      </c>
      <c r="F310" s="69">
        <v>30</v>
      </c>
      <c r="G310" s="69">
        <v>45</v>
      </c>
      <c r="H310" s="69" t="s">
        <v>2391</v>
      </c>
      <c r="I310" s="69" t="s">
        <v>2429</v>
      </c>
      <c r="J310" s="69" t="s">
        <v>2424</v>
      </c>
      <c r="K310" s="69"/>
      <c r="L310" s="72" t="s">
        <v>2387</v>
      </c>
      <c r="M310" s="72" t="b">
        <f t="shared" si="4"/>
        <v>0</v>
      </c>
    </row>
    <row r="311" spans="1:13" x14ac:dyDescent="0.25">
      <c r="A311" s="69" t="s">
        <v>2290</v>
      </c>
      <c r="B311" s="70">
        <v>44001733</v>
      </c>
      <c r="C311" s="69" t="s">
        <v>41</v>
      </c>
      <c r="D311" s="71" t="s">
        <v>2961</v>
      </c>
      <c r="E311" s="69" t="s">
        <v>2388</v>
      </c>
      <c r="F311" s="69">
        <v>30</v>
      </c>
      <c r="G311" s="69">
        <v>45</v>
      </c>
      <c r="H311" s="69" t="s">
        <v>2391</v>
      </c>
      <c r="I311" s="69" t="s">
        <v>2429</v>
      </c>
      <c r="J311" s="69" t="s">
        <v>2424</v>
      </c>
      <c r="K311" s="69"/>
      <c r="L311" s="72" t="s">
        <v>2387</v>
      </c>
      <c r="M311" s="72" t="b">
        <f t="shared" si="4"/>
        <v>0</v>
      </c>
    </row>
    <row r="312" spans="1:13" x14ac:dyDescent="0.25">
      <c r="A312" s="69" t="s">
        <v>1767</v>
      </c>
      <c r="B312" s="70">
        <v>44001733</v>
      </c>
      <c r="C312" s="69" t="s">
        <v>41</v>
      </c>
      <c r="D312" s="71" t="s">
        <v>2961</v>
      </c>
      <c r="E312" s="69" t="s">
        <v>2388</v>
      </c>
      <c r="F312" s="69">
        <v>30</v>
      </c>
      <c r="G312" s="69">
        <v>60</v>
      </c>
      <c r="H312" s="69" t="s">
        <v>2399</v>
      </c>
      <c r="I312" s="69" t="s">
        <v>2429</v>
      </c>
      <c r="J312" s="69" t="s">
        <v>2427</v>
      </c>
      <c r="K312" s="69"/>
      <c r="L312" s="72" t="s">
        <v>2387</v>
      </c>
      <c r="M312" s="72" t="b">
        <f t="shared" si="4"/>
        <v>0</v>
      </c>
    </row>
    <row r="313" spans="1:13" x14ac:dyDescent="0.25">
      <c r="A313" s="69" t="s">
        <v>453</v>
      </c>
      <c r="B313" s="70">
        <v>44000010</v>
      </c>
      <c r="C313" s="69" t="s">
        <v>28</v>
      </c>
      <c r="D313" s="71" t="s">
        <v>2387</v>
      </c>
      <c r="E313" s="69" t="s">
        <v>2388</v>
      </c>
      <c r="F313" s="69">
        <v>30</v>
      </c>
      <c r="G313" s="69"/>
      <c r="H313" s="69" t="s">
        <v>2412</v>
      </c>
      <c r="I313" s="69" t="s">
        <v>2410</v>
      </c>
      <c r="J313" s="69" t="s">
        <v>2415</v>
      </c>
      <c r="K313" s="69" t="s">
        <v>3030</v>
      </c>
      <c r="L313" s="72" t="s">
        <v>2387</v>
      </c>
      <c r="M313" s="72" t="b">
        <f t="shared" si="4"/>
        <v>1</v>
      </c>
    </row>
    <row r="314" spans="1:13" x14ac:dyDescent="0.25">
      <c r="A314" s="69" t="s">
        <v>475</v>
      </c>
      <c r="B314" s="70">
        <v>44000010</v>
      </c>
      <c r="C314" s="69" t="s">
        <v>28</v>
      </c>
      <c r="D314" s="71" t="s">
        <v>2387</v>
      </c>
      <c r="E314" s="69" t="s">
        <v>2388</v>
      </c>
      <c r="F314" s="69">
        <v>30</v>
      </c>
      <c r="G314" s="69"/>
      <c r="H314" s="69" t="s">
        <v>2412</v>
      </c>
      <c r="I314" s="69" t="s">
        <v>2410</v>
      </c>
      <c r="J314" s="69" t="s">
        <v>2415</v>
      </c>
      <c r="K314" s="69" t="s">
        <v>3030</v>
      </c>
      <c r="L314" s="72" t="s">
        <v>2387</v>
      </c>
      <c r="M314" s="72" t="b">
        <f t="shared" si="4"/>
        <v>1</v>
      </c>
    </row>
    <row r="315" spans="1:13" x14ac:dyDescent="0.25">
      <c r="A315" s="69" t="s">
        <v>487</v>
      </c>
      <c r="B315" s="70">
        <v>44000010</v>
      </c>
      <c r="C315" s="69" t="s">
        <v>28</v>
      </c>
      <c r="D315" s="71" t="s">
        <v>2387</v>
      </c>
      <c r="E315" s="69" t="s">
        <v>2388</v>
      </c>
      <c r="F315" s="69">
        <v>30</v>
      </c>
      <c r="G315" s="69">
        <v>60</v>
      </c>
      <c r="H315" s="69" t="s">
        <v>2399</v>
      </c>
      <c r="I315" s="69" t="s">
        <v>2471</v>
      </c>
      <c r="J315" s="69" t="s">
        <v>2415</v>
      </c>
      <c r="K315" s="69"/>
      <c r="L315" s="72" t="s">
        <v>2387</v>
      </c>
      <c r="M315" s="72" t="b">
        <f t="shared" si="4"/>
        <v>1</v>
      </c>
    </row>
    <row r="316" spans="1:13" x14ac:dyDescent="0.25">
      <c r="A316" s="69" t="s">
        <v>1831</v>
      </c>
      <c r="B316" s="70">
        <v>44000010</v>
      </c>
      <c r="C316" s="69" t="s">
        <v>28</v>
      </c>
      <c r="D316" s="71" t="s">
        <v>2387</v>
      </c>
      <c r="E316" s="69" t="s">
        <v>2388</v>
      </c>
      <c r="F316" s="69">
        <v>30</v>
      </c>
      <c r="G316" s="69"/>
      <c r="H316" s="69" t="s">
        <v>2391</v>
      </c>
      <c r="I316" s="69" t="s">
        <v>2407</v>
      </c>
      <c r="J316" s="69" t="s">
        <v>2408</v>
      </c>
      <c r="K316" s="69" t="s">
        <v>3031</v>
      </c>
      <c r="L316" s="72" t="s">
        <v>2387</v>
      </c>
      <c r="M316" s="72" t="b">
        <f t="shared" si="4"/>
        <v>1</v>
      </c>
    </row>
    <row r="317" spans="1:13" x14ac:dyDescent="0.25">
      <c r="A317" s="69" t="s">
        <v>1066</v>
      </c>
      <c r="B317" s="70">
        <v>44000010</v>
      </c>
      <c r="C317" s="69" t="s">
        <v>28</v>
      </c>
      <c r="D317" s="71" t="s">
        <v>2387</v>
      </c>
      <c r="E317" s="69" t="s">
        <v>2388</v>
      </c>
      <c r="F317" s="69">
        <v>30</v>
      </c>
      <c r="G317" s="69">
        <v>60</v>
      </c>
      <c r="H317" s="69" t="s">
        <v>2399</v>
      </c>
      <c r="I317" s="69" t="s">
        <v>2471</v>
      </c>
      <c r="J317" s="69" t="s">
        <v>2415</v>
      </c>
      <c r="K317" s="69"/>
      <c r="L317" s="72" t="s">
        <v>2387</v>
      </c>
      <c r="M317" s="72" t="b">
        <f t="shared" si="4"/>
        <v>1</v>
      </c>
    </row>
    <row r="318" spans="1:13" x14ac:dyDescent="0.25">
      <c r="A318" s="69" t="s">
        <v>214</v>
      </c>
      <c r="B318" s="70">
        <v>44000010</v>
      </c>
      <c r="C318" s="69" t="s">
        <v>28</v>
      </c>
      <c r="D318" s="71" t="s">
        <v>2387</v>
      </c>
      <c r="E318" s="69" t="s">
        <v>2388</v>
      </c>
      <c r="F318" s="69">
        <v>30</v>
      </c>
      <c r="G318" s="69">
        <v>60</v>
      </c>
      <c r="H318" s="69" t="s">
        <v>2399</v>
      </c>
      <c r="I318" s="69" t="s">
        <v>2471</v>
      </c>
      <c r="J318" s="69" t="s">
        <v>2415</v>
      </c>
      <c r="K318" s="69"/>
      <c r="L318" s="72" t="s">
        <v>2387</v>
      </c>
      <c r="M318" s="72" t="b">
        <f t="shared" si="4"/>
        <v>1</v>
      </c>
    </row>
    <row r="319" spans="1:13" x14ac:dyDescent="0.25">
      <c r="A319" s="69" t="s">
        <v>172</v>
      </c>
      <c r="B319" s="70">
        <v>44000010</v>
      </c>
      <c r="C319" s="69" t="s">
        <v>28</v>
      </c>
      <c r="D319" s="71" t="s">
        <v>2387</v>
      </c>
      <c r="E319" s="69" t="s">
        <v>2388</v>
      </c>
      <c r="F319" s="69">
        <v>30</v>
      </c>
      <c r="G319" s="69">
        <v>60</v>
      </c>
      <c r="H319" s="69" t="s">
        <v>2399</v>
      </c>
      <c r="I319" s="69" t="s">
        <v>2471</v>
      </c>
      <c r="J319" s="69" t="s">
        <v>2415</v>
      </c>
      <c r="K319" s="69"/>
      <c r="L319" s="72" t="s">
        <v>2387</v>
      </c>
      <c r="M319" s="72" t="b">
        <f t="shared" si="4"/>
        <v>1</v>
      </c>
    </row>
    <row r="320" spans="1:13" x14ac:dyDescent="0.25">
      <c r="A320" s="69" t="s">
        <v>170</v>
      </c>
      <c r="B320" s="70">
        <v>44000010</v>
      </c>
      <c r="C320" s="69" t="s">
        <v>28</v>
      </c>
      <c r="D320" s="71" t="s">
        <v>2387</v>
      </c>
      <c r="E320" s="69" t="s">
        <v>2388</v>
      </c>
      <c r="F320" s="69">
        <v>30</v>
      </c>
      <c r="G320" s="69">
        <v>60</v>
      </c>
      <c r="H320" s="69" t="s">
        <v>2399</v>
      </c>
      <c r="I320" s="69" t="s">
        <v>2471</v>
      </c>
      <c r="J320" s="69" t="s">
        <v>2415</v>
      </c>
      <c r="K320" s="69"/>
      <c r="L320" s="72" t="s">
        <v>2387</v>
      </c>
      <c r="M320" s="72" t="b">
        <f t="shared" si="4"/>
        <v>1</v>
      </c>
    </row>
    <row r="321" spans="1:13" x14ac:dyDescent="0.25">
      <c r="A321" s="69" t="s">
        <v>140</v>
      </c>
      <c r="B321" s="70">
        <v>44000010</v>
      </c>
      <c r="C321" s="69" t="s">
        <v>28</v>
      </c>
      <c r="D321" s="71" t="s">
        <v>2387</v>
      </c>
      <c r="E321" s="69" t="s">
        <v>2388</v>
      </c>
      <c r="F321" s="69">
        <v>30</v>
      </c>
      <c r="G321" s="69">
        <v>60</v>
      </c>
      <c r="H321" s="69" t="s">
        <v>2399</v>
      </c>
      <c r="I321" s="69" t="s">
        <v>2471</v>
      </c>
      <c r="J321" s="69" t="s">
        <v>2415</v>
      </c>
      <c r="K321" s="69"/>
      <c r="L321" s="72" t="s">
        <v>2387</v>
      </c>
      <c r="M321" s="72" t="b">
        <f t="shared" si="4"/>
        <v>1</v>
      </c>
    </row>
    <row r="322" spans="1:13" x14ac:dyDescent="0.25">
      <c r="A322" s="69" t="s">
        <v>121</v>
      </c>
      <c r="B322" s="70">
        <v>44000010</v>
      </c>
      <c r="C322" s="69" t="s">
        <v>28</v>
      </c>
      <c r="D322" s="71" t="s">
        <v>2387</v>
      </c>
      <c r="E322" s="69" t="s">
        <v>2388</v>
      </c>
      <c r="F322" s="69">
        <v>30</v>
      </c>
      <c r="G322" s="69">
        <v>60</v>
      </c>
      <c r="H322" s="69" t="s">
        <v>2399</v>
      </c>
      <c r="I322" s="69" t="s">
        <v>2471</v>
      </c>
      <c r="J322" s="69" t="s">
        <v>2415</v>
      </c>
      <c r="K322" s="69"/>
      <c r="L322" s="72" t="s">
        <v>2387</v>
      </c>
      <c r="M322" s="72" t="b">
        <f t="shared" ref="M322:M385" si="5">L322=D322</f>
        <v>1</v>
      </c>
    </row>
    <row r="323" spans="1:13" x14ac:dyDescent="0.25">
      <c r="A323" s="69" t="s">
        <v>119</v>
      </c>
      <c r="B323" s="70">
        <v>44000010</v>
      </c>
      <c r="C323" s="69" t="s">
        <v>28</v>
      </c>
      <c r="D323" s="71" t="s">
        <v>2387</v>
      </c>
      <c r="E323" s="69" t="s">
        <v>2388</v>
      </c>
      <c r="F323" s="69">
        <v>30</v>
      </c>
      <c r="G323" s="69">
        <v>60</v>
      </c>
      <c r="H323" s="69" t="s">
        <v>2399</v>
      </c>
      <c r="I323" s="69" t="s">
        <v>2471</v>
      </c>
      <c r="J323" s="69" t="s">
        <v>2415</v>
      </c>
      <c r="K323" s="69"/>
      <c r="L323" s="72" t="s">
        <v>2387</v>
      </c>
      <c r="M323" s="72" t="b">
        <f t="shared" si="5"/>
        <v>1</v>
      </c>
    </row>
    <row r="324" spans="1:13" x14ac:dyDescent="0.25">
      <c r="A324" s="69" t="s">
        <v>117</v>
      </c>
      <c r="B324" s="70">
        <v>44000010</v>
      </c>
      <c r="C324" s="69" t="s">
        <v>28</v>
      </c>
      <c r="D324" s="71" t="s">
        <v>2387</v>
      </c>
      <c r="E324" s="69" t="s">
        <v>2388</v>
      </c>
      <c r="F324" s="69">
        <v>30</v>
      </c>
      <c r="G324" s="69">
        <v>60</v>
      </c>
      <c r="H324" s="69" t="s">
        <v>2399</v>
      </c>
      <c r="I324" s="69" t="s">
        <v>2471</v>
      </c>
      <c r="J324" s="69" t="s">
        <v>2415</v>
      </c>
      <c r="K324" s="69"/>
      <c r="L324" s="72" t="s">
        <v>2387</v>
      </c>
      <c r="M324" s="72" t="b">
        <f t="shared" si="5"/>
        <v>1</v>
      </c>
    </row>
    <row r="325" spans="1:13" x14ac:dyDescent="0.25">
      <c r="A325" s="69" t="s">
        <v>112</v>
      </c>
      <c r="B325" s="70">
        <v>44000010</v>
      </c>
      <c r="C325" s="69" t="s">
        <v>28</v>
      </c>
      <c r="D325" s="71" t="s">
        <v>2387</v>
      </c>
      <c r="E325" s="69" t="s">
        <v>2388</v>
      </c>
      <c r="F325" s="69">
        <v>30</v>
      </c>
      <c r="G325" s="69">
        <v>60</v>
      </c>
      <c r="H325" s="69" t="s">
        <v>2399</v>
      </c>
      <c r="I325" s="69" t="s">
        <v>2471</v>
      </c>
      <c r="J325" s="69" t="s">
        <v>2415</v>
      </c>
      <c r="K325" s="69"/>
      <c r="L325" s="72" t="s">
        <v>2387</v>
      </c>
      <c r="M325" s="72" t="b">
        <f t="shared" si="5"/>
        <v>1</v>
      </c>
    </row>
    <row r="326" spans="1:13" x14ac:dyDescent="0.25">
      <c r="A326" s="69" t="s">
        <v>977</v>
      </c>
      <c r="B326" s="70">
        <v>44000010</v>
      </c>
      <c r="C326" s="69" t="s">
        <v>28</v>
      </c>
      <c r="D326" s="71" t="s">
        <v>2387</v>
      </c>
      <c r="E326" s="69" t="s">
        <v>2388</v>
      </c>
      <c r="F326" s="69">
        <v>30</v>
      </c>
      <c r="G326" s="69">
        <v>60</v>
      </c>
      <c r="H326" s="69" t="s">
        <v>2399</v>
      </c>
      <c r="I326" s="69" t="s">
        <v>2471</v>
      </c>
      <c r="J326" s="69" t="s">
        <v>2415</v>
      </c>
      <c r="K326" s="69"/>
      <c r="L326" s="72" t="s">
        <v>2387</v>
      </c>
      <c r="M326" s="72" t="b">
        <f t="shared" si="5"/>
        <v>1</v>
      </c>
    </row>
    <row r="327" spans="1:13" x14ac:dyDescent="0.25">
      <c r="A327" s="69" t="s">
        <v>103</v>
      </c>
      <c r="B327" s="70">
        <v>44000010</v>
      </c>
      <c r="C327" s="69" t="s">
        <v>28</v>
      </c>
      <c r="D327" s="71" t="s">
        <v>2387</v>
      </c>
      <c r="E327" s="69" t="s">
        <v>2388</v>
      </c>
      <c r="F327" s="69">
        <v>30</v>
      </c>
      <c r="G327" s="69">
        <v>60</v>
      </c>
      <c r="H327" s="69" t="s">
        <v>2399</v>
      </c>
      <c r="I327" s="69" t="s">
        <v>2471</v>
      </c>
      <c r="J327" s="69" t="s">
        <v>2415</v>
      </c>
      <c r="K327" s="69"/>
      <c r="L327" s="72" t="s">
        <v>2387</v>
      </c>
      <c r="M327" s="72" t="b">
        <f t="shared" si="5"/>
        <v>1</v>
      </c>
    </row>
    <row r="328" spans="1:13" x14ac:dyDescent="0.25">
      <c r="A328" s="69" t="s">
        <v>974</v>
      </c>
      <c r="B328" s="70">
        <v>44000010</v>
      </c>
      <c r="C328" s="69" t="s">
        <v>28</v>
      </c>
      <c r="D328" s="71" t="s">
        <v>2387</v>
      </c>
      <c r="E328" s="69" t="s">
        <v>2388</v>
      </c>
      <c r="F328" s="69">
        <v>30</v>
      </c>
      <c r="G328" s="69">
        <v>60</v>
      </c>
      <c r="H328" s="69" t="s">
        <v>2399</v>
      </c>
      <c r="I328" s="69" t="s">
        <v>2471</v>
      </c>
      <c r="J328" s="69" t="s">
        <v>2415</v>
      </c>
      <c r="K328" s="69"/>
      <c r="L328" s="72" t="s">
        <v>2387</v>
      </c>
      <c r="M328" s="72" t="b">
        <f t="shared" si="5"/>
        <v>1</v>
      </c>
    </row>
    <row r="329" spans="1:13" x14ac:dyDescent="0.25">
      <c r="A329" s="69" t="s">
        <v>101</v>
      </c>
      <c r="B329" s="70">
        <v>44000010</v>
      </c>
      <c r="C329" s="69" t="s">
        <v>28</v>
      </c>
      <c r="D329" s="71" t="s">
        <v>2387</v>
      </c>
      <c r="E329" s="69" t="s">
        <v>2388</v>
      </c>
      <c r="F329" s="69">
        <v>30</v>
      </c>
      <c r="G329" s="69">
        <v>60</v>
      </c>
      <c r="H329" s="69" t="s">
        <v>2399</v>
      </c>
      <c r="I329" s="69" t="s">
        <v>2471</v>
      </c>
      <c r="J329" s="69" t="s">
        <v>2424</v>
      </c>
      <c r="K329" s="69"/>
      <c r="L329" s="72" t="s">
        <v>2387</v>
      </c>
      <c r="M329" s="72" t="b">
        <f t="shared" si="5"/>
        <v>1</v>
      </c>
    </row>
    <row r="330" spans="1:13" x14ac:dyDescent="0.25">
      <c r="A330" s="69" t="s">
        <v>99</v>
      </c>
      <c r="B330" s="70">
        <v>44000010</v>
      </c>
      <c r="C330" s="69" t="s">
        <v>28</v>
      </c>
      <c r="D330" s="71" t="s">
        <v>2387</v>
      </c>
      <c r="E330" s="69" t="s">
        <v>2388</v>
      </c>
      <c r="F330" s="69">
        <v>30</v>
      </c>
      <c r="G330" s="69">
        <v>60</v>
      </c>
      <c r="H330" s="69" t="s">
        <v>2399</v>
      </c>
      <c r="I330" s="69" t="s">
        <v>2471</v>
      </c>
      <c r="J330" s="69" t="s">
        <v>2415</v>
      </c>
      <c r="K330" s="69"/>
      <c r="L330" s="72" t="s">
        <v>2387</v>
      </c>
      <c r="M330" s="72" t="b">
        <f t="shared" si="5"/>
        <v>1</v>
      </c>
    </row>
    <row r="331" spans="1:13" x14ac:dyDescent="0.25">
      <c r="A331" s="69" t="s">
        <v>97</v>
      </c>
      <c r="B331" s="70">
        <v>44000010</v>
      </c>
      <c r="C331" s="69" t="s">
        <v>28</v>
      </c>
      <c r="D331" s="71" t="s">
        <v>2387</v>
      </c>
      <c r="E331" s="69" t="s">
        <v>2388</v>
      </c>
      <c r="F331" s="69">
        <v>30</v>
      </c>
      <c r="G331" s="69">
        <v>60</v>
      </c>
      <c r="H331" s="69" t="s">
        <v>2399</v>
      </c>
      <c r="I331" s="69" t="s">
        <v>2471</v>
      </c>
      <c r="J331" s="69" t="s">
        <v>2424</v>
      </c>
      <c r="K331" s="69"/>
      <c r="L331" s="72" t="s">
        <v>2387</v>
      </c>
      <c r="M331" s="72" t="b">
        <f t="shared" si="5"/>
        <v>1</v>
      </c>
    </row>
    <row r="332" spans="1:13" x14ac:dyDescent="0.25">
      <c r="A332" s="69" t="s">
        <v>94</v>
      </c>
      <c r="B332" s="70">
        <v>44000010</v>
      </c>
      <c r="C332" s="69" t="s">
        <v>28</v>
      </c>
      <c r="D332" s="71" t="s">
        <v>2387</v>
      </c>
      <c r="E332" s="69" t="s">
        <v>2388</v>
      </c>
      <c r="F332" s="69">
        <v>30</v>
      </c>
      <c r="G332" s="69">
        <v>60</v>
      </c>
      <c r="H332" s="69" t="s">
        <v>2399</v>
      </c>
      <c r="I332" s="69" t="s">
        <v>2471</v>
      </c>
      <c r="J332" s="69" t="s">
        <v>2415</v>
      </c>
      <c r="K332" s="69"/>
      <c r="L332" s="72" t="s">
        <v>2387</v>
      </c>
      <c r="M332" s="72" t="b">
        <f t="shared" si="5"/>
        <v>1</v>
      </c>
    </row>
    <row r="333" spans="1:13" x14ac:dyDescent="0.25">
      <c r="A333" s="69" t="s">
        <v>2082</v>
      </c>
      <c r="B333" s="70">
        <v>44000010</v>
      </c>
      <c r="C333" s="69" t="s">
        <v>28</v>
      </c>
      <c r="D333" s="71" t="s">
        <v>2387</v>
      </c>
      <c r="E333" s="69" t="s">
        <v>2388</v>
      </c>
      <c r="F333" s="69">
        <v>30</v>
      </c>
      <c r="G333" s="69">
        <v>60</v>
      </c>
      <c r="H333" s="69" t="s">
        <v>2399</v>
      </c>
      <c r="I333" s="69" t="s">
        <v>2471</v>
      </c>
      <c r="J333" s="69" t="s">
        <v>2415</v>
      </c>
      <c r="K333" s="69"/>
      <c r="L333" s="72" t="s">
        <v>2387</v>
      </c>
      <c r="M333" s="72" t="b">
        <f t="shared" si="5"/>
        <v>1</v>
      </c>
    </row>
    <row r="334" spans="1:13" x14ac:dyDescent="0.25">
      <c r="A334" s="69" t="s">
        <v>2079</v>
      </c>
      <c r="B334" s="70">
        <v>44000010</v>
      </c>
      <c r="C334" s="69" t="s">
        <v>28</v>
      </c>
      <c r="D334" s="71" t="s">
        <v>2387</v>
      </c>
      <c r="E334" s="69" t="s">
        <v>2388</v>
      </c>
      <c r="F334" s="69">
        <v>30</v>
      </c>
      <c r="G334" s="69">
        <v>60</v>
      </c>
      <c r="H334" s="69" t="s">
        <v>2399</v>
      </c>
      <c r="I334" s="69" t="s">
        <v>2471</v>
      </c>
      <c r="J334" s="69" t="s">
        <v>2415</v>
      </c>
      <c r="K334" s="69"/>
      <c r="L334" s="72" t="s">
        <v>2387</v>
      </c>
      <c r="M334" s="72" t="b">
        <f t="shared" si="5"/>
        <v>1</v>
      </c>
    </row>
    <row r="335" spans="1:13" x14ac:dyDescent="0.25">
      <c r="A335" s="69" t="s">
        <v>2283</v>
      </c>
      <c r="B335" s="70">
        <v>44000010</v>
      </c>
      <c r="C335" s="69" t="s">
        <v>28</v>
      </c>
      <c r="D335" s="71" t="s">
        <v>2387</v>
      </c>
      <c r="E335" s="69" t="s">
        <v>2388</v>
      </c>
      <c r="F335" s="69">
        <v>30</v>
      </c>
      <c r="G335" s="69">
        <v>60</v>
      </c>
      <c r="H335" s="69" t="s">
        <v>2399</v>
      </c>
      <c r="I335" s="69" t="s">
        <v>2471</v>
      </c>
      <c r="J335" s="69" t="s">
        <v>2415</v>
      </c>
      <c r="K335" s="69"/>
      <c r="L335" s="72" t="s">
        <v>2387</v>
      </c>
      <c r="M335" s="72" t="b">
        <f t="shared" si="5"/>
        <v>1</v>
      </c>
    </row>
    <row r="336" spans="1:13" x14ac:dyDescent="0.25">
      <c r="A336" s="69" t="s">
        <v>938</v>
      </c>
      <c r="B336" s="70">
        <v>44000010</v>
      </c>
      <c r="C336" s="69" t="s">
        <v>28</v>
      </c>
      <c r="D336" s="71" t="s">
        <v>2387</v>
      </c>
      <c r="E336" s="69" t="s">
        <v>2388</v>
      </c>
      <c r="F336" s="69">
        <v>30</v>
      </c>
      <c r="G336" s="69">
        <v>60</v>
      </c>
      <c r="H336" s="69" t="s">
        <v>2399</v>
      </c>
      <c r="I336" s="69" t="s">
        <v>2471</v>
      </c>
      <c r="J336" s="69" t="s">
        <v>2424</v>
      </c>
      <c r="K336" s="69"/>
      <c r="L336" s="72" t="s">
        <v>2387</v>
      </c>
      <c r="M336" s="72" t="b">
        <f t="shared" si="5"/>
        <v>1</v>
      </c>
    </row>
    <row r="337" spans="1:13" x14ac:dyDescent="0.25">
      <c r="A337" s="69" t="s">
        <v>67</v>
      </c>
      <c r="B337" s="70">
        <v>44000010</v>
      </c>
      <c r="C337" s="69" t="s">
        <v>28</v>
      </c>
      <c r="D337" s="71" t="s">
        <v>2387</v>
      </c>
      <c r="E337" s="69" t="s">
        <v>2388</v>
      </c>
      <c r="F337" s="69">
        <v>30</v>
      </c>
      <c r="G337" s="69">
        <v>60</v>
      </c>
      <c r="H337" s="69" t="s">
        <v>2399</v>
      </c>
      <c r="I337" s="69" t="s">
        <v>2471</v>
      </c>
      <c r="J337" s="69" t="s">
        <v>2424</v>
      </c>
      <c r="K337" s="69"/>
      <c r="L337" s="72" t="s">
        <v>2387</v>
      </c>
      <c r="M337" s="72" t="b">
        <f t="shared" si="5"/>
        <v>1</v>
      </c>
    </row>
    <row r="338" spans="1:13" x14ac:dyDescent="0.25">
      <c r="A338" s="69" t="s">
        <v>65</v>
      </c>
      <c r="B338" s="70">
        <v>44000010</v>
      </c>
      <c r="C338" s="69" t="s">
        <v>28</v>
      </c>
      <c r="D338" s="71" t="s">
        <v>2387</v>
      </c>
      <c r="E338" s="69" t="s">
        <v>2388</v>
      </c>
      <c r="F338" s="69">
        <v>30</v>
      </c>
      <c r="G338" s="69">
        <v>60</v>
      </c>
      <c r="H338" s="69" t="s">
        <v>2399</v>
      </c>
      <c r="I338" s="69" t="s">
        <v>2471</v>
      </c>
      <c r="J338" s="69" t="s">
        <v>2415</v>
      </c>
      <c r="K338" s="69"/>
      <c r="L338" s="72" t="s">
        <v>2387</v>
      </c>
      <c r="M338" s="72" t="b">
        <f t="shared" si="5"/>
        <v>1</v>
      </c>
    </row>
    <row r="339" spans="1:13" x14ac:dyDescent="0.25">
      <c r="A339" s="69" t="s">
        <v>63</v>
      </c>
      <c r="B339" s="70">
        <v>44000010</v>
      </c>
      <c r="C339" s="69" t="s">
        <v>28</v>
      </c>
      <c r="D339" s="71" t="s">
        <v>2387</v>
      </c>
      <c r="E339" s="69" t="s">
        <v>2388</v>
      </c>
      <c r="F339" s="69">
        <v>30</v>
      </c>
      <c r="G339" s="69">
        <v>60</v>
      </c>
      <c r="H339" s="69" t="s">
        <v>2399</v>
      </c>
      <c r="I339" s="69" t="s">
        <v>2471</v>
      </c>
      <c r="J339" s="69" t="s">
        <v>2415</v>
      </c>
      <c r="K339" s="69"/>
      <c r="L339" s="72" t="s">
        <v>2387</v>
      </c>
      <c r="M339" s="72" t="b">
        <f t="shared" si="5"/>
        <v>1</v>
      </c>
    </row>
    <row r="340" spans="1:13" x14ac:dyDescent="0.25">
      <c r="A340" s="69" t="s">
        <v>30</v>
      </c>
      <c r="B340" s="70">
        <v>44000010</v>
      </c>
      <c r="C340" s="69" t="s">
        <v>28</v>
      </c>
      <c r="D340" s="71" t="s">
        <v>2387</v>
      </c>
      <c r="E340" s="69" t="s">
        <v>2388</v>
      </c>
      <c r="F340" s="69">
        <v>30</v>
      </c>
      <c r="G340" s="69">
        <v>60</v>
      </c>
      <c r="H340" s="69" t="s">
        <v>2399</v>
      </c>
      <c r="I340" s="69" t="s">
        <v>2471</v>
      </c>
      <c r="J340" s="69" t="s">
        <v>2415</v>
      </c>
      <c r="K340" s="69"/>
      <c r="L340" s="72" t="s">
        <v>2387</v>
      </c>
      <c r="M340" s="72" t="b">
        <f t="shared" si="5"/>
        <v>1</v>
      </c>
    </row>
    <row r="341" spans="1:13" x14ac:dyDescent="0.25">
      <c r="A341" s="69" t="s">
        <v>26</v>
      </c>
      <c r="B341" s="70">
        <v>44000010</v>
      </c>
      <c r="C341" s="69" t="s">
        <v>28</v>
      </c>
      <c r="D341" s="71" t="s">
        <v>2387</v>
      </c>
      <c r="E341" s="69" t="s">
        <v>2388</v>
      </c>
      <c r="F341" s="69">
        <v>30</v>
      </c>
      <c r="G341" s="69">
        <v>60</v>
      </c>
      <c r="H341" s="69" t="s">
        <v>2399</v>
      </c>
      <c r="I341" s="69" t="s">
        <v>2471</v>
      </c>
      <c r="J341" s="69" t="s">
        <v>2415</v>
      </c>
      <c r="K341" s="69"/>
      <c r="L341" s="72" t="s">
        <v>2387</v>
      </c>
      <c r="M341" s="72" t="b">
        <f t="shared" si="5"/>
        <v>1</v>
      </c>
    </row>
    <row r="342" spans="1:13" x14ac:dyDescent="0.25">
      <c r="A342" s="69" t="s">
        <v>910</v>
      </c>
      <c r="B342" s="70">
        <v>44000010</v>
      </c>
      <c r="C342" s="69" t="s">
        <v>28</v>
      </c>
      <c r="D342" s="71" t="s">
        <v>2387</v>
      </c>
      <c r="E342" s="69" t="s">
        <v>2388</v>
      </c>
      <c r="F342" s="69">
        <v>30</v>
      </c>
      <c r="G342" s="69">
        <v>60</v>
      </c>
      <c r="H342" s="69" t="s">
        <v>2399</v>
      </c>
      <c r="I342" s="69" t="s">
        <v>2471</v>
      </c>
      <c r="J342" s="69" t="s">
        <v>2415</v>
      </c>
      <c r="K342" s="69"/>
      <c r="L342" s="72" t="s">
        <v>2387</v>
      </c>
      <c r="M342" s="72" t="b">
        <f t="shared" si="5"/>
        <v>1</v>
      </c>
    </row>
    <row r="343" spans="1:13" x14ac:dyDescent="0.25">
      <c r="A343" s="69" t="s">
        <v>2155</v>
      </c>
      <c r="B343" s="70">
        <v>44000010</v>
      </c>
      <c r="C343" s="69" t="s">
        <v>28</v>
      </c>
      <c r="D343" s="71" t="s">
        <v>2387</v>
      </c>
      <c r="E343" s="69" t="s">
        <v>2388</v>
      </c>
      <c r="F343" s="69">
        <v>30</v>
      </c>
      <c r="G343" s="69">
        <v>60</v>
      </c>
      <c r="H343" s="69" t="s">
        <v>2399</v>
      </c>
      <c r="I343" s="69" t="s">
        <v>2471</v>
      </c>
      <c r="J343" s="69" t="s">
        <v>2415</v>
      </c>
      <c r="K343" s="69"/>
      <c r="L343" s="72" t="s">
        <v>2387</v>
      </c>
      <c r="M343" s="72" t="b">
        <f t="shared" si="5"/>
        <v>1</v>
      </c>
    </row>
    <row r="344" spans="1:13" x14ac:dyDescent="0.25">
      <c r="A344" s="69" t="s">
        <v>1620</v>
      </c>
      <c r="B344" s="70">
        <v>44000010</v>
      </c>
      <c r="C344" s="69" t="s">
        <v>28</v>
      </c>
      <c r="D344" s="71" t="s">
        <v>2387</v>
      </c>
      <c r="E344" s="69" t="s">
        <v>2388</v>
      </c>
      <c r="F344" s="69">
        <v>30</v>
      </c>
      <c r="G344" s="69">
        <v>60</v>
      </c>
      <c r="H344" s="69" t="s">
        <v>2399</v>
      </c>
      <c r="I344" s="69" t="s">
        <v>2471</v>
      </c>
      <c r="J344" s="69" t="s">
        <v>2415</v>
      </c>
      <c r="K344" s="69"/>
      <c r="L344" s="72" t="s">
        <v>2387</v>
      </c>
      <c r="M344" s="72" t="b">
        <f t="shared" si="5"/>
        <v>1</v>
      </c>
    </row>
    <row r="345" spans="1:13" x14ac:dyDescent="0.25">
      <c r="A345" s="69" t="s">
        <v>518</v>
      </c>
      <c r="B345" s="70">
        <v>44000010</v>
      </c>
      <c r="C345" s="69" t="s">
        <v>28</v>
      </c>
      <c r="D345" s="71" t="s">
        <v>2387</v>
      </c>
      <c r="E345" s="69" t="s">
        <v>2388</v>
      </c>
      <c r="F345" s="69">
        <v>30</v>
      </c>
      <c r="G345" s="69">
        <v>60</v>
      </c>
      <c r="H345" s="69" t="s">
        <v>2399</v>
      </c>
      <c r="I345" s="69" t="s">
        <v>2471</v>
      </c>
      <c r="J345" s="69" t="s">
        <v>2415</v>
      </c>
      <c r="K345" s="69"/>
      <c r="L345" s="72" t="s">
        <v>2387</v>
      </c>
      <c r="M345" s="72" t="b">
        <f t="shared" si="5"/>
        <v>1</v>
      </c>
    </row>
    <row r="346" spans="1:13" x14ac:dyDescent="0.25">
      <c r="A346" s="69" t="s">
        <v>1617</v>
      </c>
      <c r="B346" s="70">
        <v>44000010</v>
      </c>
      <c r="C346" s="69" t="s">
        <v>28</v>
      </c>
      <c r="D346" s="71" t="s">
        <v>2387</v>
      </c>
      <c r="E346" s="69" t="s">
        <v>2388</v>
      </c>
      <c r="F346" s="69">
        <v>30</v>
      </c>
      <c r="G346" s="69">
        <v>60</v>
      </c>
      <c r="H346" s="69" t="s">
        <v>2399</v>
      </c>
      <c r="I346" s="69" t="s">
        <v>2471</v>
      </c>
      <c r="J346" s="69" t="s">
        <v>2415</v>
      </c>
      <c r="K346" s="69"/>
      <c r="L346" s="72" t="s">
        <v>2387</v>
      </c>
      <c r="M346" s="72" t="b">
        <f t="shared" si="5"/>
        <v>1</v>
      </c>
    </row>
    <row r="347" spans="1:13" x14ac:dyDescent="0.25">
      <c r="A347" s="69" t="s">
        <v>1614</v>
      </c>
      <c r="B347" s="70">
        <v>44000010</v>
      </c>
      <c r="C347" s="69" t="s">
        <v>28</v>
      </c>
      <c r="D347" s="71" t="s">
        <v>2387</v>
      </c>
      <c r="E347" s="69" t="s">
        <v>2388</v>
      </c>
      <c r="F347" s="69">
        <v>30</v>
      </c>
      <c r="G347" s="69">
        <v>60</v>
      </c>
      <c r="H347" s="69" t="s">
        <v>2399</v>
      </c>
      <c r="I347" s="69" t="s">
        <v>2471</v>
      </c>
      <c r="J347" s="69" t="s">
        <v>2415</v>
      </c>
      <c r="K347" s="69"/>
      <c r="L347" s="72" t="s">
        <v>2387</v>
      </c>
      <c r="M347" s="72" t="b">
        <f t="shared" si="5"/>
        <v>1</v>
      </c>
    </row>
    <row r="348" spans="1:13" x14ac:dyDescent="0.25">
      <c r="A348" s="69" t="s">
        <v>516</v>
      </c>
      <c r="B348" s="70">
        <v>44000010</v>
      </c>
      <c r="C348" s="69" t="s">
        <v>28</v>
      </c>
      <c r="D348" s="71" t="s">
        <v>2387</v>
      </c>
      <c r="E348" s="69" t="s">
        <v>2388</v>
      </c>
      <c r="F348" s="69">
        <v>30</v>
      </c>
      <c r="G348" s="69">
        <v>60</v>
      </c>
      <c r="H348" s="69" t="s">
        <v>2399</v>
      </c>
      <c r="I348" s="69" t="s">
        <v>2471</v>
      </c>
      <c r="J348" s="69" t="s">
        <v>2415</v>
      </c>
      <c r="K348" s="69"/>
      <c r="L348" s="72" t="s">
        <v>2387</v>
      </c>
      <c r="M348" s="72" t="b">
        <f t="shared" si="5"/>
        <v>1</v>
      </c>
    </row>
    <row r="349" spans="1:13" x14ac:dyDescent="0.25">
      <c r="A349" s="69" t="s">
        <v>513</v>
      </c>
      <c r="B349" s="70">
        <v>44000010</v>
      </c>
      <c r="C349" s="69" t="s">
        <v>28</v>
      </c>
      <c r="D349" s="71" t="s">
        <v>2387</v>
      </c>
      <c r="E349" s="69" t="s">
        <v>2388</v>
      </c>
      <c r="F349" s="69">
        <v>30</v>
      </c>
      <c r="G349" s="69">
        <v>60</v>
      </c>
      <c r="H349" s="69" t="s">
        <v>2399</v>
      </c>
      <c r="I349" s="69" t="s">
        <v>2471</v>
      </c>
      <c r="J349" s="69" t="s">
        <v>2415</v>
      </c>
      <c r="K349" s="69"/>
      <c r="L349" s="72" t="s">
        <v>2387</v>
      </c>
      <c r="M349" s="72" t="b">
        <f t="shared" si="5"/>
        <v>1</v>
      </c>
    </row>
    <row r="350" spans="1:13" x14ac:dyDescent="0.25">
      <c r="A350" s="69" t="s">
        <v>512</v>
      </c>
      <c r="B350" s="70">
        <v>44000010</v>
      </c>
      <c r="C350" s="69" t="s">
        <v>28</v>
      </c>
      <c r="D350" s="71" t="s">
        <v>2387</v>
      </c>
      <c r="E350" s="69" t="s">
        <v>2388</v>
      </c>
      <c r="F350" s="69">
        <v>30</v>
      </c>
      <c r="G350" s="69">
        <v>60</v>
      </c>
      <c r="H350" s="69" t="s">
        <v>2399</v>
      </c>
      <c r="I350" s="69" t="s">
        <v>2471</v>
      </c>
      <c r="J350" s="69" t="s">
        <v>2415</v>
      </c>
      <c r="K350" s="69"/>
      <c r="L350" s="72" t="s">
        <v>2387</v>
      </c>
      <c r="M350" s="72" t="b">
        <f t="shared" si="5"/>
        <v>1</v>
      </c>
    </row>
    <row r="351" spans="1:13" x14ac:dyDescent="0.25">
      <c r="A351" s="69" t="s">
        <v>509</v>
      </c>
      <c r="B351" s="70">
        <v>44000010</v>
      </c>
      <c r="C351" s="69" t="s">
        <v>28</v>
      </c>
      <c r="D351" s="71" t="s">
        <v>2387</v>
      </c>
      <c r="E351" s="69" t="s">
        <v>2388</v>
      </c>
      <c r="F351" s="69">
        <v>30</v>
      </c>
      <c r="G351" s="69">
        <v>60</v>
      </c>
      <c r="H351" s="69" t="s">
        <v>2399</v>
      </c>
      <c r="I351" s="69" t="s">
        <v>2471</v>
      </c>
      <c r="J351" s="69" t="s">
        <v>2415</v>
      </c>
      <c r="K351" s="69"/>
      <c r="L351" s="72" t="s">
        <v>2387</v>
      </c>
      <c r="M351" s="72" t="b">
        <f t="shared" si="5"/>
        <v>1</v>
      </c>
    </row>
    <row r="352" spans="1:13" x14ac:dyDescent="0.25">
      <c r="A352" s="69" t="s">
        <v>506</v>
      </c>
      <c r="B352" s="70">
        <v>44000010</v>
      </c>
      <c r="C352" s="69" t="s">
        <v>28</v>
      </c>
      <c r="D352" s="71" t="s">
        <v>2387</v>
      </c>
      <c r="E352" s="69" t="s">
        <v>2388</v>
      </c>
      <c r="F352" s="69">
        <v>30</v>
      </c>
      <c r="G352" s="69">
        <v>60</v>
      </c>
      <c r="H352" s="69" t="s">
        <v>2399</v>
      </c>
      <c r="I352" s="69" t="s">
        <v>2471</v>
      </c>
      <c r="J352" s="69" t="s">
        <v>2424</v>
      </c>
      <c r="K352" s="69"/>
      <c r="L352" s="72" t="s">
        <v>2387</v>
      </c>
      <c r="M352" s="72" t="b">
        <f t="shared" si="5"/>
        <v>1</v>
      </c>
    </row>
    <row r="353" spans="1:13" x14ac:dyDescent="0.25">
      <c r="A353" s="69" t="s">
        <v>1609</v>
      </c>
      <c r="B353" s="70">
        <v>44000010</v>
      </c>
      <c r="C353" s="69" t="s">
        <v>28</v>
      </c>
      <c r="D353" s="71" t="s">
        <v>2387</v>
      </c>
      <c r="E353" s="69" t="s">
        <v>2388</v>
      </c>
      <c r="F353" s="69">
        <v>30</v>
      </c>
      <c r="G353" s="69">
        <v>60</v>
      </c>
      <c r="H353" s="69" t="s">
        <v>2399</v>
      </c>
      <c r="I353" s="69" t="s">
        <v>2471</v>
      </c>
      <c r="J353" s="69" t="s">
        <v>2415</v>
      </c>
      <c r="K353" s="69"/>
      <c r="L353" s="72" t="s">
        <v>2387</v>
      </c>
      <c r="M353" s="72" t="b">
        <f t="shared" si="5"/>
        <v>1</v>
      </c>
    </row>
    <row r="354" spans="1:13" x14ac:dyDescent="0.25">
      <c r="A354" s="69" t="s">
        <v>505</v>
      </c>
      <c r="B354" s="70">
        <v>44000010</v>
      </c>
      <c r="C354" s="69" t="s">
        <v>28</v>
      </c>
      <c r="D354" s="71" t="s">
        <v>2387</v>
      </c>
      <c r="E354" s="69" t="s">
        <v>2388</v>
      </c>
      <c r="F354" s="69">
        <v>30</v>
      </c>
      <c r="G354" s="69">
        <v>60</v>
      </c>
      <c r="H354" s="69" t="s">
        <v>2399</v>
      </c>
      <c r="I354" s="69" t="s">
        <v>2471</v>
      </c>
      <c r="J354" s="69" t="s">
        <v>2415</v>
      </c>
      <c r="K354" s="69"/>
      <c r="L354" s="72" t="s">
        <v>2387</v>
      </c>
      <c r="M354" s="72" t="b">
        <f t="shared" si="5"/>
        <v>1</v>
      </c>
    </row>
    <row r="355" spans="1:13" x14ac:dyDescent="0.25">
      <c r="A355" s="69" t="s">
        <v>2167</v>
      </c>
      <c r="B355" s="70">
        <v>44000010</v>
      </c>
      <c r="C355" s="69" t="s">
        <v>28</v>
      </c>
      <c r="D355" s="71" t="s">
        <v>2387</v>
      </c>
      <c r="E355" s="69" t="s">
        <v>2388</v>
      </c>
      <c r="F355" s="69">
        <v>30</v>
      </c>
      <c r="G355" s="69"/>
      <c r="H355" s="69" t="s">
        <v>2399</v>
      </c>
      <c r="I355" s="69" t="s">
        <v>2394</v>
      </c>
      <c r="J355" s="69" t="s">
        <v>2394</v>
      </c>
      <c r="K355" s="69"/>
      <c r="L355" s="72" t="s">
        <v>2387</v>
      </c>
      <c r="M355" s="72" t="b">
        <f t="shared" si="5"/>
        <v>1</v>
      </c>
    </row>
    <row r="356" spans="1:13" x14ac:dyDescent="0.25">
      <c r="A356" s="69" t="s">
        <v>503</v>
      </c>
      <c r="B356" s="70">
        <v>44000010</v>
      </c>
      <c r="C356" s="69" t="s">
        <v>28</v>
      </c>
      <c r="D356" s="71" t="s">
        <v>2387</v>
      </c>
      <c r="E356" s="69" t="s">
        <v>2388</v>
      </c>
      <c r="F356" s="69">
        <v>30</v>
      </c>
      <c r="G356" s="69">
        <v>60</v>
      </c>
      <c r="H356" s="69" t="s">
        <v>2399</v>
      </c>
      <c r="I356" s="69" t="s">
        <v>2471</v>
      </c>
      <c r="J356" s="69" t="s">
        <v>2415</v>
      </c>
      <c r="K356" s="69"/>
      <c r="L356" s="72" t="s">
        <v>2387</v>
      </c>
      <c r="M356" s="72" t="b">
        <f t="shared" si="5"/>
        <v>1</v>
      </c>
    </row>
    <row r="357" spans="1:13" x14ac:dyDescent="0.25">
      <c r="A357" s="69" t="s">
        <v>500</v>
      </c>
      <c r="B357" s="70">
        <v>44000010</v>
      </c>
      <c r="C357" s="69" t="s">
        <v>28</v>
      </c>
      <c r="D357" s="71" t="s">
        <v>2387</v>
      </c>
      <c r="E357" s="69" t="s">
        <v>2388</v>
      </c>
      <c r="F357" s="69">
        <v>30</v>
      </c>
      <c r="G357" s="69">
        <v>60</v>
      </c>
      <c r="H357" s="69" t="s">
        <v>2399</v>
      </c>
      <c r="I357" s="69" t="s">
        <v>2471</v>
      </c>
      <c r="J357" s="69" t="s">
        <v>2415</v>
      </c>
      <c r="K357" s="69"/>
      <c r="L357" s="72" t="s">
        <v>2387</v>
      </c>
      <c r="M357" s="72" t="b">
        <f t="shared" si="5"/>
        <v>1</v>
      </c>
    </row>
    <row r="358" spans="1:13" x14ac:dyDescent="0.25">
      <c r="A358" s="69" t="s">
        <v>497</v>
      </c>
      <c r="B358" s="70">
        <v>44000010</v>
      </c>
      <c r="C358" s="69" t="s">
        <v>28</v>
      </c>
      <c r="D358" s="71" t="s">
        <v>2387</v>
      </c>
      <c r="E358" s="69" t="s">
        <v>2388</v>
      </c>
      <c r="F358" s="69">
        <v>30</v>
      </c>
      <c r="G358" s="69">
        <v>60</v>
      </c>
      <c r="H358" s="69" t="s">
        <v>2399</v>
      </c>
      <c r="I358" s="69" t="s">
        <v>2471</v>
      </c>
      <c r="J358" s="69" t="s">
        <v>2415</v>
      </c>
      <c r="K358" s="69"/>
      <c r="L358" s="72" t="s">
        <v>2387</v>
      </c>
      <c r="M358" s="72" t="b">
        <f t="shared" si="5"/>
        <v>1</v>
      </c>
    </row>
    <row r="359" spans="1:13" x14ac:dyDescent="0.25">
      <c r="A359" s="69" t="s">
        <v>495</v>
      </c>
      <c r="B359" s="70">
        <v>44000010</v>
      </c>
      <c r="C359" s="69" t="s">
        <v>28</v>
      </c>
      <c r="D359" s="71" t="s">
        <v>2387</v>
      </c>
      <c r="E359" s="69" t="s">
        <v>2388</v>
      </c>
      <c r="F359" s="69">
        <v>30</v>
      </c>
      <c r="G359" s="69">
        <v>60</v>
      </c>
      <c r="H359" s="69" t="s">
        <v>2399</v>
      </c>
      <c r="I359" s="69" t="s">
        <v>2471</v>
      </c>
      <c r="J359" s="69" t="s">
        <v>2415</v>
      </c>
      <c r="K359" s="69"/>
      <c r="L359" s="72" t="s">
        <v>2387</v>
      </c>
      <c r="M359" s="72" t="b">
        <f t="shared" si="5"/>
        <v>1</v>
      </c>
    </row>
    <row r="360" spans="1:13" x14ac:dyDescent="0.25">
      <c r="A360" s="69" t="s">
        <v>493</v>
      </c>
      <c r="B360" s="70">
        <v>44000010</v>
      </c>
      <c r="C360" s="69" t="s">
        <v>28</v>
      </c>
      <c r="D360" s="71" t="s">
        <v>2387</v>
      </c>
      <c r="E360" s="69" t="s">
        <v>2388</v>
      </c>
      <c r="F360" s="69">
        <v>30</v>
      </c>
      <c r="G360" s="69">
        <v>60</v>
      </c>
      <c r="H360" s="69" t="s">
        <v>2399</v>
      </c>
      <c r="I360" s="69" t="s">
        <v>2471</v>
      </c>
      <c r="J360" s="69" t="s">
        <v>2415</v>
      </c>
      <c r="K360" s="69"/>
      <c r="L360" s="72" t="s">
        <v>2387</v>
      </c>
      <c r="M360" s="72" t="b">
        <f t="shared" si="5"/>
        <v>1</v>
      </c>
    </row>
    <row r="361" spans="1:13" x14ac:dyDescent="0.25">
      <c r="A361" s="69" t="s">
        <v>490</v>
      </c>
      <c r="B361" s="70">
        <v>44000010</v>
      </c>
      <c r="C361" s="69" t="s">
        <v>28</v>
      </c>
      <c r="D361" s="71" t="s">
        <v>2387</v>
      </c>
      <c r="E361" s="69" t="s">
        <v>2388</v>
      </c>
      <c r="F361" s="69">
        <v>30</v>
      </c>
      <c r="G361" s="69">
        <v>60</v>
      </c>
      <c r="H361" s="69" t="s">
        <v>2399</v>
      </c>
      <c r="I361" s="69" t="s">
        <v>2471</v>
      </c>
      <c r="J361" s="69" t="s">
        <v>2415</v>
      </c>
      <c r="K361" s="69"/>
      <c r="L361" s="72" t="s">
        <v>2387</v>
      </c>
      <c r="M361" s="72" t="b">
        <f t="shared" si="5"/>
        <v>1</v>
      </c>
    </row>
    <row r="362" spans="1:13" x14ac:dyDescent="0.25">
      <c r="A362" s="69" t="s">
        <v>1599</v>
      </c>
      <c r="B362" s="70">
        <v>44000010</v>
      </c>
      <c r="C362" s="69" t="s">
        <v>28</v>
      </c>
      <c r="D362" s="71" t="s">
        <v>2387</v>
      </c>
      <c r="E362" s="69" t="s">
        <v>2388</v>
      </c>
      <c r="F362" s="69">
        <v>30</v>
      </c>
      <c r="G362" s="69">
        <v>60</v>
      </c>
      <c r="H362" s="69" t="s">
        <v>2399</v>
      </c>
      <c r="I362" s="69" t="s">
        <v>2471</v>
      </c>
      <c r="J362" s="69" t="s">
        <v>2415</v>
      </c>
      <c r="K362" s="69"/>
      <c r="L362" s="72" t="s">
        <v>2387</v>
      </c>
      <c r="M362" s="72" t="b">
        <f t="shared" si="5"/>
        <v>1</v>
      </c>
    </row>
    <row r="363" spans="1:13" x14ac:dyDescent="0.25">
      <c r="A363" s="69" t="s">
        <v>485</v>
      </c>
      <c r="B363" s="70">
        <v>44000010</v>
      </c>
      <c r="C363" s="69" t="s">
        <v>28</v>
      </c>
      <c r="D363" s="71" t="s">
        <v>2387</v>
      </c>
      <c r="E363" s="69" t="s">
        <v>2388</v>
      </c>
      <c r="F363" s="69">
        <v>30</v>
      </c>
      <c r="G363" s="69">
        <v>60</v>
      </c>
      <c r="H363" s="69" t="s">
        <v>2399</v>
      </c>
      <c r="I363" s="69" t="s">
        <v>2471</v>
      </c>
      <c r="J363" s="69" t="s">
        <v>2424</v>
      </c>
      <c r="K363" s="69"/>
      <c r="L363" s="72" t="s">
        <v>2387</v>
      </c>
      <c r="M363" s="72" t="b">
        <f t="shared" si="5"/>
        <v>1</v>
      </c>
    </row>
    <row r="364" spans="1:13" x14ac:dyDescent="0.25">
      <c r="A364" s="69" t="s">
        <v>483</v>
      </c>
      <c r="B364" s="70">
        <v>44000010</v>
      </c>
      <c r="C364" s="69" t="s">
        <v>28</v>
      </c>
      <c r="D364" s="71" t="s">
        <v>2387</v>
      </c>
      <c r="E364" s="69" t="s">
        <v>2388</v>
      </c>
      <c r="F364" s="69">
        <v>30</v>
      </c>
      <c r="G364" s="69">
        <v>60</v>
      </c>
      <c r="H364" s="69" t="s">
        <v>2399</v>
      </c>
      <c r="I364" s="69" t="s">
        <v>2471</v>
      </c>
      <c r="J364" s="69" t="s">
        <v>2415</v>
      </c>
      <c r="K364" s="69"/>
      <c r="L364" s="72" t="s">
        <v>2387</v>
      </c>
      <c r="M364" s="72" t="b">
        <f t="shared" si="5"/>
        <v>1</v>
      </c>
    </row>
    <row r="365" spans="1:13" x14ac:dyDescent="0.25">
      <c r="A365" s="69" t="s">
        <v>1590</v>
      </c>
      <c r="B365" s="70">
        <v>44000010</v>
      </c>
      <c r="C365" s="69" t="s">
        <v>28</v>
      </c>
      <c r="D365" s="71" t="s">
        <v>2387</v>
      </c>
      <c r="E365" s="69" t="s">
        <v>2388</v>
      </c>
      <c r="F365" s="69">
        <v>30</v>
      </c>
      <c r="G365" s="69">
        <v>60</v>
      </c>
      <c r="H365" s="69" t="s">
        <v>2399</v>
      </c>
      <c r="I365" s="69" t="s">
        <v>2471</v>
      </c>
      <c r="J365" s="69" t="s">
        <v>2415</v>
      </c>
      <c r="K365" s="69"/>
      <c r="L365" s="72" t="s">
        <v>2387</v>
      </c>
      <c r="M365" s="72" t="b">
        <f t="shared" si="5"/>
        <v>1</v>
      </c>
    </row>
    <row r="366" spans="1:13" x14ac:dyDescent="0.25">
      <c r="A366" s="69" t="s">
        <v>1587</v>
      </c>
      <c r="B366" s="70">
        <v>44000010</v>
      </c>
      <c r="C366" s="69" t="s">
        <v>28</v>
      </c>
      <c r="D366" s="71" t="s">
        <v>2387</v>
      </c>
      <c r="E366" s="69" t="s">
        <v>2388</v>
      </c>
      <c r="F366" s="69">
        <v>30</v>
      </c>
      <c r="G366" s="69">
        <v>60</v>
      </c>
      <c r="H366" s="69" t="s">
        <v>2399</v>
      </c>
      <c r="I366" s="69" t="s">
        <v>2471</v>
      </c>
      <c r="J366" s="69" t="s">
        <v>2415</v>
      </c>
      <c r="K366" s="69"/>
      <c r="L366" s="72" t="s">
        <v>2387</v>
      </c>
      <c r="M366" s="72" t="b">
        <f t="shared" si="5"/>
        <v>1</v>
      </c>
    </row>
    <row r="367" spans="1:13" x14ac:dyDescent="0.25">
      <c r="A367" s="69" t="s">
        <v>478</v>
      </c>
      <c r="B367" s="70">
        <v>44000010</v>
      </c>
      <c r="C367" s="69" t="s">
        <v>28</v>
      </c>
      <c r="D367" s="71" t="s">
        <v>2387</v>
      </c>
      <c r="E367" s="69" t="s">
        <v>2388</v>
      </c>
      <c r="F367" s="69">
        <v>30</v>
      </c>
      <c r="G367" s="69">
        <v>60</v>
      </c>
      <c r="H367" s="69" t="s">
        <v>2399</v>
      </c>
      <c r="I367" s="69" t="s">
        <v>2471</v>
      </c>
      <c r="J367" s="69" t="s">
        <v>2424</v>
      </c>
      <c r="K367" s="69"/>
      <c r="L367" s="72" t="s">
        <v>2387</v>
      </c>
      <c r="M367" s="72" t="b">
        <f t="shared" si="5"/>
        <v>1</v>
      </c>
    </row>
    <row r="368" spans="1:13" x14ac:dyDescent="0.25">
      <c r="A368" s="69" t="s">
        <v>474</v>
      </c>
      <c r="B368" s="70">
        <v>44000010</v>
      </c>
      <c r="C368" s="69" t="s">
        <v>28</v>
      </c>
      <c r="D368" s="71" t="s">
        <v>2387</v>
      </c>
      <c r="E368" s="69" t="s">
        <v>2388</v>
      </c>
      <c r="F368" s="69">
        <v>30</v>
      </c>
      <c r="G368" s="69">
        <v>60</v>
      </c>
      <c r="H368" s="69" t="s">
        <v>2399</v>
      </c>
      <c r="I368" s="69" t="s">
        <v>2471</v>
      </c>
      <c r="J368" s="69" t="s">
        <v>2415</v>
      </c>
      <c r="K368" s="69"/>
      <c r="L368" s="72" t="s">
        <v>2387</v>
      </c>
      <c r="M368" s="72" t="b">
        <f t="shared" si="5"/>
        <v>1</v>
      </c>
    </row>
    <row r="369" spans="1:13" x14ac:dyDescent="0.25">
      <c r="A369" s="69" t="s">
        <v>471</v>
      </c>
      <c r="B369" s="70">
        <v>44000010</v>
      </c>
      <c r="C369" s="69" t="s">
        <v>28</v>
      </c>
      <c r="D369" s="71" t="s">
        <v>2387</v>
      </c>
      <c r="E369" s="69" t="s">
        <v>2388</v>
      </c>
      <c r="F369" s="69">
        <v>30</v>
      </c>
      <c r="G369" s="69">
        <v>60</v>
      </c>
      <c r="H369" s="69" t="s">
        <v>2399</v>
      </c>
      <c r="I369" s="69" t="s">
        <v>2471</v>
      </c>
      <c r="J369" s="69" t="s">
        <v>2415</v>
      </c>
      <c r="K369" s="69"/>
      <c r="L369" s="72" t="s">
        <v>2387</v>
      </c>
      <c r="M369" s="72" t="b">
        <f t="shared" si="5"/>
        <v>1</v>
      </c>
    </row>
    <row r="370" spans="1:13" x14ac:dyDescent="0.25">
      <c r="A370" s="69" t="s">
        <v>469</v>
      </c>
      <c r="B370" s="70">
        <v>44000010</v>
      </c>
      <c r="C370" s="69" t="s">
        <v>28</v>
      </c>
      <c r="D370" s="71" t="s">
        <v>2387</v>
      </c>
      <c r="E370" s="69" t="s">
        <v>2388</v>
      </c>
      <c r="F370" s="69">
        <v>30</v>
      </c>
      <c r="G370" s="69">
        <v>60</v>
      </c>
      <c r="H370" s="69" t="s">
        <v>2399</v>
      </c>
      <c r="I370" s="69" t="s">
        <v>2471</v>
      </c>
      <c r="J370" s="69" t="s">
        <v>2415</v>
      </c>
      <c r="K370" s="69"/>
      <c r="L370" s="72" t="s">
        <v>2387</v>
      </c>
      <c r="M370" s="72" t="b">
        <f t="shared" si="5"/>
        <v>1</v>
      </c>
    </row>
    <row r="371" spans="1:13" x14ac:dyDescent="0.25">
      <c r="A371" s="69" t="s">
        <v>466</v>
      </c>
      <c r="B371" s="70">
        <v>44000010</v>
      </c>
      <c r="C371" s="69" t="s">
        <v>28</v>
      </c>
      <c r="D371" s="71" t="s">
        <v>2387</v>
      </c>
      <c r="E371" s="69" t="s">
        <v>2388</v>
      </c>
      <c r="F371" s="69">
        <v>30</v>
      </c>
      <c r="G371" s="69">
        <v>60</v>
      </c>
      <c r="H371" s="69" t="s">
        <v>2399</v>
      </c>
      <c r="I371" s="69" t="s">
        <v>2471</v>
      </c>
      <c r="J371" s="69" t="s">
        <v>2415</v>
      </c>
      <c r="K371" s="69"/>
      <c r="L371" s="72" t="s">
        <v>2387</v>
      </c>
      <c r="M371" s="72" t="b">
        <f t="shared" si="5"/>
        <v>1</v>
      </c>
    </row>
    <row r="372" spans="1:13" x14ac:dyDescent="0.25">
      <c r="A372" s="69" t="s">
        <v>464</v>
      </c>
      <c r="B372" s="70">
        <v>44000010</v>
      </c>
      <c r="C372" s="69" t="s">
        <v>28</v>
      </c>
      <c r="D372" s="71" t="s">
        <v>2387</v>
      </c>
      <c r="E372" s="69" t="s">
        <v>2388</v>
      </c>
      <c r="F372" s="69">
        <v>30</v>
      </c>
      <c r="G372" s="69">
        <v>60</v>
      </c>
      <c r="H372" s="69" t="s">
        <v>2399</v>
      </c>
      <c r="I372" s="69" t="s">
        <v>2471</v>
      </c>
      <c r="J372" s="69" t="s">
        <v>2415</v>
      </c>
      <c r="K372" s="69"/>
      <c r="L372" s="72" t="s">
        <v>2387</v>
      </c>
      <c r="M372" s="72" t="b">
        <f t="shared" si="5"/>
        <v>1</v>
      </c>
    </row>
    <row r="373" spans="1:13" x14ac:dyDescent="0.25">
      <c r="A373" s="69" t="s">
        <v>1579</v>
      </c>
      <c r="B373" s="70">
        <v>44000010</v>
      </c>
      <c r="C373" s="69" t="s">
        <v>28</v>
      </c>
      <c r="D373" s="71" t="s">
        <v>2387</v>
      </c>
      <c r="E373" s="69" t="s">
        <v>2388</v>
      </c>
      <c r="F373" s="69">
        <v>30</v>
      </c>
      <c r="G373" s="69">
        <v>60</v>
      </c>
      <c r="H373" s="69" t="s">
        <v>2399</v>
      </c>
      <c r="I373" s="69" t="s">
        <v>2471</v>
      </c>
      <c r="J373" s="69" t="s">
        <v>2415</v>
      </c>
      <c r="K373" s="69"/>
      <c r="L373" s="72" t="s">
        <v>2387</v>
      </c>
      <c r="M373" s="72" t="b">
        <f t="shared" si="5"/>
        <v>1</v>
      </c>
    </row>
    <row r="374" spans="1:13" x14ac:dyDescent="0.25">
      <c r="A374" s="69" t="s">
        <v>462</v>
      </c>
      <c r="B374" s="70">
        <v>44000010</v>
      </c>
      <c r="C374" s="69" t="s">
        <v>28</v>
      </c>
      <c r="D374" s="71" t="s">
        <v>2387</v>
      </c>
      <c r="E374" s="69" t="s">
        <v>2388</v>
      </c>
      <c r="F374" s="69">
        <v>30</v>
      </c>
      <c r="G374" s="69">
        <v>60</v>
      </c>
      <c r="H374" s="69" t="s">
        <v>2399</v>
      </c>
      <c r="I374" s="69" t="s">
        <v>2471</v>
      </c>
      <c r="J374" s="69" t="s">
        <v>2415</v>
      </c>
      <c r="K374" s="69"/>
      <c r="L374" s="72" t="s">
        <v>2387</v>
      </c>
      <c r="M374" s="72" t="b">
        <f t="shared" si="5"/>
        <v>1</v>
      </c>
    </row>
    <row r="375" spans="1:13" x14ac:dyDescent="0.25">
      <c r="A375" s="69" t="s">
        <v>460</v>
      </c>
      <c r="B375" s="70">
        <v>44000010</v>
      </c>
      <c r="C375" s="69" t="s">
        <v>28</v>
      </c>
      <c r="D375" s="71" t="s">
        <v>2387</v>
      </c>
      <c r="E375" s="69" t="s">
        <v>2388</v>
      </c>
      <c r="F375" s="69">
        <v>30</v>
      </c>
      <c r="G375" s="69">
        <v>60</v>
      </c>
      <c r="H375" s="69" t="s">
        <v>2399</v>
      </c>
      <c r="I375" s="69" t="s">
        <v>2471</v>
      </c>
      <c r="J375" s="69" t="s">
        <v>2415</v>
      </c>
      <c r="K375" s="69"/>
      <c r="L375" s="72" t="s">
        <v>2387</v>
      </c>
      <c r="M375" s="72" t="b">
        <f t="shared" si="5"/>
        <v>1</v>
      </c>
    </row>
    <row r="376" spans="1:13" x14ac:dyDescent="0.25">
      <c r="A376" s="69" t="s">
        <v>457</v>
      </c>
      <c r="B376" s="70">
        <v>44000010</v>
      </c>
      <c r="C376" s="69" t="s">
        <v>28</v>
      </c>
      <c r="D376" s="71" t="s">
        <v>2387</v>
      </c>
      <c r="E376" s="69" t="s">
        <v>2388</v>
      </c>
      <c r="F376" s="69">
        <v>30</v>
      </c>
      <c r="G376" s="69">
        <v>60</v>
      </c>
      <c r="H376" s="69" t="s">
        <v>2399</v>
      </c>
      <c r="I376" s="69" t="s">
        <v>2471</v>
      </c>
      <c r="J376" s="69" t="s">
        <v>2415</v>
      </c>
      <c r="K376" s="69"/>
      <c r="L376" s="72" t="s">
        <v>2387</v>
      </c>
      <c r="M376" s="72" t="b">
        <f t="shared" si="5"/>
        <v>1</v>
      </c>
    </row>
    <row r="377" spans="1:13" x14ac:dyDescent="0.25">
      <c r="A377" s="69" t="s">
        <v>455</v>
      </c>
      <c r="B377" s="70">
        <v>44000010</v>
      </c>
      <c r="C377" s="69" t="s">
        <v>28</v>
      </c>
      <c r="D377" s="71" t="s">
        <v>2387</v>
      </c>
      <c r="E377" s="69" t="s">
        <v>2388</v>
      </c>
      <c r="F377" s="69">
        <v>30</v>
      </c>
      <c r="G377" s="69">
        <v>60</v>
      </c>
      <c r="H377" s="69" t="s">
        <v>2399</v>
      </c>
      <c r="I377" s="69" t="s">
        <v>2471</v>
      </c>
      <c r="J377" s="69" t="s">
        <v>2415</v>
      </c>
      <c r="K377" s="69"/>
      <c r="L377" s="72" t="s">
        <v>2387</v>
      </c>
      <c r="M377" s="72" t="b">
        <f t="shared" si="5"/>
        <v>1</v>
      </c>
    </row>
    <row r="378" spans="1:13" x14ac:dyDescent="0.25">
      <c r="A378" s="69" t="s">
        <v>2473</v>
      </c>
      <c r="B378" s="70">
        <v>44000010</v>
      </c>
      <c r="C378" s="69" t="s">
        <v>28</v>
      </c>
      <c r="D378" s="71" t="s">
        <v>2387</v>
      </c>
      <c r="E378" s="69" t="s">
        <v>2388</v>
      </c>
      <c r="F378" s="69">
        <v>30</v>
      </c>
      <c r="G378" s="69">
        <v>90</v>
      </c>
      <c r="H378" s="69" t="s">
        <v>2412</v>
      </c>
      <c r="I378" s="69" t="s">
        <v>2410</v>
      </c>
      <c r="J378" s="69" t="s">
        <v>2401</v>
      </c>
      <c r="K378" s="69"/>
      <c r="L378" s="72" t="s">
        <v>2387</v>
      </c>
      <c r="M378" s="72" t="b">
        <f t="shared" si="5"/>
        <v>1</v>
      </c>
    </row>
    <row r="379" spans="1:13" x14ac:dyDescent="0.25">
      <c r="A379" s="69" t="s">
        <v>446</v>
      </c>
      <c r="B379" s="70">
        <v>44000010</v>
      </c>
      <c r="C379" s="69" t="s">
        <v>28</v>
      </c>
      <c r="D379" s="71" t="s">
        <v>2387</v>
      </c>
      <c r="E379" s="69" t="s">
        <v>2388</v>
      </c>
      <c r="F379" s="69">
        <v>30</v>
      </c>
      <c r="G379" s="69">
        <v>60</v>
      </c>
      <c r="H379" s="69" t="s">
        <v>2399</v>
      </c>
      <c r="I379" s="69" t="s">
        <v>2471</v>
      </c>
      <c r="J379" s="69" t="s">
        <v>2415</v>
      </c>
      <c r="K379" s="69"/>
      <c r="L379" s="72" t="s">
        <v>2387</v>
      </c>
      <c r="M379" s="72" t="b">
        <f t="shared" si="5"/>
        <v>1</v>
      </c>
    </row>
    <row r="380" spans="1:13" x14ac:dyDescent="0.25">
      <c r="A380" s="69" t="s">
        <v>1537</v>
      </c>
      <c r="B380" s="70">
        <v>44000010</v>
      </c>
      <c r="C380" s="69" t="s">
        <v>28</v>
      </c>
      <c r="D380" s="71" t="s">
        <v>2387</v>
      </c>
      <c r="E380" s="69" t="s">
        <v>2388</v>
      </c>
      <c r="F380" s="69">
        <v>30</v>
      </c>
      <c r="G380" s="69"/>
      <c r="H380" s="69" t="s">
        <v>2412</v>
      </c>
      <c r="I380" s="69" t="s">
        <v>2410</v>
      </c>
      <c r="J380" s="69" t="s">
        <v>2401</v>
      </c>
      <c r="K380" s="69" t="s">
        <v>3030</v>
      </c>
      <c r="L380" s="72" t="s">
        <v>2387</v>
      </c>
      <c r="M380" s="72" t="b">
        <f t="shared" si="5"/>
        <v>1</v>
      </c>
    </row>
    <row r="381" spans="1:13" x14ac:dyDescent="0.25">
      <c r="A381" s="69" t="s">
        <v>2073</v>
      </c>
      <c r="B381" s="70">
        <v>44000010</v>
      </c>
      <c r="C381" s="69" t="s">
        <v>28</v>
      </c>
      <c r="D381" s="71" t="s">
        <v>2387</v>
      </c>
      <c r="E381" s="69" t="s">
        <v>2388</v>
      </c>
      <c r="F381" s="69">
        <v>30</v>
      </c>
      <c r="G381" s="69"/>
      <c r="H381" s="69" t="s">
        <v>2399</v>
      </c>
      <c r="I381" s="69" t="s">
        <v>2394</v>
      </c>
      <c r="J381" s="69" t="s">
        <v>2394</v>
      </c>
      <c r="K381" s="69"/>
      <c r="L381" s="72" t="s">
        <v>2387</v>
      </c>
      <c r="M381" s="72" t="b">
        <f t="shared" si="5"/>
        <v>1</v>
      </c>
    </row>
    <row r="382" spans="1:13" x14ac:dyDescent="0.25">
      <c r="A382" s="69" t="s">
        <v>2474</v>
      </c>
      <c r="B382" s="70">
        <v>44000010</v>
      </c>
      <c r="C382" s="69" t="s">
        <v>28</v>
      </c>
      <c r="D382" s="71" t="s">
        <v>2387</v>
      </c>
      <c r="E382" s="69" t="s">
        <v>2388</v>
      </c>
      <c r="F382" s="69">
        <v>30</v>
      </c>
      <c r="G382" s="69">
        <v>90</v>
      </c>
      <c r="H382" s="69" t="s">
        <v>2412</v>
      </c>
      <c r="I382" s="69" t="s">
        <v>2410</v>
      </c>
      <c r="J382" s="69" t="s">
        <v>2401</v>
      </c>
      <c r="K382" s="69"/>
      <c r="L382" s="72" t="s">
        <v>2387</v>
      </c>
      <c r="M382" s="72" t="b">
        <f t="shared" si="5"/>
        <v>1</v>
      </c>
    </row>
    <row r="383" spans="1:13" x14ac:dyDescent="0.25">
      <c r="A383" s="69" t="s">
        <v>443</v>
      </c>
      <c r="B383" s="70">
        <v>44000010</v>
      </c>
      <c r="C383" s="69" t="s">
        <v>28</v>
      </c>
      <c r="D383" s="71" t="s">
        <v>2387</v>
      </c>
      <c r="E383" s="69" t="s">
        <v>2388</v>
      </c>
      <c r="F383" s="69">
        <v>30</v>
      </c>
      <c r="G383" s="69">
        <v>60</v>
      </c>
      <c r="H383" s="69" t="s">
        <v>2399</v>
      </c>
      <c r="I383" s="69" t="s">
        <v>2471</v>
      </c>
      <c r="J383" s="69" t="s">
        <v>2415</v>
      </c>
      <c r="K383" s="69"/>
      <c r="L383" s="72" t="s">
        <v>2387</v>
      </c>
      <c r="M383" s="72" t="b">
        <f t="shared" si="5"/>
        <v>1</v>
      </c>
    </row>
    <row r="384" spans="1:13" x14ac:dyDescent="0.25">
      <c r="A384" s="69" t="s">
        <v>440</v>
      </c>
      <c r="B384" s="70">
        <v>44000010</v>
      </c>
      <c r="C384" s="69" t="s">
        <v>28</v>
      </c>
      <c r="D384" s="71" t="s">
        <v>2387</v>
      </c>
      <c r="E384" s="69" t="s">
        <v>2388</v>
      </c>
      <c r="F384" s="69">
        <v>30</v>
      </c>
      <c r="G384" s="69">
        <v>60</v>
      </c>
      <c r="H384" s="69" t="s">
        <v>2399</v>
      </c>
      <c r="I384" s="69" t="s">
        <v>2471</v>
      </c>
      <c r="J384" s="69" t="s">
        <v>2415</v>
      </c>
      <c r="K384" s="69"/>
      <c r="L384" s="72" t="s">
        <v>2387</v>
      </c>
      <c r="M384" s="72" t="b">
        <f t="shared" si="5"/>
        <v>1</v>
      </c>
    </row>
    <row r="385" spans="1:13" x14ac:dyDescent="0.25">
      <c r="A385" s="69" t="s">
        <v>438</v>
      </c>
      <c r="B385" s="70">
        <v>44000010</v>
      </c>
      <c r="C385" s="69" t="s">
        <v>28</v>
      </c>
      <c r="D385" s="71" t="s">
        <v>2387</v>
      </c>
      <c r="E385" s="69" t="s">
        <v>2388</v>
      </c>
      <c r="F385" s="69">
        <v>30</v>
      </c>
      <c r="G385" s="69">
        <v>60</v>
      </c>
      <c r="H385" s="69" t="s">
        <v>2399</v>
      </c>
      <c r="I385" s="69" t="s">
        <v>2471</v>
      </c>
      <c r="J385" s="69" t="s">
        <v>2415</v>
      </c>
      <c r="K385" s="69"/>
      <c r="L385" s="72" t="s">
        <v>2387</v>
      </c>
      <c r="M385" s="72" t="b">
        <f t="shared" si="5"/>
        <v>1</v>
      </c>
    </row>
    <row r="386" spans="1:13" x14ac:dyDescent="0.25">
      <c r="A386" s="69" t="s">
        <v>2344</v>
      </c>
      <c r="B386" s="70">
        <v>8922</v>
      </c>
      <c r="C386" s="69" t="s">
        <v>2475</v>
      </c>
      <c r="D386" s="71" t="s">
        <v>2387</v>
      </c>
      <c r="E386" s="69" t="s">
        <v>2476</v>
      </c>
      <c r="F386" s="69">
        <v>60</v>
      </c>
      <c r="G386" s="69">
        <v>180</v>
      </c>
      <c r="H386" s="69" t="s">
        <v>2399</v>
      </c>
      <c r="I386" s="69" t="s">
        <v>2456</v>
      </c>
      <c r="J386" s="69" t="s">
        <v>3027</v>
      </c>
      <c r="K386" s="69" t="s">
        <v>3025</v>
      </c>
      <c r="L386" s="72" t="s">
        <v>2387</v>
      </c>
      <c r="M386" s="72" t="b">
        <f t="shared" ref="M386:M449" si="6">L386=D386</f>
        <v>1</v>
      </c>
    </row>
    <row r="387" spans="1:13" x14ac:dyDescent="0.25">
      <c r="A387" s="69" t="s">
        <v>2336</v>
      </c>
      <c r="B387" s="70">
        <v>8922</v>
      </c>
      <c r="C387" s="69" t="s">
        <v>2475</v>
      </c>
      <c r="D387" s="71" t="s">
        <v>2387</v>
      </c>
      <c r="E387" s="69" t="s">
        <v>2476</v>
      </c>
      <c r="F387" s="69">
        <v>60</v>
      </c>
      <c r="G387" s="69">
        <v>180</v>
      </c>
      <c r="H387" s="69" t="s">
        <v>2399</v>
      </c>
      <c r="I387" s="69" t="s">
        <v>2456</v>
      </c>
      <c r="J387" s="69" t="s">
        <v>3027</v>
      </c>
      <c r="K387" s="69" t="s">
        <v>3025</v>
      </c>
      <c r="L387" s="72" t="s">
        <v>2387</v>
      </c>
      <c r="M387" s="72" t="b">
        <f t="shared" si="6"/>
        <v>1</v>
      </c>
    </row>
    <row r="388" spans="1:13" x14ac:dyDescent="0.25">
      <c r="A388" s="69" t="s">
        <v>2345</v>
      </c>
      <c r="B388" s="70">
        <v>8922</v>
      </c>
      <c r="C388" s="69" t="s">
        <v>2475</v>
      </c>
      <c r="D388" s="71" t="s">
        <v>2387</v>
      </c>
      <c r="E388" s="69" t="s">
        <v>2476</v>
      </c>
      <c r="F388" s="69">
        <v>60</v>
      </c>
      <c r="G388" s="69">
        <v>180</v>
      </c>
      <c r="H388" s="69" t="s">
        <v>2399</v>
      </c>
      <c r="I388" s="69" t="s">
        <v>2456</v>
      </c>
      <c r="J388" s="69" t="s">
        <v>3027</v>
      </c>
      <c r="K388" s="69" t="s">
        <v>3025</v>
      </c>
      <c r="L388" s="72" t="s">
        <v>2387</v>
      </c>
      <c r="M388" s="72" t="b">
        <f t="shared" si="6"/>
        <v>1</v>
      </c>
    </row>
    <row r="389" spans="1:13" x14ac:dyDescent="0.25">
      <c r="A389" s="69" t="s">
        <v>2346</v>
      </c>
      <c r="B389" s="70">
        <v>8922</v>
      </c>
      <c r="C389" s="69" t="s">
        <v>2475</v>
      </c>
      <c r="D389" s="71" t="s">
        <v>2387</v>
      </c>
      <c r="E389" s="69" t="s">
        <v>2476</v>
      </c>
      <c r="F389" s="69">
        <v>60</v>
      </c>
      <c r="G389" s="69">
        <v>180</v>
      </c>
      <c r="H389" s="69" t="s">
        <v>2399</v>
      </c>
      <c r="I389" s="69" t="s">
        <v>2456</v>
      </c>
      <c r="J389" s="69" t="s">
        <v>3027</v>
      </c>
      <c r="K389" s="69" t="s">
        <v>3025</v>
      </c>
      <c r="L389" s="72" t="s">
        <v>2387</v>
      </c>
      <c r="M389" s="72" t="b">
        <f t="shared" si="6"/>
        <v>1</v>
      </c>
    </row>
    <row r="390" spans="1:13" x14ac:dyDescent="0.25">
      <c r="A390" s="69" t="s">
        <v>2358</v>
      </c>
      <c r="B390" s="70">
        <v>8922</v>
      </c>
      <c r="C390" s="69" t="s">
        <v>2475</v>
      </c>
      <c r="D390" s="71" t="s">
        <v>2387</v>
      </c>
      <c r="E390" s="69" t="s">
        <v>2476</v>
      </c>
      <c r="F390" s="69">
        <v>60</v>
      </c>
      <c r="G390" s="69">
        <v>180</v>
      </c>
      <c r="H390" s="69" t="s">
        <v>2399</v>
      </c>
      <c r="I390" s="69" t="s">
        <v>2456</v>
      </c>
      <c r="J390" s="69" t="s">
        <v>3027</v>
      </c>
      <c r="K390" s="69" t="s">
        <v>3025</v>
      </c>
      <c r="L390" s="72" t="s">
        <v>2387</v>
      </c>
      <c r="M390" s="72" t="b">
        <f t="shared" si="6"/>
        <v>1</v>
      </c>
    </row>
    <row r="391" spans="1:13" x14ac:dyDescent="0.25">
      <c r="A391" s="69" t="s">
        <v>2100</v>
      </c>
      <c r="B391" s="70">
        <v>8922</v>
      </c>
      <c r="C391" s="69" t="s">
        <v>2475</v>
      </c>
      <c r="D391" s="71" t="s">
        <v>2387</v>
      </c>
      <c r="E391" s="69" t="s">
        <v>2476</v>
      </c>
      <c r="F391" s="69">
        <v>60</v>
      </c>
      <c r="G391" s="69">
        <v>180</v>
      </c>
      <c r="H391" s="69" t="s">
        <v>2399</v>
      </c>
      <c r="I391" s="69" t="s">
        <v>2456</v>
      </c>
      <c r="J391" s="69" t="s">
        <v>2401</v>
      </c>
      <c r="K391" s="69" t="s">
        <v>3025</v>
      </c>
      <c r="L391" s="72" t="s">
        <v>2387</v>
      </c>
      <c r="M391" s="72" t="b">
        <f t="shared" si="6"/>
        <v>1</v>
      </c>
    </row>
    <row r="392" spans="1:13" x14ac:dyDescent="0.25">
      <c r="A392" s="69" t="s">
        <v>2146</v>
      </c>
      <c r="B392" s="70">
        <v>8922</v>
      </c>
      <c r="C392" s="69" t="s">
        <v>2475</v>
      </c>
      <c r="D392" s="71" t="s">
        <v>2387</v>
      </c>
      <c r="E392" s="69" t="s">
        <v>2476</v>
      </c>
      <c r="F392" s="69">
        <v>60</v>
      </c>
      <c r="G392" s="69">
        <v>180</v>
      </c>
      <c r="H392" s="69" t="s">
        <v>2399</v>
      </c>
      <c r="I392" s="69" t="s">
        <v>2456</v>
      </c>
      <c r="J392" s="69" t="s">
        <v>2401</v>
      </c>
      <c r="K392" s="69" t="s">
        <v>3025</v>
      </c>
      <c r="L392" s="72" t="s">
        <v>2387</v>
      </c>
      <c r="M392" s="72" t="b">
        <f t="shared" si="6"/>
        <v>1</v>
      </c>
    </row>
    <row r="393" spans="1:13" x14ac:dyDescent="0.25">
      <c r="A393" s="69" t="s">
        <v>2102</v>
      </c>
      <c r="B393" s="70">
        <v>8922</v>
      </c>
      <c r="C393" s="69" t="s">
        <v>2475</v>
      </c>
      <c r="D393" s="71" t="s">
        <v>2387</v>
      </c>
      <c r="E393" s="69" t="s">
        <v>2476</v>
      </c>
      <c r="F393" s="69">
        <v>60</v>
      </c>
      <c r="G393" s="69">
        <v>180</v>
      </c>
      <c r="H393" s="69" t="s">
        <v>2399</v>
      </c>
      <c r="I393" s="69" t="s">
        <v>2456</v>
      </c>
      <c r="J393" s="69" t="s">
        <v>2401</v>
      </c>
      <c r="K393" s="69" t="s">
        <v>3025</v>
      </c>
      <c r="L393" s="72" t="s">
        <v>2387</v>
      </c>
      <c r="M393" s="72" t="b">
        <f t="shared" si="6"/>
        <v>1</v>
      </c>
    </row>
    <row r="394" spans="1:13" x14ac:dyDescent="0.25">
      <c r="A394" s="69" t="s">
        <v>2169</v>
      </c>
      <c r="B394" s="70">
        <v>8922</v>
      </c>
      <c r="C394" s="69" t="s">
        <v>2475</v>
      </c>
      <c r="D394" s="71" t="s">
        <v>2387</v>
      </c>
      <c r="E394" s="69" t="s">
        <v>2476</v>
      </c>
      <c r="F394" s="69">
        <v>60</v>
      </c>
      <c r="G394" s="69">
        <v>180</v>
      </c>
      <c r="H394" s="69" t="s">
        <v>2399</v>
      </c>
      <c r="I394" s="69" t="s">
        <v>2456</v>
      </c>
      <c r="J394" s="69" t="s">
        <v>2394</v>
      </c>
      <c r="K394" s="69" t="s">
        <v>3025</v>
      </c>
      <c r="L394" s="72" t="s">
        <v>2387</v>
      </c>
      <c r="M394" s="72" t="b">
        <f t="shared" si="6"/>
        <v>1</v>
      </c>
    </row>
    <row r="395" spans="1:13" x14ac:dyDescent="0.25">
      <c r="A395" s="69" t="s">
        <v>2170</v>
      </c>
      <c r="B395" s="70">
        <v>8922</v>
      </c>
      <c r="C395" s="69" t="s">
        <v>2475</v>
      </c>
      <c r="D395" s="71" t="s">
        <v>2387</v>
      </c>
      <c r="E395" s="69" t="s">
        <v>2476</v>
      </c>
      <c r="F395" s="69">
        <v>60</v>
      </c>
      <c r="G395" s="69">
        <v>180</v>
      </c>
      <c r="H395" s="69" t="s">
        <v>2399</v>
      </c>
      <c r="I395" s="69" t="s">
        <v>2456</v>
      </c>
      <c r="J395" s="69" t="s">
        <v>2394</v>
      </c>
      <c r="K395" s="69" t="s">
        <v>3025</v>
      </c>
      <c r="L395" s="72" t="s">
        <v>2387</v>
      </c>
      <c r="M395" s="72" t="b">
        <f t="shared" si="6"/>
        <v>1</v>
      </c>
    </row>
    <row r="396" spans="1:13" x14ac:dyDescent="0.25">
      <c r="A396" s="69" t="s">
        <v>2208</v>
      </c>
      <c r="B396" s="70">
        <v>8922</v>
      </c>
      <c r="C396" s="69" t="s">
        <v>2475</v>
      </c>
      <c r="D396" s="71" t="s">
        <v>2387</v>
      </c>
      <c r="E396" s="69" t="s">
        <v>2476</v>
      </c>
      <c r="F396" s="69">
        <v>60</v>
      </c>
      <c r="G396" s="69">
        <v>180</v>
      </c>
      <c r="H396" s="69" t="s">
        <v>2399</v>
      </c>
      <c r="I396" s="69" t="s">
        <v>2456</v>
      </c>
      <c r="J396" s="69" t="s">
        <v>2424</v>
      </c>
      <c r="K396" s="69" t="s">
        <v>3025</v>
      </c>
      <c r="L396" s="72" t="s">
        <v>2387</v>
      </c>
      <c r="M396" s="72" t="b">
        <f t="shared" si="6"/>
        <v>1</v>
      </c>
    </row>
    <row r="397" spans="1:13" x14ac:dyDescent="0.25">
      <c r="A397" s="69" t="s">
        <v>847</v>
      </c>
      <c r="B397" s="70">
        <v>8922</v>
      </c>
      <c r="C397" s="69" t="s">
        <v>2475</v>
      </c>
      <c r="D397" s="71" t="s">
        <v>2387</v>
      </c>
      <c r="E397" s="69" t="s">
        <v>2476</v>
      </c>
      <c r="F397" s="69">
        <v>60</v>
      </c>
      <c r="G397" s="69">
        <v>180</v>
      </c>
      <c r="H397" s="69" t="s">
        <v>2399</v>
      </c>
      <c r="I397" s="69" t="s">
        <v>2456</v>
      </c>
      <c r="J397" s="69" t="s">
        <v>2424</v>
      </c>
      <c r="K397" s="69" t="s">
        <v>3025</v>
      </c>
      <c r="L397" s="72" t="s">
        <v>2387</v>
      </c>
      <c r="M397" s="72" t="b">
        <f t="shared" si="6"/>
        <v>1</v>
      </c>
    </row>
    <row r="398" spans="1:13" x14ac:dyDescent="0.25">
      <c r="A398" s="69" t="s">
        <v>844</v>
      </c>
      <c r="B398" s="70">
        <v>8922</v>
      </c>
      <c r="C398" s="69" t="s">
        <v>2475</v>
      </c>
      <c r="D398" s="71" t="s">
        <v>2387</v>
      </c>
      <c r="E398" s="69" t="s">
        <v>2476</v>
      </c>
      <c r="F398" s="69">
        <v>60</v>
      </c>
      <c r="G398" s="69">
        <v>180</v>
      </c>
      <c r="H398" s="69" t="s">
        <v>2399</v>
      </c>
      <c r="I398" s="69" t="s">
        <v>2456</v>
      </c>
      <c r="J398" s="69" t="s">
        <v>2424</v>
      </c>
      <c r="K398" s="69" t="s">
        <v>3025</v>
      </c>
      <c r="L398" s="72" t="s">
        <v>2387</v>
      </c>
      <c r="M398" s="72" t="b">
        <f t="shared" si="6"/>
        <v>1</v>
      </c>
    </row>
    <row r="399" spans="1:13" x14ac:dyDescent="0.25">
      <c r="A399" s="69" t="s">
        <v>841</v>
      </c>
      <c r="B399" s="70">
        <v>8922</v>
      </c>
      <c r="C399" s="69" t="s">
        <v>2475</v>
      </c>
      <c r="D399" s="71" t="s">
        <v>2387</v>
      </c>
      <c r="E399" s="69" t="s">
        <v>2476</v>
      </c>
      <c r="F399" s="69">
        <v>60</v>
      </c>
      <c r="G399" s="69">
        <v>180</v>
      </c>
      <c r="H399" s="69" t="s">
        <v>2399</v>
      </c>
      <c r="I399" s="69" t="s">
        <v>2456</v>
      </c>
      <c r="J399" s="69" t="s">
        <v>2424</v>
      </c>
      <c r="K399" s="69" t="s">
        <v>3025</v>
      </c>
      <c r="L399" s="72" t="s">
        <v>2387</v>
      </c>
      <c r="M399" s="72" t="b">
        <f t="shared" si="6"/>
        <v>1</v>
      </c>
    </row>
    <row r="400" spans="1:13" x14ac:dyDescent="0.25">
      <c r="A400" s="69" t="s">
        <v>826</v>
      </c>
      <c r="B400" s="70">
        <v>8922</v>
      </c>
      <c r="C400" s="69" t="s">
        <v>2475</v>
      </c>
      <c r="D400" s="71" t="s">
        <v>2387</v>
      </c>
      <c r="E400" s="69" t="s">
        <v>2476</v>
      </c>
      <c r="F400" s="69">
        <v>60</v>
      </c>
      <c r="G400" s="69">
        <v>180</v>
      </c>
      <c r="H400" s="69" t="s">
        <v>2399</v>
      </c>
      <c r="I400" s="69" t="s">
        <v>2456</v>
      </c>
      <c r="J400" s="69" t="s">
        <v>2401</v>
      </c>
      <c r="K400" s="69"/>
      <c r="L400" s="72" t="s">
        <v>2387</v>
      </c>
      <c r="M400" s="72" t="b">
        <f t="shared" si="6"/>
        <v>1</v>
      </c>
    </row>
    <row r="401" spans="1:13" x14ac:dyDescent="0.25">
      <c r="A401" s="69" t="s">
        <v>823</v>
      </c>
      <c r="B401" s="70">
        <v>8922</v>
      </c>
      <c r="C401" s="69" t="s">
        <v>2475</v>
      </c>
      <c r="D401" s="71" t="s">
        <v>2387</v>
      </c>
      <c r="E401" s="69" t="s">
        <v>2476</v>
      </c>
      <c r="F401" s="69">
        <v>60</v>
      </c>
      <c r="G401" s="69">
        <v>180</v>
      </c>
      <c r="H401" s="69" t="s">
        <v>2399</v>
      </c>
      <c r="I401" s="69" t="s">
        <v>2456</v>
      </c>
      <c r="J401" s="69" t="s">
        <v>2401</v>
      </c>
      <c r="K401" s="69"/>
      <c r="L401" s="72" t="s">
        <v>2387</v>
      </c>
      <c r="M401" s="72" t="b">
        <f t="shared" si="6"/>
        <v>1</v>
      </c>
    </row>
    <row r="402" spans="1:13" x14ac:dyDescent="0.25">
      <c r="A402" s="69" t="s">
        <v>820</v>
      </c>
      <c r="B402" s="70">
        <v>8922</v>
      </c>
      <c r="C402" s="69" t="s">
        <v>2475</v>
      </c>
      <c r="D402" s="71" t="s">
        <v>2387</v>
      </c>
      <c r="E402" s="69" t="s">
        <v>2476</v>
      </c>
      <c r="F402" s="69">
        <v>60</v>
      </c>
      <c r="G402" s="69">
        <v>180</v>
      </c>
      <c r="H402" s="69" t="s">
        <v>2399</v>
      </c>
      <c r="I402" s="69" t="s">
        <v>2456</v>
      </c>
      <c r="J402" s="69" t="s">
        <v>2401</v>
      </c>
      <c r="K402" s="69"/>
      <c r="L402" s="72" t="s">
        <v>2387</v>
      </c>
      <c r="M402" s="72" t="b">
        <f t="shared" si="6"/>
        <v>1</v>
      </c>
    </row>
    <row r="403" spans="1:13" x14ac:dyDescent="0.25">
      <c r="A403" s="69" t="s">
        <v>817</v>
      </c>
      <c r="B403" s="70">
        <v>8922</v>
      </c>
      <c r="C403" s="69" t="s">
        <v>2475</v>
      </c>
      <c r="D403" s="71" t="s">
        <v>2387</v>
      </c>
      <c r="E403" s="69" t="s">
        <v>2476</v>
      </c>
      <c r="F403" s="69">
        <v>60</v>
      </c>
      <c r="G403" s="69">
        <v>180</v>
      </c>
      <c r="H403" s="69" t="s">
        <v>2399</v>
      </c>
      <c r="I403" s="69" t="s">
        <v>2456</v>
      </c>
      <c r="J403" s="69" t="s">
        <v>2401</v>
      </c>
      <c r="K403" s="69"/>
      <c r="L403" s="72" t="s">
        <v>2387</v>
      </c>
      <c r="M403" s="72" t="b">
        <f t="shared" si="6"/>
        <v>1</v>
      </c>
    </row>
    <row r="404" spans="1:13" x14ac:dyDescent="0.25">
      <c r="A404" s="69" t="s">
        <v>814</v>
      </c>
      <c r="B404" s="70">
        <v>8922</v>
      </c>
      <c r="C404" s="69" t="s">
        <v>2475</v>
      </c>
      <c r="D404" s="71" t="s">
        <v>2387</v>
      </c>
      <c r="E404" s="69" t="s">
        <v>2476</v>
      </c>
      <c r="F404" s="69">
        <v>60</v>
      </c>
      <c r="G404" s="69">
        <v>180</v>
      </c>
      <c r="H404" s="69" t="s">
        <v>2399</v>
      </c>
      <c r="I404" s="69" t="s">
        <v>2456</v>
      </c>
      <c r="J404" s="69" t="s">
        <v>2401</v>
      </c>
      <c r="K404" s="69"/>
      <c r="L404" s="72" t="s">
        <v>2387</v>
      </c>
      <c r="M404" s="72" t="b">
        <f t="shared" si="6"/>
        <v>1</v>
      </c>
    </row>
    <row r="405" spans="1:13" x14ac:dyDescent="0.25">
      <c r="A405" s="69" t="s">
        <v>811</v>
      </c>
      <c r="B405" s="70">
        <v>8922</v>
      </c>
      <c r="C405" s="69" t="s">
        <v>2475</v>
      </c>
      <c r="D405" s="71" t="s">
        <v>2387</v>
      </c>
      <c r="E405" s="69" t="s">
        <v>2476</v>
      </c>
      <c r="F405" s="69">
        <v>60</v>
      </c>
      <c r="G405" s="69">
        <v>180</v>
      </c>
      <c r="H405" s="69" t="s">
        <v>2399</v>
      </c>
      <c r="I405" s="69" t="s">
        <v>2456</v>
      </c>
      <c r="J405" s="69" t="s">
        <v>2401</v>
      </c>
      <c r="K405" s="69"/>
      <c r="L405" s="72" t="s">
        <v>2387</v>
      </c>
      <c r="M405" s="72" t="b">
        <f t="shared" si="6"/>
        <v>1</v>
      </c>
    </row>
    <row r="406" spans="1:13" x14ac:dyDescent="0.25">
      <c r="A406" s="69" t="s">
        <v>808</v>
      </c>
      <c r="B406" s="70">
        <v>8922</v>
      </c>
      <c r="C406" s="69" t="s">
        <v>2475</v>
      </c>
      <c r="D406" s="71" t="s">
        <v>2387</v>
      </c>
      <c r="E406" s="69" t="s">
        <v>2476</v>
      </c>
      <c r="F406" s="69">
        <v>60</v>
      </c>
      <c r="G406" s="69">
        <v>180</v>
      </c>
      <c r="H406" s="69" t="s">
        <v>2399</v>
      </c>
      <c r="I406" s="69" t="s">
        <v>2456</v>
      </c>
      <c r="J406" s="69" t="s">
        <v>2424</v>
      </c>
      <c r="K406" s="69"/>
      <c r="L406" s="72" t="s">
        <v>2387</v>
      </c>
      <c r="M406" s="72" t="b">
        <f t="shared" si="6"/>
        <v>1</v>
      </c>
    </row>
    <row r="407" spans="1:13" x14ac:dyDescent="0.25">
      <c r="A407" s="69" t="s">
        <v>2180</v>
      </c>
      <c r="B407" s="70">
        <v>8922</v>
      </c>
      <c r="C407" s="69" t="s">
        <v>2475</v>
      </c>
      <c r="D407" s="71" t="s">
        <v>2387</v>
      </c>
      <c r="E407" s="69" t="s">
        <v>2476</v>
      </c>
      <c r="F407" s="69">
        <v>60</v>
      </c>
      <c r="G407" s="69">
        <v>180</v>
      </c>
      <c r="H407" s="69" t="s">
        <v>2399</v>
      </c>
      <c r="I407" s="69" t="s">
        <v>2456</v>
      </c>
      <c r="J407" s="69" t="s">
        <v>2401</v>
      </c>
      <c r="K407" s="69" t="s">
        <v>3025</v>
      </c>
      <c r="L407" s="72" t="s">
        <v>2387</v>
      </c>
      <c r="M407" s="72" t="b">
        <f t="shared" si="6"/>
        <v>1</v>
      </c>
    </row>
    <row r="408" spans="1:13" x14ac:dyDescent="0.25">
      <c r="A408" s="69" t="s">
        <v>2157</v>
      </c>
      <c r="B408" s="70">
        <v>8922</v>
      </c>
      <c r="C408" s="69" t="s">
        <v>2475</v>
      </c>
      <c r="D408" s="71" t="s">
        <v>2387</v>
      </c>
      <c r="E408" s="69" t="s">
        <v>2476</v>
      </c>
      <c r="F408" s="69">
        <v>60</v>
      </c>
      <c r="G408" s="69">
        <v>180</v>
      </c>
      <c r="H408" s="69" t="s">
        <v>2399</v>
      </c>
      <c r="I408" s="69" t="s">
        <v>2456</v>
      </c>
      <c r="J408" s="69" t="s">
        <v>2401</v>
      </c>
      <c r="K408" s="69" t="s">
        <v>3025</v>
      </c>
      <c r="L408" s="72" t="s">
        <v>2387</v>
      </c>
      <c r="M408" s="72" t="b">
        <f t="shared" si="6"/>
        <v>1</v>
      </c>
    </row>
    <row r="409" spans="1:13" x14ac:dyDescent="0.25">
      <c r="A409" s="69" t="s">
        <v>2162</v>
      </c>
      <c r="B409" s="70">
        <v>8922</v>
      </c>
      <c r="C409" s="69" t="s">
        <v>2475</v>
      </c>
      <c r="D409" s="71" t="s">
        <v>2387</v>
      </c>
      <c r="E409" s="69" t="s">
        <v>2476</v>
      </c>
      <c r="F409" s="69">
        <v>60</v>
      </c>
      <c r="G409" s="69">
        <v>180</v>
      </c>
      <c r="H409" s="69" t="s">
        <v>2399</v>
      </c>
      <c r="I409" s="69" t="s">
        <v>2456</v>
      </c>
      <c r="J409" s="69" t="s">
        <v>2401</v>
      </c>
      <c r="K409" s="69" t="s">
        <v>3025</v>
      </c>
      <c r="L409" s="72" t="s">
        <v>2387</v>
      </c>
      <c r="M409" s="72" t="b">
        <f t="shared" si="6"/>
        <v>1</v>
      </c>
    </row>
    <row r="410" spans="1:13" x14ac:dyDescent="0.25">
      <c r="A410" s="69" t="s">
        <v>2156</v>
      </c>
      <c r="B410" s="70">
        <v>8922</v>
      </c>
      <c r="C410" s="69" t="s">
        <v>2475</v>
      </c>
      <c r="D410" s="71" t="s">
        <v>2387</v>
      </c>
      <c r="E410" s="69" t="s">
        <v>2476</v>
      </c>
      <c r="F410" s="69">
        <v>60</v>
      </c>
      <c r="G410" s="69">
        <v>180</v>
      </c>
      <c r="H410" s="69" t="s">
        <v>2399</v>
      </c>
      <c r="I410" s="69" t="s">
        <v>2456</v>
      </c>
      <c r="J410" s="69" t="s">
        <v>2401</v>
      </c>
      <c r="K410" s="69" t="s">
        <v>3025</v>
      </c>
      <c r="L410" s="72" t="s">
        <v>2387</v>
      </c>
      <c r="M410" s="72" t="b">
        <f t="shared" si="6"/>
        <v>1</v>
      </c>
    </row>
    <row r="411" spans="1:13" x14ac:dyDescent="0.25">
      <c r="A411" s="69" t="s">
        <v>805</v>
      </c>
      <c r="B411" s="70">
        <v>8922</v>
      </c>
      <c r="C411" s="69" t="s">
        <v>2475</v>
      </c>
      <c r="D411" s="71" t="s">
        <v>2387</v>
      </c>
      <c r="E411" s="69" t="s">
        <v>2476</v>
      </c>
      <c r="F411" s="69">
        <v>60</v>
      </c>
      <c r="G411" s="69">
        <v>180</v>
      </c>
      <c r="H411" s="69" t="s">
        <v>2399</v>
      </c>
      <c r="I411" s="69" t="s">
        <v>2456</v>
      </c>
      <c r="J411" s="69" t="s">
        <v>2424</v>
      </c>
      <c r="K411" s="69" t="s">
        <v>3025</v>
      </c>
      <c r="L411" s="72" t="s">
        <v>2387</v>
      </c>
      <c r="M411" s="72" t="b">
        <f t="shared" si="6"/>
        <v>1</v>
      </c>
    </row>
    <row r="412" spans="1:13" x14ac:dyDescent="0.25">
      <c r="A412" s="69" t="s">
        <v>802</v>
      </c>
      <c r="B412" s="70">
        <v>8922</v>
      </c>
      <c r="C412" s="69" t="s">
        <v>2475</v>
      </c>
      <c r="D412" s="71" t="s">
        <v>2387</v>
      </c>
      <c r="E412" s="69" t="s">
        <v>2476</v>
      </c>
      <c r="F412" s="69">
        <v>60</v>
      </c>
      <c r="G412" s="69">
        <v>180</v>
      </c>
      <c r="H412" s="69" t="s">
        <v>2399</v>
      </c>
      <c r="I412" s="69" t="s">
        <v>2456</v>
      </c>
      <c r="J412" s="69" t="s">
        <v>2424</v>
      </c>
      <c r="K412" s="69" t="s">
        <v>3025</v>
      </c>
      <c r="L412" s="72" t="s">
        <v>2387</v>
      </c>
      <c r="M412" s="72" t="b">
        <f t="shared" si="6"/>
        <v>1</v>
      </c>
    </row>
    <row r="413" spans="1:13" x14ac:dyDescent="0.25">
      <c r="A413" s="69" t="s">
        <v>799</v>
      </c>
      <c r="B413" s="70">
        <v>8922</v>
      </c>
      <c r="C413" s="69" t="s">
        <v>2475</v>
      </c>
      <c r="D413" s="71" t="s">
        <v>2387</v>
      </c>
      <c r="E413" s="69" t="s">
        <v>2476</v>
      </c>
      <c r="F413" s="69">
        <v>60</v>
      </c>
      <c r="G413" s="69">
        <v>180</v>
      </c>
      <c r="H413" s="69" t="s">
        <v>2399</v>
      </c>
      <c r="I413" s="69" t="s">
        <v>2456</v>
      </c>
      <c r="J413" s="69" t="s">
        <v>2424</v>
      </c>
      <c r="K413" s="69" t="s">
        <v>3025</v>
      </c>
      <c r="L413" s="72" t="s">
        <v>2387</v>
      </c>
      <c r="M413" s="72" t="b">
        <f t="shared" si="6"/>
        <v>1</v>
      </c>
    </row>
    <row r="414" spans="1:13" x14ac:dyDescent="0.25">
      <c r="A414" s="69" t="s">
        <v>744</v>
      </c>
      <c r="B414" s="70">
        <v>8922</v>
      </c>
      <c r="C414" s="69" t="s">
        <v>2475</v>
      </c>
      <c r="D414" s="71" t="s">
        <v>2387</v>
      </c>
      <c r="E414" s="69" t="s">
        <v>2476</v>
      </c>
      <c r="F414" s="69">
        <v>60</v>
      </c>
      <c r="G414" s="69">
        <v>180</v>
      </c>
      <c r="H414" s="69" t="s">
        <v>2399</v>
      </c>
      <c r="I414" s="69" t="s">
        <v>2456</v>
      </c>
      <c r="J414" s="69" t="s">
        <v>2424</v>
      </c>
      <c r="K414" s="69" t="s">
        <v>3025</v>
      </c>
      <c r="L414" s="72" t="s">
        <v>2387</v>
      </c>
      <c r="M414" s="72" t="b">
        <f t="shared" si="6"/>
        <v>1</v>
      </c>
    </row>
    <row r="415" spans="1:13" x14ac:dyDescent="0.25">
      <c r="A415" s="69" t="s">
        <v>741</v>
      </c>
      <c r="B415" s="70">
        <v>44003178</v>
      </c>
      <c r="C415" s="69" t="s">
        <v>2475</v>
      </c>
      <c r="D415" s="71" t="s">
        <v>2387</v>
      </c>
      <c r="E415" s="69" t="s">
        <v>2476</v>
      </c>
      <c r="F415" s="69">
        <v>60</v>
      </c>
      <c r="G415" s="69">
        <v>180</v>
      </c>
      <c r="H415" s="69" t="s">
        <v>2399</v>
      </c>
      <c r="I415" s="69" t="s">
        <v>2456</v>
      </c>
      <c r="J415" s="69" t="s">
        <v>2424</v>
      </c>
      <c r="K415" s="69" t="s">
        <v>3025</v>
      </c>
      <c r="L415" s="72" t="s">
        <v>2387</v>
      </c>
      <c r="M415" s="72" t="b">
        <f t="shared" si="6"/>
        <v>1</v>
      </c>
    </row>
    <row r="416" spans="1:13" x14ac:dyDescent="0.25">
      <c r="A416" s="69" t="s">
        <v>738</v>
      </c>
      <c r="B416" s="70">
        <v>44003178</v>
      </c>
      <c r="C416" s="69" t="s">
        <v>2475</v>
      </c>
      <c r="D416" s="71" t="s">
        <v>2387</v>
      </c>
      <c r="E416" s="69" t="s">
        <v>2476</v>
      </c>
      <c r="F416" s="69">
        <v>60</v>
      </c>
      <c r="G416" s="69">
        <v>180</v>
      </c>
      <c r="H416" s="69" t="s">
        <v>2399</v>
      </c>
      <c r="I416" s="69" t="s">
        <v>2456</v>
      </c>
      <c r="J416" s="69" t="s">
        <v>2424</v>
      </c>
      <c r="K416" s="69" t="s">
        <v>3025</v>
      </c>
      <c r="L416" s="72" t="s">
        <v>2387</v>
      </c>
      <c r="M416" s="72" t="b">
        <f t="shared" si="6"/>
        <v>1</v>
      </c>
    </row>
    <row r="417" spans="1:13" x14ac:dyDescent="0.25">
      <c r="A417" s="69" t="s">
        <v>2293</v>
      </c>
      <c r="B417" s="70">
        <v>8922</v>
      </c>
      <c r="C417" s="69" t="s">
        <v>2475</v>
      </c>
      <c r="D417" s="71" t="s">
        <v>2387</v>
      </c>
      <c r="E417" s="69" t="s">
        <v>2476</v>
      </c>
      <c r="F417" s="69">
        <v>60</v>
      </c>
      <c r="G417" s="69">
        <v>180</v>
      </c>
      <c r="H417" s="69" t="s">
        <v>2399</v>
      </c>
      <c r="I417" s="69" t="s">
        <v>2456</v>
      </c>
      <c r="J417" s="69" t="s">
        <v>2401</v>
      </c>
      <c r="K417" s="69" t="s">
        <v>3025</v>
      </c>
      <c r="L417" s="72" t="s">
        <v>2387</v>
      </c>
      <c r="M417" s="72" t="b">
        <f t="shared" si="6"/>
        <v>1</v>
      </c>
    </row>
    <row r="418" spans="1:13" x14ac:dyDescent="0.25">
      <c r="A418" s="69" t="s">
        <v>1520</v>
      </c>
      <c r="B418" s="70">
        <v>44002207</v>
      </c>
      <c r="C418" s="69" t="s">
        <v>1522</v>
      </c>
      <c r="D418" s="71" t="s">
        <v>2392</v>
      </c>
      <c r="E418" s="69" t="s">
        <v>2388</v>
      </c>
      <c r="F418" s="69">
        <v>30</v>
      </c>
      <c r="G418" s="69">
        <v>90</v>
      </c>
      <c r="H418" s="69" t="s">
        <v>2472</v>
      </c>
      <c r="I418" s="69" t="s">
        <v>2453</v>
      </c>
      <c r="J418" s="69" t="s">
        <v>2415</v>
      </c>
      <c r="K418" s="69"/>
      <c r="L418" s="72" t="s">
        <v>2387</v>
      </c>
      <c r="M418" s="72" t="b">
        <f t="shared" si="6"/>
        <v>0</v>
      </c>
    </row>
    <row r="419" spans="1:13" x14ac:dyDescent="0.25">
      <c r="A419" s="69" t="s">
        <v>850</v>
      </c>
      <c r="B419" s="70">
        <v>44001997</v>
      </c>
      <c r="C419" s="69" t="s">
        <v>2477</v>
      </c>
      <c r="D419" s="71" t="s">
        <v>2392</v>
      </c>
      <c r="E419" s="69" t="s">
        <v>2388</v>
      </c>
      <c r="F419" s="69">
        <v>30</v>
      </c>
      <c r="G419" s="69">
        <v>90</v>
      </c>
      <c r="H419" s="69" t="s">
        <v>2472</v>
      </c>
      <c r="I419" s="69" t="s">
        <v>2453</v>
      </c>
      <c r="J419" s="69" t="s">
        <v>2415</v>
      </c>
      <c r="K419" s="69"/>
      <c r="L419" s="72" t="s">
        <v>2387</v>
      </c>
      <c r="M419" s="72" t="b">
        <f t="shared" si="6"/>
        <v>0</v>
      </c>
    </row>
    <row r="420" spans="1:13" x14ac:dyDescent="0.25">
      <c r="A420" s="69" t="s">
        <v>2015</v>
      </c>
      <c r="B420" s="70">
        <v>44001738</v>
      </c>
      <c r="C420" s="69" t="s">
        <v>2478</v>
      </c>
      <c r="D420" s="71" t="s">
        <v>2387</v>
      </c>
      <c r="E420" s="69" t="s">
        <v>2388</v>
      </c>
      <c r="F420" s="69">
        <v>30</v>
      </c>
      <c r="G420" s="69">
        <v>120</v>
      </c>
      <c r="H420" s="69" t="s">
        <v>2391</v>
      </c>
      <c r="I420" s="69" t="s">
        <v>2431</v>
      </c>
      <c r="J420" s="69" t="s">
        <v>2470</v>
      </c>
      <c r="K420" s="69"/>
      <c r="L420" s="72" t="s">
        <v>2392</v>
      </c>
      <c r="M420" s="72" t="b">
        <f t="shared" si="6"/>
        <v>0</v>
      </c>
    </row>
    <row r="421" spans="1:13" x14ac:dyDescent="0.25">
      <c r="A421" s="69" t="s">
        <v>1997</v>
      </c>
      <c r="B421" s="70">
        <v>44001738</v>
      </c>
      <c r="C421" s="69" t="s">
        <v>2478</v>
      </c>
      <c r="D421" s="71" t="s">
        <v>2387</v>
      </c>
      <c r="E421" s="69" t="s">
        <v>2388</v>
      </c>
      <c r="F421" s="69">
        <v>30</v>
      </c>
      <c r="G421" s="69">
        <v>120</v>
      </c>
      <c r="H421" s="69" t="s">
        <v>2391</v>
      </c>
      <c r="I421" s="69" t="s">
        <v>2431</v>
      </c>
      <c r="J421" s="69" t="s">
        <v>2470</v>
      </c>
      <c r="K421" s="69"/>
      <c r="L421" s="72" t="s">
        <v>2392</v>
      </c>
      <c r="M421" s="72" t="b">
        <f t="shared" si="6"/>
        <v>0</v>
      </c>
    </row>
    <row r="422" spans="1:13" x14ac:dyDescent="0.25">
      <c r="A422" s="69" t="s">
        <v>1482</v>
      </c>
      <c r="B422" s="70">
        <v>44000046</v>
      </c>
      <c r="C422" s="69" t="s">
        <v>1471</v>
      </c>
      <c r="D422" s="71" t="s">
        <v>2387</v>
      </c>
      <c r="E422" s="69" t="s">
        <v>2393</v>
      </c>
      <c r="F422" s="69">
        <v>30</v>
      </c>
      <c r="G422" s="69">
        <v>120</v>
      </c>
      <c r="H422" s="69" t="s">
        <v>2399</v>
      </c>
      <c r="I422" s="69" t="s">
        <v>2414</v>
      </c>
      <c r="J422" s="69" t="s">
        <v>2424</v>
      </c>
      <c r="K422" s="69"/>
      <c r="L422" s="72" t="s">
        <v>2392</v>
      </c>
      <c r="M422" s="72" t="b">
        <f t="shared" si="6"/>
        <v>0</v>
      </c>
    </row>
    <row r="423" spans="1:13" x14ac:dyDescent="0.25">
      <c r="A423" s="69" t="s">
        <v>1485</v>
      </c>
      <c r="B423" s="70">
        <v>44000046</v>
      </c>
      <c r="C423" s="69" t="s">
        <v>1471</v>
      </c>
      <c r="D423" s="71" t="s">
        <v>2387</v>
      </c>
      <c r="E423" s="69" t="s">
        <v>2393</v>
      </c>
      <c r="F423" s="69">
        <v>30</v>
      </c>
      <c r="G423" s="69">
        <v>120</v>
      </c>
      <c r="H423" s="69" t="s">
        <v>2399</v>
      </c>
      <c r="I423" s="69" t="s">
        <v>2414</v>
      </c>
      <c r="J423" s="69" t="s">
        <v>2424</v>
      </c>
      <c r="K423" s="69"/>
      <c r="L423" s="72" t="s">
        <v>2392</v>
      </c>
      <c r="M423" s="72" t="b">
        <f t="shared" si="6"/>
        <v>0</v>
      </c>
    </row>
    <row r="424" spans="1:13" x14ac:dyDescent="0.25">
      <c r="A424" s="69" t="s">
        <v>1829</v>
      </c>
      <c r="B424" s="70">
        <v>44001833</v>
      </c>
      <c r="C424" s="69" t="s">
        <v>15</v>
      </c>
      <c r="D424" s="71" t="s">
        <v>2387</v>
      </c>
      <c r="E424" s="69" t="s">
        <v>2388</v>
      </c>
      <c r="F424" s="69">
        <v>30</v>
      </c>
      <c r="G424" s="69"/>
      <c r="H424" s="69" t="s">
        <v>2391</v>
      </c>
      <c r="I424" s="69" t="s">
        <v>2407</v>
      </c>
      <c r="J424" s="69" t="s">
        <v>2408</v>
      </c>
      <c r="K424" s="69"/>
      <c r="L424" s="72" t="s">
        <v>2387</v>
      </c>
      <c r="M424" s="72" t="b">
        <f t="shared" si="6"/>
        <v>1</v>
      </c>
    </row>
    <row r="425" spans="1:13" x14ac:dyDescent="0.25">
      <c r="A425" s="69" t="s">
        <v>225</v>
      </c>
      <c r="B425" s="70">
        <v>44001833</v>
      </c>
      <c r="C425" s="69" t="s">
        <v>15</v>
      </c>
      <c r="D425" s="71" t="s">
        <v>2387</v>
      </c>
      <c r="E425" s="69" t="s">
        <v>2388</v>
      </c>
      <c r="F425" s="69">
        <v>30</v>
      </c>
      <c r="G425" s="69">
        <v>60</v>
      </c>
      <c r="H425" s="69" t="s">
        <v>2399</v>
      </c>
      <c r="I425" s="69" t="s">
        <v>2479</v>
      </c>
      <c r="J425" s="69" t="s">
        <v>2424</v>
      </c>
      <c r="K425" s="69"/>
      <c r="L425" s="72" t="s">
        <v>2387</v>
      </c>
      <c r="M425" s="72" t="b">
        <f t="shared" si="6"/>
        <v>1</v>
      </c>
    </row>
    <row r="426" spans="1:13" x14ac:dyDescent="0.25">
      <c r="A426" s="69" t="s">
        <v>222</v>
      </c>
      <c r="B426" s="70">
        <v>44001833</v>
      </c>
      <c r="C426" s="69" t="s">
        <v>15</v>
      </c>
      <c r="D426" s="71" t="s">
        <v>2387</v>
      </c>
      <c r="E426" s="69" t="s">
        <v>2388</v>
      </c>
      <c r="F426" s="69">
        <v>30</v>
      </c>
      <c r="G426" s="69">
        <v>60</v>
      </c>
      <c r="H426" s="69" t="s">
        <v>2399</v>
      </c>
      <c r="I426" s="69" t="s">
        <v>2479</v>
      </c>
      <c r="J426" s="69" t="s">
        <v>2424</v>
      </c>
      <c r="K426" s="69"/>
      <c r="L426" s="72" t="s">
        <v>2387</v>
      </c>
      <c r="M426" s="72" t="b">
        <f t="shared" si="6"/>
        <v>1</v>
      </c>
    </row>
    <row r="427" spans="1:13" x14ac:dyDescent="0.25">
      <c r="A427" s="69" t="s">
        <v>219</v>
      </c>
      <c r="B427" s="70">
        <v>44001833</v>
      </c>
      <c r="C427" s="69" t="s">
        <v>15</v>
      </c>
      <c r="D427" s="71" t="s">
        <v>2387</v>
      </c>
      <c r="E427" s="69" t="s">
        <v>2388</v>
      </c>
      <c r="F427" s="69">
        <v>30</v>
      </c>
      <c r="G427" s="69">
        <v>60</v>
      </c>
      <c r="H427" s="69" t="s">
        <v>2399</v>
      </c>
      <c r="I427" s="69" t="s">
        <v>2479</v>
      </c>
      <c r="J427" s="69" t="s">
        <v>2424</v>
      </c>
      <c r="K427" s="69"/>
      <c r="L427" s="72" t="s">
        <v>2387</v>
      </c>
      <c r="M427" s="72" t="b">
        <f t="shared" si="6"/>
        <v>1</v>
      </c>
    </row>
    <row r="428" spans="1:13" x14ac:dyDescent="0.25">
      <c r="A428" s="69" t="s">
        <v>2225</v>
      </c>
      <c r="B428" s="70">
        <v>44001833</v>
      </c>
      <c r="C428" s="69" t="s">
        <v>15</v>
      </c>
      <c r="D428" s="71" t="s">
        <v>2387</v>
      </c>
      <c r="E428" s="69" t="s">
        <v>2388</v>
      </c>
      <c r="F428" s="69">
        <v>30</v>
      </c>
      <c r="G428" s="69">
        <v>60</v>
      </c>
      <c r="H428" s="69" t="s">
        <v>2399</v>
      </c>
      <c r="I428" s="69" t="s">
        <v>2479</v>
      </c>
      <c r="J428" s="69" t="s">
        <v>2424</v>
      </c>
      <c r="K428" s="69"/>
      <c r="L428" s="72" t="s">
        <v>2387</v>
      </c>
      <c r="M428" s="72" t="b">
        <f t="shared" si="6"/>
        <v>1</v>
      </c>
    </row>
    <row r="429" spans="1:13" x14ac:dyDescent="0.25">
      <c r="A429" s="69" t="s">
        <v>216</v>
      </c>
      <c r="B429" s="70">
        <v>44001833</v>
      </c>
      <c r="C429" s="69" t="s">
        <v>15</v>
      </c>
      <c r="D429" s="71" t="s">
        <v>2387</v>
      </c>
      <c r="E429" s="69" t="s">
        <v>2388</v>
      </c>
      <c r="F429" s="69">
        <v>30</v>
      </c>
      <c r="G429" s="69">
        <v>60</v>
      </c>
      <c r="H429" s="69" t="s">
        <v>2399</v>
      </c>
      <c r="I429" s="69" t="s">
        <v>2479</v>
      </c>
      <c r="J429" s="69" t="s">
        <v>2424</v>
      </c>
      <c r="K429" s="69"/>
      <c r="L429" s="72" t="s">
        <v>2387</v>
      </c>
      <c r="M429" s="72" t="b">
        <f t="shared" si="6"/>
        <v>1</v>
      </c>
    </row>
    <row r="430" spans="1:13" x14ac:dyDescent="0.25">
      <c r="A430" s="69" t="s">
        <v>2224</v>
      </c>
      <c r="B430" s="70">
        <v>44001833</v>
      </c>
      <c r="C430" s="69" t="s">
        <v>15</v>
      </c>
      <c r="D430" s="71" t="s">
        <v>2387</v>
      </c>
      <c r="E430" s="69" t="s">
        <v>2388</v>
      </c>
      <c r="F430" s="69">
        <v>30</v>
      </c>
      <c r="G430" s="69">
        <v>60</v>
      </c>
      <c r="H430" s="69" t="s">
        <v>2399</v>
      </c>
      <c r="I430" s="69" t="s">
        <v>2479</v>
      </c>
      <c r="J430" s="69" t="s">
        <v>2424</v>
      </c>
      <c r="K430" s="69"/>
      <c r="L430" s="72" t="s">
        <v>2387</v>
      </c>
      <c r="M430" s="72" t="b">
        <f t="shared" si="6"/>
        <v>1</v>
      </c>
    </row>
    <row r="431" spans="1:13" x14ac:dyDescent="0.25">
      <c r="A431" s="69" t="s">
        <v>2223</v>
      </c>
      <c r="B431" s="70">
        <v>44001833</v>
      </c>
      <c r="C431" s="69" t="s">
        <v>15</v>
      </c>
      <c r="D431" s="71" t="s">
        <v>2387</v>
      </c>
      <c r="E431" s="69" t="s">
        <v>2388</v>
      </c>
      <c r="F431" s="69">
        <v>30</v>
      </c>
      <c r="G431" s="69">
        <v>60</v>
      </c>
      <c r="H431" s="69" t="s">
        <v>2399</v>
      </c>
      <c r="I431" s="69" t="s">
        <v>2479</v>
      </c>
      <c r="J431" s="69" t="s">
        <v>2424</v>
      </c>
      <c r="K431" s="69"/>
      <c r="L431" s="72" t="s">
        <v>2387</v>
      </c>
      <c r="M431" s="72" t="b">
        <f t="shared" si="6"/>
        <v>1</v>
      </c>
    </row>
    <row r="432" spans="1:13" x14ac:dyDescent="0.25">
      <c r="A432" s="69" t="s">
        <v>2068</v>
      </c>
      <c r="B432" s="70">
        <v>44001833</v>
      </c>
      <c r="C432" s="69" t="s">
        <v>15</v>
      </c>
      <c r="D432" s="71" t="s">
        <v>2387</v>
      </c>
      <c r="E432" s="69" t="s">
        <v>2388</v>
      </c>
      <c r="F432" s="69">
        <v>30</v>
      </c>
      <c r="G432" s="69">
        <v>0</v>
      </c>
      <c r="H432" s="69" t="s">
        <v>2412</v>
      </c>
      <c r="I432" s="69" t="s">
        <v>2410</v>
      </c>
      <c r="J432" s="69" t="s">
        <v>2408</v>
      </c>
      <c r="K432" s="69" t="s">
        <v>3009</v>
      </c>
      <c r="L432" s="72" t="s">
        <v>2387</v>
      </c>
      <c r="M432" s="72" t="b">
        <f t="shared" si="6"/>
        <v>1</v>
      </c>
    </row>
    <row r="433" spans="1:13" x14ac:dyDescent="0.25">
      <c r="A433" s="69" t="s">
        <v>2341</v>
      </c>
      <c r="B433" s="70">
        <v>44001833</v>
      </c>
      <c r="C433" s="69" t="s">
        <v>15</v>
      </c>
      <c r="D433" s="71" t="s">
        <v>2387</v>
      </c>
      <c r="E433" s="69" t="s">
        <v>2388</v>
      </c>
      <c r="F433" s="69"/>
      <c r="G433" s="69"/>
      <c r="H433" s="69" t="s">
        <v>2412</v>
      </c>
      <c r="I433" s="69" t="s">
        <v>2410</v>
      </c>
      <c r="J433" s="69" t="s">
        <v>2408</v>
      </c>
      <c r="K433" s="69" t="s">
        <v>3009</v>
      </c>
      <c r="L433" s="72" t="s">
        <v>2387</v>
      </c>
      <c r="M433" s="72" t="b">
        <f t="shared" si="6"/>
        <v>1</v>
      </c>
    </row>
    <row r="434" spans="1:13" x14ac:dyDescent="0.25">
      <c r="A434" s="69" t="s">
        <v>1827</v>
      </c>
      <c r="B434" s="70">
        <v>44001833</v>
      </c>
      <c r="C434" s="69" t="s">
        <v>15</v>
      </c>
      <c r="D434" s="71" t="s">
        <v>2387</v>
      </c>
      <c r="E434" s="69" t="s">
        <v>2388</v>
      </c>
      <c r="F434" s="69">
        <v>30</v>
      </c>
      <c r="G434" s="69"/>
      <c r="H434" s="69" t="s">
        <v>2391</v>
      </c>
      <c r="I434" s="69" t="s">
        <v>2407</v>
      </c>
      <c r="J434" s="69" t="s">
        <v>2408</v>
      </c>
      <c r="K434" s="69"/>
      <c r="L434" s="72" t="s">
        <v>2387</v>
      </c>
      <c r="M434" s="72" t="b">
        <f t="shared" si="6"/>
        <v>1</v>
      </c>
    </row>
    <row r="435" spans="1:13" x14ac:dyDescent="0.25">
      <c r="A435" s="69" t="s">
        <v>199</v>
      </c>
      <c r="B435" s="70">
        <v>44001833</v>
      </c>
      <c r="C435" s="69" t="s">
        <v>15</v>
      </c>
      <c r="D435" s="71" t="s">
        <v>2387</v>
      </c>
      <c r="E435" s="69" t="s">
        <v>2388</v>
      </c>
      <c r="F435" s="69">
        <v>30</v>
      </c>
      <c r="G435" s="69">
        <v>60</v>
      </c>
      <c r="H435" s="69" t="s">
        <v>2399</v>
      </c>
      <c r="I435" s="69" t="s">
        <v>2479</v>
      </c>
      <c r="J435" s="69" t="s">
        <v>2424</v>
      </c>
      <c r="K435" s="69"/>
      <c r="L435" s="72" t="s">
        <v>2387</v>
      </c>
      <c r="M435" s="72" t="b">
        <f t="shared" si="6"/>
        <v>1</v>
      </c>
    </row>
    <row r="436" spans="1:13" x14ac:dyDescent="0.25">
      <c r="A436" s="69" t="s">
        <v>2235</v>
      </c>
      <c r="B436" s="70">
        <v>44001833</v>
      </c>
      <c r="C436" s="69" t="s">
        <v>15</v>
      </c>
      <c r="D436" s="71" t="s">
        <v>2387</v>
      </c>
      <c r="E436" s="69" t="s">
        <v>2388</v>
      </c>
      <c r="F436" s="69">
        <v>30</v>
      </c>
      <c r="G436" s="69">
        <v>60</v>
      </c>
      <c r="H436" s="69" t="s">
        <v>2412</v>
      </c>
      <c r="I436" s="69" t="s">
        <v>2479</v>
      </c>
      <c r="J436" s="69" t="s">
        <v>2424</v>
      </c>
      <c r="K436" s="69" t="s">
        <v>3026</v>
      </c>
      <c r="L436" s="72" t="s">
        <v>2387</v>
      </c>
      <c r="M436" s="72" t="b">
        <f t="shared" si="6"/>
        <v>1</v>
      </c>
    </row>
    <row r="437" spans="1:13" x14ac:dyDescent="0.25">
      <c r="A437" s="69" t="s">
        <v>2234</v>
      </c>
      <c r="B437" s="70">
        <v>44001833</v>
      </c>
      <c r="C437" s="69" t="s">
        <v>15</v>
      </c>
      <c r="D437" s="71" t="s">
        <v>2387</v>
      </c>
      <c r="E437" s="69" t="s">
        <v>2388</v>
      </c>
      <c r="F437" s="69">
        <v>30</v>
      </c>
      <c r="G437" s="69">
        <v>60</v>
      </c>
      <c r="H437" s="69" t="s">
        <v>2412</v>
      </c>
      <c r="I437" s="69" t="s">
        <v>2479</v>
      </c>
      <c r="J437" s="69" t="s">
        <v>2424</v>
      </c>
      <c r="K437" s="69" t="s">
        <v>3026</v>
      </c>
      <c r="L437" s="72" t="s">
        <v>2387</v>
      </c>
      <c r="M437" s="72" t="b">
        <f t="shared" si="6"/>
        <v>1</v>
      </c>
    </row>
    <row r="438" spans="1:13" x14ac:dyDescent="0.25">
      <c r="A438" s="69" t="s">
        <v>2300</v>
      </c>
      <c r="B438" s="70">
        <v>44001833</v>
      </c>
      <c r="C438" s="69" t="s">
        <v>15</v>
      </c>
      <c r="D438" s="71" t="s">
        <v>2387</v>
      </c>
      <c r="E438" s="69" t="s">
        <v>2388</v>
      </c>
      <c r="F438" s="69">
        <v>30</v>
      </c>
      <c r="G438" s="69">
        <v>60</v>
      </c>
      <c r="H438" s="69" t="s">
        <v>2399</v>
      </c>
      <c r="I438" s="69" t="s">
        <v>2479</v>
      </c>
      <c r="J438" s="69" t="s">
        <v>2424</v>
      </c>
      <c r="K438" s="69"/>
      <c r="L438" s="72" t="s">
        <v>2387</v>
      </c>
      <c r="M438" s="72" t="b">
        <f t="shared" si="6"/>
        <v>1</v>
      </c>
    </row>
    <row r="439" spans="1:13" x14ac:dyDescent="0.25">
      <c r="A439" s="69" t="s">
        <v>166</v>
      </c>
      <c r="B439" s="70">
        <v>44001833</v>
      </c>
      <c r="C439" s="69" t="s">
        <v>15</v>
      </c>
      <c r="D439" s="71" t="s">
        <v>2387</v>
      </c>
      <c r="E439" s="69" t="s">
        <v>2388</v>
      </c>
      <c r="F439" s="69">
        <v>30</v>
      </c>
      <c r="G439" s="69">
        <v>60</v>
      </c>
      <c r="H439" s="69" t="s">
        <v>2399</v>
      </c>
      <c r="I439" s="69" t="s">
        <v>2479</v>
      </c>
      <c r="J439" s="69" t="s">
        <v>2424</v>
      </c>
      <c r="K439" s="69"/>
      <c r="L439" s="72" t="s">
        <v>2387</v>
      </c>
      <c r="M439" s="72" t="b">
        <f t="shared" si="6"/>
        <v>1</v>
      </c>
    </row>
    <row r="440" spans="1:13" x14ac:dyDescent="0.25">
      <c r="A440" s="69" t="s">
        <v>163</v>
      </c>
      <c r="B440" s="70">
        <v>44001833</v>
      </c>
      <c r="C440" s="69" t="s">
        <v>15</v>
      </c>
      <c r="D440" s="71" t="s">
        <v>2387</v>
      </c>
      <c r="E440" s="69" t="s">
        <v>2388</v>
      </c>
      <c r="F440" s="69">
        <v>30</v>
      </c>
      <c r="G440" s="69">
        <v>60</v>
      </c>
      <c r="H440" s="69" t="s">
        <v>2399</v>
      </c>
      <c r="I440" s="69" t="s">
        <v>2479</v>
      </c>
      <c r="J440" s="69" t="s">
        <v>2424</v>
      </c>
      <c r="K440" s="69"/>
      <c r="L440" s="72" t="s">
        <v>2387</v>
      </c>
      <c r="M440" s="72" t="b">
        <f t="shared" si="6"/>
        <v>1</v>
      </c>
    </row>
    <row r="441" spans="1:13" x14ac:dyDescent="0.25">
      <c r="A441" s="69" t="s">
        <v>160</v>
      </c>
      <c r="B441" s="70">
        <v>44001833</v>
      </c>
      <c r="C441" s="69" t="s">
        <v>15</v>
      </c>
      <c r="D441" s="71" t="s">
        <v>2387</v>
      </c>
      <c r="E441" s="69" t="s">
        <v>2388</v>
      </c>
      <c r="F441" s="69">
        <v>30</v>
      </c>
      <c r="G441" s="69">
        <v>60</v>
      </c>
      <c r="H441" s="69" t="s">
        <v>2399</v>
      </c>
      <c r="I441" s="69" t="s">
        <v>2479</v>
      </c>
      <c r="J441" s="69" t="s">
        <v>2424</v>
      </c>
      <c r="K441" s="69"/>
      <c r="L441" s="72" t="s">
        <v>2387</v>
      </c>
      <c r="M441" s="72" t="b">
        <f t="shared" si="6"/>
        <v>1</v>
      </c>
    </row>
    <row r="442" spans="1:13" x14ac:dyDescent="0.25">
      <c r="A442" s="69" t="s">
        <v>157</v>
      </c>
      <c r="B442" s="70">
        <v>44001833</v>
      </c>
      <c r="C442" s="69" t="s">
        <v>15</v>
      </c>
      <c r="D442" s="71" t="s">
        <v>2387</v>
      </c>
      <c r="E442" s="69" t="s">
        <v>2388</v>
      </c>
      <c r="F442" s="69">
        <v>30</v>
      </c>
      <c r="G442" s="69">
        <v>60</v>
      </c>
      <c r="H442" s="69" t="s">
        <v>2399</v>
      </c>
      <c r="I442" s="69" t="s">
        <v>2479</v>
      </c>
      <c r="J442" s="69" t="s">
        <v>2424</v>
      </c>
      <c r="K442" s="69"/>
      <c r="L442" s="72" t="s">
        <v>2387</v>
      </c>
      <c r="M442" s="72" t="b">
        <f t="shared" si="6"/>
        <v>1</v>
      </c>
    </row>
    <row r="443" spans="1:13" x14ac:dyDescent="0.25">
      <c r="A443" s="69" t="s">
        <v>154</v>
      </c>
      <c r="B443" s="70">
        <v>44001833</v>
      </c>
      <c r="C443" s="69" t="s">
        <v>15</v>
      </c>
      <c r="D443" s="71" t="s">
        <v>2387</v>
      </c>
      <c r="E443" s="69" t="s">
        <v>2388</v>
      </c>
      <c r="F443" s="69">
        <v>30</v>
      </c>
      <c r="G443" s="69">
        <v>60</v>
      </c>
      <c r="H443" s="69" t="s">
        <v>2399</v>
      </c>
      <c r="I443" s="69" t="s">
        <v>2479</v>
      </c>
      <c r="J443" s="69" t="s">
        <v>2424</v>
      </c>
      <c r="K443" s="69"/>
      <c r="L443" s="72" t="s">
        <v>2387</v>
      </c>
      <c r="M443" s="72" t="b">
        <f t="shared" si="6"/>
        <v>1</v>
      </c>
    </row>
    <row r="444" spans="1:13" x14ac:dyDescent="0.25">
      <c r="A444" s="69" t="s">
        <v>151</v>
      </c>
      <c r="B444" s="70">
        <v>44001833</v>
      </c>
      <c r="C444" s="69" t="s">
        <v>15</v>
      </c>
      <c r="D444" s="71" t="s">
        <v>2387</v>
      </c>
      <c r="E444" s="69" t="s">
        <v>2388</v>
      </c>
      <c r="F444" s="69">
        <v>30</v>
      </c>
      <c r="G444" s="69">
        <v>60</v>
      </c>
      <c r="H444" s="69" t="s">
        <v>2399</v>
      </c>
      <c r="I444" s="69" t="s">
        <v>2479</v>
      </c>
      <c r="J444" s="69" t="s">
        <v>2424</v>
      </c>
      <c r="K444" s="69"/>
      <c r="L444" s="72" t="s">
        <v>2387</v>
      </c>
      <c r="M444" s="72" t="b">
        <f t="shared" si="6"/>
        <v>1</v>
      </c>
    </row>
    <row r="445" spans="1:13" x14ac:dyDescent="0.25">
      <c r="A445" s="69" t="s">
        <v>2076</v>
      </c>
      <c r="B445" s="70">
        <v>44001833</v>
      </c>
      <c r="C445" s="69" t="s">
        <v>15</v>
      </c>
      <c r="D445" s="71" t="s">
        <v>2387</v>
      </c>
      <c r="E445" s="69" t="s">
        <v>2388</v>
      </c>
      <c r="F445" s="69">
        <v>30</v>
      </c>
      <c r="G445" s="69">
        <v>0</v>
      </c>
      <c r="H445" s="69" t="s">
        <v>2412</v>
      </c>
      <c r="I445" s="69" t="s">
        <v>2410</v>
      </c>
      <c r="J445" s="69" t="s">
        <v>2401</v>
      </c>
      <c r="K445" s="69" t="s">
        <v>3032</v>
      </c>
      <c r="L445" s="72" t="s">
        <v>2387</v>
      </c>
      <c r="M445" s="72" t="b">
        <f t="shared" si="6"/>
        <v>1</v>
      </c>
    </row>
    <row r="446" spans="1:13" x14ac:dyDescent="0.25">
      <c r="A446" s="69" t="s">
        <v>2074</v>
      </c>
      <c r="B446" s="70">
        <v>44001833</v>
      </c>
      <c r="C446" s="69" t="s">
        <v>15</v>
      </c>
      <c r="D446" s="71" t="s">
        <v>2387</v>
      </c>
      <c r="E446" s="69" t="s">
        <v>2388</v>
      </c>
      <c r="F446" s="69">
        <v>30</v>
      </c>
      <c r="G446" s="69">
        <v>0</v>
      </c>
      <c r="H446" s="69" t="s">
        <v>2412</v>
      </c>
      <c r="I446" s="69" t="s">
        <v>2410</v>
      </c>
      <c r="J446" s="69" t="s">
        <v>2401</v>
      </c>
      <c r="K446" s="69" t="s">
        <v>3032</v>
      </c>
      <c r="L446" s="72" t="s">
        <v>2387</v>
      </c>
      <c r="M446" s="72" t="b">
        <f t="shared" si="6"/>
        <v>1</v>
      </c>
    </row>
    <row r="447" spans="1:13" x14ac:dyDescent="0.25">
      <c r="A447" s="69" t="s">
        <v>2355</v>
      </c>
      <c r="B447" s="70">
        <v>44001833</v>
      </c>
      <c r="C447" s="69" t="s">
        <v>15</v>
      </c>
      <c r="D447" s="71" t="s">
        <v>2387</v>
      </c>
      <c r="E447" s="69" t="s">
        <v>2388</v>
      </c>
      <c r="F447" s="69">
        <v>30</v>
      </c>
      <c r="G447" s="69">
        <v>60</v>
      </c>
      <c r="H447" s="69" t="s">
        <v>2412</v>
      </c>
      <c r="I447" s="69" t="s">
        <v>2479</v>
      </c>
      <c r="J447" s="69" t="s">
        <v>3027</v>
      </c>
      <c r="K447" s="69" t="s">
        <v>3026</v>
      </c>
      <c r="L447" s="72" t="s">
        <v>2387</v>
      </c>
      <c r="M447" s="72" t="b">
        <f t="shared" si="6"/>
        <v>1</v>
      </c>
    </row>
    <row r="448" spans="1:13" x14ac:dyDescent="0.25">
      <c r="A448" s="69" t="s">
        <v>2092</v>
      </c>
      <c r="B448" s="70">
        <v>44001833</v>
      </c>
      <c r="C448" s="69" t="s">
        <v>15</v>
      </c>
      <c r="D448" s="71" t="s">
        <v>2387</v>
      </c>
      <c r="E448" s="69" t="s">
        <v>2388</v>
      </c>
      <c r="F448" s="69">
        <v>30</v>
      </c>
      <c r="G448" s="69">
        <v>60</v>
      </c>
      <c r="H448" s="69" t="s">
        <v>2399</v>
      </c>
      <c r="I448" s="69" t="s">
        <v>2479</v>
      </c>
      <c r="J448" s="69" t="s">
        <v>2424</v>
      </c>
      <c r="K448" s="69"/>
      <c r="L448" s="72" t="s">
        <v>2387</v>
      </c>
      <c r="M448" s="72" t="b">
        <f t="shared" si="6"/>
        <v>1</v>
      </c>
    </row>
    <row r="449" spans="1:13" x14ac:dyDescent="0.25">
      <c r="A449" s="69" t="s">
        <v>136</v>
      </c>
      <c r="B449" s="70">
        <v>44001833</v>
      </c>
      <c r="C449" s="69" t="s">
        <v>15</v>
      </c>
      <c r="D449" s="71" t="s">
        <v>2387</v>
      </c>
      <c r="E449" s="69" t="s">
        <v>2388</v>
      </c>
      <c r="F449" s="69">
        <v>30</v>
      </c>
      <c r="G449" s="69">
        <v>60</v>
      </c>
      <c r="H449" s="69" t="s">
        <v>2399</v>
      </c>
      <c r="I449" s="69" t="s">
        <v>2479</v>
      </c>
      <c r="J449" s="69" t="s">
        <v>2424</v>
      </c>
      <c r="K449" s="69"/>
      <c r="L449" s="72" t="s">
        <v>2387</v>
      </c>
      <c r="M449" s="72" t="b">
        <f t="shared" si="6"/>
        <v>1</v>
      </c>
    </row>
    <row r="450" spans="1:13" x14ac:dyDescent="0.25">
      <c r="A450" s="69" t="s">
        <v>133</v>
      </c>
      <c r="B450" s="70">
        <v>44001833</v>
      </c>
      <c r="C450" s="69" t="s">
        <v>15</v>
      </c>
      <c r="D450" s="71" t="s">
        <v>2387</v>
      </c>
      <c r="E450" s="69" t="s">
        <v>2388</v>
      </c>
      <c r="F450" s="69">
        <v>30</v>
      </c>
      <c r="G450" s="69">
        <v>60</v>
      </c>
      <c r="H450" s="69" t="s">
        <v>2399</v>
      </c>
      <c r="I450" s="69" t="s">
        <v>2479</v>
      </c>
      <c r="J450" s="69" t="s">
        <v>2424</v>
      </c>
      <c r="K450" s="69"/>
      <c r="L450" s="72" t="s">
        <v>2387</v>
      </c>
      <c r="M450" s="72" t="b">
        <f t="shared" ref="M450:M513" si="7">L450=D450</f>
        <v>1</v>
      </c>
    </row>
    <row r="451" spans="1:13" x14ac:dyDescent="0.25">
      <c r="A451" s="69" t="s">
        <v>2301</v>
      </c>
      <c r="B451" s="70">
        <v>44001833</v>
      </c>
      <c r="C451" s="69" t="s">
        <v>15</v>
      </c>
      <c r="D451" s="71" t="s">
        <v>2387</v>
      </c>
      <c r="E451" s="69" t="s">
        <v>2388</v>
      </c>
      <c r="F451" s="69">
        <v>30</v>
      </c>
      <c r="G451" s="69">
        <v>60</v>
      </c>
      <c r="H451" s="69" t="s">
        <v>2399</v>
      </c>
      <c r="I451" s="69" t="s">
        <v>2479</v>
      </c>
      <c r="J451" s="69" t="s">
        <v>2424</v>
      </c>
      <c r="K451" s="69"/>
      <c r="L451" s="72" t="s">
        <v>2387</v>
      </c>
      <c r="M451" s="72" t="b">
        <f t="shared" si="7"/>
        <v>1</v>
      </c>
    </row>
    <row r="452" spans="1:13" x14ac:dyDescent="0.25">
      <c r="A452" s="69" t="s">
        <v>114</v>
      </c>
      <c r="B452" s="70">
        <v>44001833</v>
      </c>
      <c r="C452" s="69" t="s">
        <v>15</v>
      </c>
      <c r="D452" s="71" t="s">
        <v>2387</v>
      </c>
      <c r="E452" s="69" t="s">
        <v>2388</v>
      </c>
      <c r="F452" s="69">
        <v>30</v>
      </c>
      <c r="G452" s="69">
        <v>60</v>
      </c>
      <c r="H452" s="69" t="s">
        <v>2399</v>
      </c>
      <c r="I452" s="69" t="s">
        <v>2479</v>
      </c>
      <c r="J452" s="69" t="s">
        <v>2424</v>
      </c>
      <c r="K452" s="69"/>
      <c r="L452" s="72" t="s">
        <v>2387</v>
      </c>
      <c r="M452" s="72" t="b">
        <f t="shared" si="7"/>
        <v>1</v>
      </c>
    </row>
    <row r="453" spans="1:13" x14ac:dyDescent="0.25">
      <c r="A453" s="69" t="s">
        <v>109</v>
      </c>
      <c r="B453" s="70">
        <v>44001833</v>
      </c>
      <c r="C453" s="69" t="s">
        <v>15</v>
      </c>
      <c r="D453" s="71" t="s">
        <v>2387</v>
      </c>
      <c r="E453" s="69" t="s">
        <v>2388</v>
      </c>
      <c r="F453" s="69">
        <v>30</v>
      </c>
      <c r="G453" s="69">
        <v>60</v>
      </c>
      <c r="H453" s="69" t="s">
        <v>2399</v>
      </c>
      <c r="I453" s="69" t="s">
        <v>2479</v>
      </c>
      <c r="J453" s="69" t="s">
        <v>2424</v>
      </c>
      <c r="K453" s="69"/>
      <c r="L453" s="72" t="s">
        <v>2387</v>
      </c>
      <c r="M453" s="72" t="b">
        <f t="shared" si="7"/>
        <v>1</v>
      </c>
    </row>
    <row r="454" spans="1:13" x14ac:dyDescent="0.25">
      <c r="A454" s="69" t="s">
        <v>2083</v>
      </c>
      <c r="B454" s="70">
        <v>44001833</v>
      </c>
      <c r="C454" s="69" t="s">
        <v>15</v>
      </c>
      <c r="D454" s="71" t="s">
        <v>2387</v>
      </c>
      <c r="E454" s="69" t="s">
        <v>2388</v>
      </c>
      <c r="F454" s="69">
        <v>30</v>
      </c>
      <c r="G454" s="69">
        <v>60</v>
      </c>
      <c r="H454" s="69" t="s">
        <v>2412</v>
      </c>
      <c r="I454" s="69" t="s">
        <v>2479</v>
      </c>
      <c r="J454" s="69" t="s">
        <v>2424</v>
      </c>
      <c r="K454" s="69" t="s">
        <v>3026</v>
      </c>
      <c r="L454" s="72" t="s">
        <v>2387</v>
      </c>
      <c r="M454" s="72" t="b">
        <f t="shared" si="7"/>
        <v>1</v>
      </c>
    </row>
    <row r="455" spans="1:13" x14ac:dyDescent="0.25">
      <c r="A455" s="69" t="s">
        <v>106</v>
      </c>
      <c r="B455" s="70">
        <v>44001833</v>
      </c>
      <c r="C455" s="69" t="s">
        <v>15</v>
      </c>
      <c r="D455" s="71" t="s">
        <v>2387</v>
      </c>
      <c r="E455" s="69" t="s">
        <v>2388</v>
      </c>
      <c r="F455" s="69">
        <v>30</v>
      </c>
      <c r="G455" s="69">
        <v>60</v>
      </c>
      <c r="H455" s="69" t="s">
        <v>2399</v>
      </c>
      <c r="I455" s="69" t="s">
        <v>2479</v>
      </c>
      <c r="J455" s="69" t="s">
        <v>2424</v>
      </c>
      <c r="K455" s="69"/>
      <c r="L455" s="72" t="s">
        <v>2387</v>
      </c>
      <c r="M455" s="72" t="b">
        <f t="shared" si="7"/>
        <v>1</v>
      </c>
    </row>
    <row r="456" spans="1:13" x14ac:dyDescent="0.25">
      <c r="A456" s="69" t="s">
        <v>2008</v>
      </c>
      <c r="B456" s="70">
        <v>44001833</v>
      </c>
      <c r="C456" s="69" t="s">
        <v>15</v>
      </c>
      <c r="D456" s="71" t="s">
        <v>2387</v>
      </c>
      <c r="E456" s="69" t="s">
        <v>2388</v>
      </c>
      <c r="F456" s="69">
        <v>30</v>
      </c>
      <c r="G456" s="69">
        <v>0</v>
      </c>
      <c r="H456" s="69" t="s">
        <v>2412</v>
      </c>
      <c r="I456" s="69" t="s">
        <v>2410</v>
      </c>
      <c r="J456" s="69" t="s">
        <v>2408</v>
      </c>
      <c r="K456" s="69" t="s">
        <v>3009</v>
      </c>
      <c r="L456" s="72" t="s">
        <v>2387</v>
      </c>
      <c r="M456" s="72" t="b">
        <f t="shared" si="7"/>
        <v>1</v>
      </c>
    </row>
    <row r="457" spans="1:13" x14ac:dyDescent="0.25">
      <c r="A457" s="69" t="s">
        <v>81</v>
      </c>
      <c r="B457" s="70">
        <v>44001833</v>
      </c>
      <c r="C457" s="69" t="s">
        <v>15</v>
      </c>
      <c r="D457" s="71" t="s">
        <v>2387</v>
      </c>
      <c r="E457" s="69" t="s">
        <v>2388</v>
      </c>
      <c r="F457" s="69">
        <v>30</v>
      </c>
      <c r="G457" s="69">
        <v>60</v>
      </c>
      <c r="H457" s="69" t="s">
        <v>2399</v>
      </c>
      <c r="I457" s="69" t="s">
        <v>2479</v>
      </c>
      <c r="J457" s="69" t="s">
        <v>2424</v>
      </c>
      <c r="K457" s="69"/>
      <c r="L457" s="72" t="s">
        <v>2387</v>
      </c>
      <c r="M457" s="72" t="b">
        <f t="shared" si="7"/>
        <v>1</v>
      </c>
    </row>
    <row r="458" spans="1:13" x14ac:dyDescent="0.25">
      <c r="A458" s="69" t="s">
        <v>78</v>
      </c>
      <c r="B458" s="70">
        <v>44001833</v>
      </c>
      <c r="C458" s="69" t="s">
        <v>15</v>
      </c>
      <c r="D458" s="71" t="s">
        <v>2387</v>
      </c>
      <c r="E458" s="69" t="s">
        <v>2388</v>
      </c>
      <c r="F458" s="69">
        <v>30</v>
      </c>
      <c r="G458" s="69">
        <v>60</v>
      </c>
      <c r="H458" s="69" t="s">
        <v>2399</v>
      </c>
      <c r="I458" s="69" t="s">
        <v>2479</v>
      </c>
      <c r="J458" s="69" t="s">
        <v>2424</v>
      </c>
      <c r="K458" s="69"/>
      <c r="L458" s="72" t="s">
        <v>2387</v>
      </c>
      <c r="M458" s="72" t="b">
        <f t="shared" si="7"/>
        <v>1</v>
      </c>
    </row>
    <row r="459" spans="1:13" x14ac:dyDescent="0.25">
      <c r="A459" s="69" t="s">
        <v>75</v>
      </c>
      <c r="B459" s="70">
        <v>44001833</v>
      </c>
      <c r="C459" s="69" t="s">
        <v>15</v>
      </c>
      <c r="D459" s="71" t="s">
        <v>2387</v>
      </c>
      <c r="E459" s="69" t="s">
        <v>2388</v>
      </c>
      <c r="F459" s="69">
        <v>30</v>
      </c>
      <c r="G459" s="69">
        <v>60</v>
      </c>
      <c r="H459" s="69" t="s">
        <v>2399</v>
      </c>
      <c r="I459" s="69" t="s">
        <v>2479</v>
      </c>
      <c r="J459" s="69" t="s">
        <v>2424</v>
      </c>
      <c r="K459" s="69"/>
      <c r="L459" s="72" t="s">
        <v>2387</v>
      </c>
      <c r="M459" s="72" t="b">
        <f t="shared" si="7"/>
        <v>1</v>
      </c>
    </row>
    <row r="460" spans="1:13" x14ac:dyDescent="0.25">
      <c r="A460" s="69" t="s">
        <v>72</v>
      </c>
      <c r="B460" s="70">
        <v>44001833</v>
      </c>
      <c r="C460" s="69" t="s">
        <v>15</v>
      </c>
      <c r="D460" s="71" t="s">
        <v>2387</v>
      </c>
      <c r="E460" s="69" t="s">
        <v>2388</v>
      </c>
      <c r="F460" s="69">
        <v>30</v>
      </c>
      <c r="G460" s="69">
        <v>60</v>
      </c>
      <c r="H460" s="69" t="s">
        <v>2399</v>
      </c>
      <c r="I460" s="69" t="s">
        <v>2479</v>
      </c>
      <c r="J460" s="69" t="s">
        <v>2424</v>
      </c>
      <c r="K460" s="69"/>
      <c r="L460" s="72" t="s">
        <v>2387</v>
      </c>
      <c r="M460" s="72" t="b">
        <f t="shared" si="7"/>
        <v>1</v>
      </c>
    </row>
    <row r="461" spans="1:13" x14ac:dyDescent="0.25">
      <c r="A461" s="69" t="s">
        <v>69</v>
      </c>
      <c r="B461" s="70">
        <v>44001833</v>
      </c>
      <c r="C461" s="69" t="s">
        <v>15</v>
      </c>
      <c r="D461" s="71" t="s">
        <v>2387</v>
      </c>
      <c r="E461" s="69" t="s">
        <v>2388</v>
      </c>
      <c r="F461" s="69">
        <v>30</v>
      </c>
      <c r="G461" s="69">
        <v>60</v>
      </c>
      <c r="H461" s="69" t="s">
        <v>2399</v>
      </c>
      <c r="I461" s="69" t="s">
        <v>2479</v>
      </c>
      <c r="J461" s="69" t="s">
        <v>2424</v>
      </c>
      <c r="K461" s="69"/>
      <c r="L461" s="72" t="s">
        <v>2387</v>
      </c>
      <c r="M461" s="72" t="b">
        <f t="shared" si="7"/>
        <v>1</v>
      </c>
    </row>
    <row r="462" spans="1:13" x14ac:dyDescent="0.25">
      <c r="A462" s="69" t="s">
        <v>2480</v>
      </c>
      <c r="B462" s="70">
        <v>44001833</v>
      </c>
      <c r="C462" s="69" t="s">
        <v>15</v>
      </c>
      <c r="D462" s="71" t="s">
        <v>2387</v>
      </c>
      <c r="E462" s="69" t="s">
        <v>2388</v>
      </c>
      <c r="F462" s="69">
        <v>30</v>
      </c>
      <c r="G462" s="69">
        <v>30</v>
      </c>
      <c r="H462" s="69" t="s">
        <v>2412</v>
      </c>
      <c r="I462" s="69" t="s">
        <v>2410</v>
      </c>
      <c r="J462" s="69" t="s">
        <v>2401</v>
      </c>
      <c r="K462" s="69" t="s">
        <v>3032</v>
      </c>
      <c r="L462" s="72" t="s">
        <v>2387</v>
      </c>
      <c r="M462" s="72" t="b">
        <f t="shared" si="7"/>
        <v>1</v>
      </c>
    </row>
    <row r="463" spans="1:13" x14ac:dyDescent="0.25">
      <c r="A463" s="69" t="s">
        <v>2481</v>
      </c>
      <c r="B463" s="70">
        <v>44001833</v>
      </c>
      <c r="C463" s="69" t="s">
        <v>15</v>
      </c>
      <c r="D463" s="71" t="s">
        <v>2387</v>
      </c>
      <c r="E463" s="69" t="s">
        <v>2388</v>
      </c>
      <c r="F463" s="69">
        <v>30</v>
      </c>
      <c r="G463" s="69">
        <v>30</v>
      </c>
      <c r="H463" s="69" t="s">
        <v>2412</v>
      </c>
      <c r="I463" s="69" t="s">
        <v>2410</v>
      </c>
      <c r="J463" s="69" t="s">
        <v>2401</v>
      </c>
      <c r="K463" s="69" t="s">
        <v>3032</v>
      </c>
      <c r="L463" s="72" t="s">
        <v>2387</v>
      </c>
      <c r="M463" s="72" t="b">
        <f t="shared" si="7"/>
        <v>1</v>
      </c>
    </row>
    <row r="464" spans="1:13" x14ac:dyDescent="0.25">
      <c r="A464" s="69" t="s">
        <v>60</v>
      </c>
      <c r="B464" s="70">
        <v>44001833</v>
      </c>
      <c r="C464" s="69" t="s">
        <v>15</v>
      </c>
      <c r="D464" s="71" t="s">
        <v>2387</v>
      </c>
      <c r="E464" s="69" t="s">
        <v>2388</v>
      </c>
      <c r="F464" s="69">
        <v>30</v>
      </c>
      <c r="G464" s="69">
        <v>60</v>
      </c>
      <c r="H464" s="69" t="s">
        <v>2399</v>
      </c>
      <c r="I464" s="69" t="s">
        <v>2479</v>
      </c>
      <c r="J464" s="69" t="s">
        <v>2424</v>
      </c>
      <c r="K464" s="69"/>
      <c r="L464" s="72" t="s">
        <v>2387</v>
      </c>
      <c r="M464" s="72" t="b">
        <f t="shared" si="7"/>
        <v>1</v>
      </c>
    </row>
    <row r="465" spans="1:13" x14ac:dyDescent="0.25">
      <c r="A465" s="69" t="s">
        <v>57</v>
      </c>
      <c r="B465" s="70">
        <v>44001833</v>
      </c>
      <c r="C465" s="69" t="s">
        <v>15</v>
      </c>
      <c r="D465" s="71" t="s">
        <v>2387</v>
      </c>
      <c r="E465" s="69" t="s">
        <v>2388</v>
      </c>
      <c r="F465" s="69">
        <v>30</v>
      </c>
      <c r="G465" s="69">
        <v>60</v>
      </c>
      <c r="H465" s="69" t="s">
        <v>2399</v>
      </c>
      <c r="I465" s="69" t="s">
        <v>2479</v>
      </c>
      <c r="J465" s="69" t="s">
        <v>2424</v>
      </c>
      <c r="K465" s="69"/>
      <c r="L465" s="72" t="s">
        <v>2387</v>
      </c>
      <c r="M465" s="72" t="b">
        <f t="shared" si="7"/>
        <v>1</v>
      </c>
    </row>
    <row r="466" spans="1:13" x14ac:dyDescent="0.25">
      <c r="A466" s="69" t="s">
        <v>54</v>
      </c>
      <c r="B466" s="70">
        <v>44001833</v>
      </c>
      <c r="C466" s="69" t="s">
        <v>15</v>
      </c>
      <c r="D466" s="71" t="s">
        <v>2387</v>
      </c>
      <c r="E466" s="69" t="s">
        <v>2388</v>
      </c>
      <c r="F466" s="69">
        <v>30</v>
      </c>
      <c r="G466" s="69">
        <v>60</v>
      </c>
      <c r="H466" s="69" t="s">
        <v>2399</v>
      </c>
      <c r="I466" s="69" t="s">
        <v>2479</v>
      </c>
      <c r="J466" s="69" t="s">
        <v>2424</v>
      </c>
      <c r="K466" s="69"/>
      <c r="L466" s="72" t="s">
        <v>2387</v>
      </c>
      <c r="M466" s="72" t="b">
        <f t="shared" si="7"/>
        <v>1</v>
      </c>
    </row>
    <row r="467" spans="1:13" x14ac:dyDescent="0.25">
      <c r="A467" s="69" t="s">
        <v>51</v>
      </c>
      <c r="B467" s="70">
        <v>44001833</v>
      </c>
      <c r="C467" s="69" t="s">
        <v>15</v>
      </c>
      <c r="D467" s="71" t="s">
        <v>2387</v>
      </c>
      <c r="E467" s="69" t="s">
        <v>2388</v>
      </c>
      <c r="F467" s="69">
        <v>30</v>
      </c>
      <c r="G467" s="69">
        <v>60</v>
      </c>
      <c r="H467" s="69" t="s">
        <v>2399</v>
      </c>
      <c r="I467" s="69" t="s">
        <v>2479</v>
      </c>
      <c r="J467" s="69" t="s">
        <v>2424</v>
      </c>
      <c r="K467" s="69"/>
      <c r="L467" s="72" t="s">
        <v>2387</v>
      </c>
      <c r="M467" s="72" t="b">
        <f t="shared" si="7"/>
        <v>1</v>
      </c>
    </row>
    <row r="468" spans="1:13" x14ac:dyDescent="0.25">
      <c r="A468" s="69" t="s">
        <v>48</v>
      </c>
      <c r="B468" s="70">
        <v>44001833</v>
      </c>
      <c r="C468" s="69" t="s">
        <v>15</v>
      </c>
      <c r="D468" s="71" t="s">
        <v>2387</v>
      </c>
      <c r="E468" s="69" t="s">
        <v>2388</v>
      </c>
      <c r="F468" s="69">
        <v>30</v>
      </c>
      <c r="G468" s="69">
        <v>60</v>
      </c>
      <c r="H468" s="69" t="s">
        <v>2399</v>
      </c>
      <c r="I468" s="69" t="s">
        <v>2479</v>
      </c>
      <c r="J468" s="69" t="s">
        <v>2424</v>
      </c>
      <c r="K468" s="69"/>
      <c r="L468" s="72" t="s">
        <v>2387</v>
      </c>
      <c r="M468" s="72" t="b">
        <f t="shared" si="7"/>
        <v>1</v>
      </c>
    </row>
    <row r="469" spans="1:13" x14ac:dyDescent="0.25">
      <c r="A469" s="69" t="s">
        <v>45</v>
      </c>
      <c r="B469" s="70">
        <v>44001833</v>
      </c>
      <c r="C469" s="69" t="s">
        <v>15</v>
      </c>
      <c r="D469" s="71" t="s">
        <v>2387</v>
      </c>
      <c r="E469" s="69" t="s">
        <v>2388</v>
      </c>
      <c r="F469" s="69">
        <v>30</v>
      </c>
      <c r="G469" s="69">
        <v>60</v>
      </c>
      <c r="H469" s="69" t="s">
        <v>2399</v>
      </c>
      <c r="I469" s="69" t="s">
        <v>2479</v>
      </c>
      <c r="J469" s="69" t="s">
        <v>2424</v>
      </c>
      <c r="K469" s="69"/>
      <c r="L469" s="72" t="s">
        <v>2387</v>
      </c>
      <c r="M469" s="72" t="b">
        <f t="shared" si="7"/>
        <v>1</v>
      </c>
    </row>
    <row r="470" spans="1:13" x14ac:dyDescent="0.25">
      <c r="A470" s="69" t="s">
        <v>42</v>
      </c>
      <c r="B470" s="70">
        <v>44001833</v>
      </c>
      <c r="C470" s="69" t="s">
        <v>15</v>
      </c>
      <c r="D470" s="71" t="s">
        <v>2387</v>
      </c>
      <c r="E470" s="69" t="s">
        <v>2388</v>
      </c>
      <c r="F470" s="69">
        <v>30</v>
      </c>
      <c r="G470" s="69">
        <v>60</v>
      </c>
      <c r="H470" s="69" t="s">
        <v>2399</v>
      </c>
      <c r="I470" s="69" t="s">
        <v>2479</v>
      </c>
      <c r="J470" s="69" t="s">
        <v>2424</v>
      </c>
      <c r="K470" s="69"/>
      <c r="L470" s="72" t="s">
        <v>2387</v>
      </c>
      <c r="M470" s="72" t="b">
        <f t="shared" si="7"/>
        <v>1</v>
      </c>
    </row>
    <row r="471" spans="1:13" x14ac:dyDescent="0.25">
      <c r="A471" s="69" t="s">
        <v>36</v>
      </c>
      <c r="B471" s="70">
        <v>44001833</v>
      </c>
      <c r="C471" s="69" t="s">
        <v>15</v>
      </c>
      <c r="D471" s="71" t="s">
        <v>2387</v>
      </c>
      <c r="E471" s="69" t="s">
        <v>2388</v>
      </c>
      <c r="F471" s="69">
        <v>30</v>
      </c>
      <c r="G471" s="69">
        <v>60</v>
      </c>
      <c r="H471" s="69" t="s">
        <v>2399</v>
      </c>
      <c r="I471" s="69" t="s">
        <v>2479</v>
      </c>
      <c r="J471" s="69" t="s">
        <v>2424</v>
      </c>
      <c r="K471" s="69"/>
      <c r="L471" s="72" t="s">
        <v>2387</v>
      </c>
      <c r="M471" s="72" t="b">
        <f t="shared" si="7"/>
        <v>1</v>
      </c>
    </row>
    <row r="472" spans="1:13" x14ac:dyDescent="0.25">
      <c r="A472" s="69" t="s">
        <v>33</v>
      </c>
      <c r="B472" s="70">
        <v>44001833</v>
      </c>
      <c r="C472" s="69" t="s">
        <v>15</v>
      </c>
      <c r="D472" s="71" t="s">
        <v>2387</v>
      </c>
      <c r="E472" s="69" t="s">
        <v>2388</v>
      </c>
      <c r="F472" s="69">
        <v>30</v>
      </c>
      <c r="G472" s="69">
        <v>60</v>
      </c>
      <c r="H472" s="69" t="s">
        <v>2391</v>
      </c>
      <c r="I472" s="69" t="s">
        <v>2479</v>
      </c>
      <c r="J472" s="69" t="s">
        <v>2424</v>
      </c>
      <c r="K472" s="69"/>
      <c r="L472" s="72" t="s">
        <v>2387</v>
      </c>
      <c r="M472" s="72" t="b">
        <f t="shared" si="7"/>
        <v>1</v>
      </c>
    </row>
    <row r="473" spans="1:13" x14ac:dyDescent="0.25">
      <c r="A473" s="69" t="s">
        <v>23</v>
      </c>
      <c r="B473" s="70">
        <v>44001833</v>
      </c>
      <c r="C473" s="69" t="s">
        <v>15</v>
      </c>
      <c r="D473" s="71" t="s">
        <v>2387</v>
      </c>
      <c r="E473" s="69" t="s">
        <v>2388</v>
      </c>
      <c r="F473" s="69">
        <v>30</v>
      </c>
      <c r="G473" s="69">
        <v>60</v>
      </c>
      <c r="H473" s="69" t="s">
        <v>2399</v>
      </c>
      <c r="I473" s="69" t="s">
        <v>2479</v>
      </c>
      <c r="J473" s="69" t="s">
        <v>2424</v>
      </c>
      <c r="K473" s="69"/>
      <c r="L473" s="72" t="s">
        <v>2387</v>
      </c>
      <c r="M473" s="72" t="b">
        <f t="shared" si="7"/>
        <v>1</v>
      </c>
    </row>
    <row r="474" spans="1:13" x14ac:dyDescent="0.25">
      <c r="A474" s="69" t="s">
        <v>20</v>
      </c>
      <c r="B474" s="70">
        <v>44001833</v>
      </c>
      <c r="C474" s="69" t="s">
        <v>15</v>
      </c>
      <c r="D474" s="71" t="s">
        <v>2387</v>
      </c>
      <c r="E474" s="69" t="s">
        <v>2388</v>
      </c>
      <c r="F474" s="69">
        <v>30</v>
      </c>
      <c r="G474" s="69">
        <v>60</v>
      </c>
      <c r="H474" s="69" t="s">
        <v>2399</v>
      </c>
      <c r="I474" s="69" t="s">
        <v>2479</v>
      </c>
      <c r="J474" s="69" t="s">
        <v>2424</v>
      </c>
      <c r="K474" s="69"/>
      <c r="L474" s="72" t="s">
        <v>2387</v>
      </c>
      <c r="M474" s="72" t="b">
        <f t="shared" si="7"/>
        <v>1</v>
      </c>
    </row>
    <row r="475" spans="1:13" x14ac:dyDescent="0.25">
      <c r="A475" s="69" t="s">
        <v>17</v>
      </c>
      <c r="B475" s="70">
        <v>44001833</v>
      </c>
      <c r="C475" s="69" t="s">
        <v>15</v>
      </c>
      <c r="D475" s="71" t="s">
        <v>2387</v>
      </c>
      <c r="E475" s="69" t="s">
        <v>2388</v>
      </c>
      <c r="F475" s="69">
        <v>30</v>
      </c>
      <c r="G475" s="69">
        <v>60</v>
      </c>
      <c r="H475" s="69" t="s">
        <v>2399</v>
      </c>
      <c r="I475" s="69" t="s">
        <v>2479</v>
      </c>
      <c r="J475" s="69" t="s">
        <v>2424</v>
      </c>
      <c r="K475" s="69"/>
      <c r="L475" s="72" t="s">
        <v>2387</v>
      </c>
      <c r="M475" s="72" t="b">
        <f t="shared" si="7"/>
        <v>1</v>
      </c>
    </row>
    <row r="476" spans="1:13" x14ac:dyDescent="0.25">
      <c r="A476" s="69" t="s">
        <v>2005</v>
      </c>
      <c r="B476" s="70">
        <v>44001833</v>
      </c>
      <c r="C476" s="69" t="s">
        <v>15</v>
      </c>
      <c r="D476" s="71" t="s">
        <v>2387</v>
      </c>
      <c r="E476" s="69" t="s">
        <v>2388</v>
      </c>
      <c r="F476" s="69">
        <v>30</v>
      </c>
      <c r="G476" s="69">
        <v>60</v>
      </c>
      <c r="H476" s="69" t="s">
        <v>2391</v>
      </c>
      <c r="I476" s="69" t="s">
        <v>2479</v>
      </c>
      <c r="J476" s="69" t="s">
        <v>2424</v>
      </c>
      <c r="K476" s="69"/>
      <c r="L476" s="72" t="s">
        <v>2387</v>
      </c>
      <c r="M476" s="72" t="b">
        <f t="shared" si="7"/>
        <v>1</v>
      </c>
    </row>
    <row r="477" spans="1:13" x14ac:dyDescent="0.25">
      <c r="A477" s="69" t="s">
        <v>696</v>
      </c>
      <c r="B477" s="70">
        <v>44001833</v>
      </c>
      <c r="C477" s="69" t="s">
        <v>15</v>
      </c>
      <c r="D477" s="71" t="s">
        <v>2387</v>
      </c>
      <c r="E477" s="69" t="s">
        <v>2388</v>
      </c>
      <c r="F477" s="69">
        <v>30</v>
      </c>
      <c r="G477" s="69">
        <v>60</v>
      </c>
      <c r="H477" s="69" t="s">
        <v>2399</v>
      </c>
      <c r="I477" s="69" t="s">
        <v>2479</v>
      </c>
      <c r="J477" s="69" t="s">
        <v>2424</v>
      </c>
      <c r="K477" s="69"/>
      <c r="L477" s="72" t="s">
        <v>2387</v>
      </c>
      <c r="M477" s="72" t="b">
        <f t="shared" si="7"/>
        <v>1</v>
      </c>
    </row>
    <row r="478" spans="1:13" x14ac:dyDescent="0.25">
      <c r="A478" s="69" t="s">
        <v>2367</v>
      </c>
      <c r="B478" s="70">
        <v>44001833</v>
      </c>
      <c r="C478" s="69" t="s">
        <v>15</v>
      </c>
      <c r="D478" s="71" t="s">
        <v>2387</v>
      </c>
      <c r="E478" s="69" t="s">
        <v>2388</v>
      </c>
      <c r="F478" s="69"/>
      <c r="G478" s="69"/>
      <c r="H478" s="69" t="s">
        <v>2412</v>
      </c>
      <c r="I478" s="69" t="s">
        <v>2410</v>
      </c>
      <c r="J478" s="69" t="s">
        <v>3027</v>
      </c>
      <c r="K478" s="69" t="s">
        <v>3026</v>
      </c>
      <c r="L478" s="72" t="s">
        <v>2387</v>
      </c>
      <c r="M478" s="72" t="b">
        <f t="shared" si="7"/>
        <v>1</v>
      </c>
    </row>
    <row r="479" spans="1:13" x14ac:dyDescent="0.25">
      <c r="A479" s="69" t="s">
        <v>2356</v>
      </c>
      <c r="B479" s="70">
        <v>44001833</v>
      </c>
      <c r="C479" s="69" t="s">
        <v>15</v>
      </c>
      <c r="D479" s="71" t="s">
        <v>2387</v>
      </c>
      <c r="E479" s="69" t="s">
        <v>2388</v>
      </c>
      <c r="F479" s="69"/>
      <c r="G479" s="69"/>
      <c r="H479" s="69" t="s">
        <v>2412</v>
      </c>
      <c r="I479" s="69" t="s">
        <v>2410</v>
      </c>
      <c r="J479" s="69" t="s">
        <v>3027</v>
      </c>
      <c r="K479" s="69" t="s">
        <v>3026</v>
      </c>
      <c r="L479" s="72" t="s">
        <v>2387</v>
      </c>
      <c r="M479" s="72" t="b">
        <f t="shared" si="7"/>
        <v>1</v>
      </c>
    </row>
    <row r="480" spans="1:13" x14ac:dyDescent="0.25">
      <c r="A480" s="69" t="s">
        <v>2311</v>
      </c>
      <c r="B480" s="70">
        <v>44001833</v>
      </c>
      <c r="C480" s="69" t="s">
        <v>15</v>
      </c>
      <c r="D480" s="71" t="s">
        <v>2387</v>
      </c>
      <c r="E480" s="69" t="s">
        <v>2388</v>
      </c>
      <c r="F480" s="69"/>
      <c r="G480" s="69"/>
      <c r="H480" s="69" t="s">
        <v>2412</v>
      </c>
      <c r="I480" s="69" t="s">
        <v>2410</v>
      </c>
      <c r="J480" s="69" t="s">
        <v>3027</v>
      </c>
      <c r="K480" s="69" t="s">
        <v>3026</v>
      </c>
      <c r="L480" s="72" t="s">
        <v>2387</v>
      </c>
      <c r="M480" s="72" t="b">
        <f t="shared" si="7"/>
        <v>1</v>
      </c>
    </row>
    <row r="481" spans="1:13" x14ac:dyDescent="0.25">
      <c r="A481" s="69" t="s">
        <v>693</v>
      </c>
      <c r="B481" s="70">
        <v>44001833</v>
      </c>
      <c r="C481" s="69" t="s">
        <v>15</v>
      </c>
      <c r="D481" s="71" t="s">
        <v>2387</v>
      </c>
      <c r="E481" s="69" t="s">
        <v>2388</v>
      </c>
      <c r="F481" s="69">
        <v>30</v>
      </c>
      <c r="G481" s="69">
        <v>60</v>
      </c>
      <c r="H481" s="69" t="s">
        <v>2399</v>
      </c>
      <c r="I481" s="69" t="s">
        <v>2479</v>
      </c>
      <c r="J481" s="69" t="s">
        <v>2424</v>
      </c>
      <c r="K481" s="69"/>
      <c r="L481" s="72" t="s">
        <v>2387</v>
      </c>
      <c r="M481" s="72" t="b">
        <f t="shared" si="7"/>
        <v>1</v>
      </c>
    </row>
    <row r="482" spans="1:13" x14ac:dyDescent="0.25">
      <c r="A482" s="69" t="s">
        <v>690</v>
      </c>
      <c r="B482" s="70">
        <v>44001833</v>
      </c>
      <c r="C482" s="69" t="s">
        <v>15</v>
      </c>
      <c r="D482" s="71" t="s">
        <v>2387</v>
      </c>
      <c r="E482" s="69" t="s">
        <v>2388</v>
      </c>
      <c r="F482" s="69">
        <v>30</v>
      </c>
      <c r="G482" s="69">
        <v>60</v>
      </c>
      <c r="H482" s="69" t="s">
        <v>2399</v>
      </c>
      <c r="I482" s="69" t="s">
        <v>2479</v>
      </c>
      <c r="J482" s="69" t="s">
        <v>2424</v>
      </c>
      <c r="K482" s="69"/>
      <c r="L482" s="72" t="s">
        <v>2387</v>
      </c>
      <c r="M482" s="72" t="b">
        <f t="shared" si="7"/>
        <v>1</v>
      </c>
    </row>
    <row r="483" spans="1:13" x14ac:dyDescent="0.25">
      <c r="A483" s="69" t="s">
        <v>687</v>
      </c>
      <c r="B483" s="70">
        <v>44001833</v>
      </c>
      <c r="C483" s="69" t="s">
        <v>15</v>
      </c>
      <c r="D483" s="71" t="s">
        <v>2387</v>
      </c>
      <c r="E483" s="69" t="s">
        <v>2388</v>
      </c>
      <c r="F483" s="69">
        <v>30</v>
      </c>
      <c r="G483" s="69">
        <v>60</v>
      </c>
      <c r="H483" s="69" t="s">
        <v>2399</v>
      </c>
      <c r="I483" s="69" t="s">
        <v>2479</v>
      </c>
      <c r="J483" s="69" t="s">
        <v>2424</v>
      </c>
      <c r="K483" s="69"/>
      <c r="L483" s="72" t="s">
        <v>2387</v>
      </c>
      <c r="M483" s="72" t="b">
        <f t="shared" si="7"/>
        <v>1</v>
      </c>
    </row>
    <row r="484" spans="1:13" x14ac:dyDescent="0.25">
      <c r="A484" s="69" t="s">
        <v>684</v>
      </c>
      <c r="B484" s="70">
        <v>44001833</v>
      </c>
      <c r="C484" s="69" t="s">
        <v>15</v>
      </c>
      <c r="D484" s="71" t="s">
        <v>2387</v>
      </c>
      <c r="E484" s="69" t="s">
        <v>2388</v>
      </c>
      <c r="F484" s="69">
        <v>30</v>
      </c>
      <c r="G484" s="69">
        <v>60</v>
      </c>
      <c r="H484" s="69" t="s">
        <v>2399</v>
      </c>
      <c r="I484" s="69" t="s">
        <v>2479</v>
      </c>
      <c r="J484" s="69" t="s">
        <v>2424</v>
      </c>
      <c r="K484" s="69"/>
      <c r="L484" s="72" t="s">
        <v>2387</v>
      </c>
      <c r="M484" s="72" t="b">
        <f t="shared" si="7"/>
        <v>1</v>
      </c>
    </row>
    <row r="485" spans="1:13" x14ac:dyDescent="0.25">
      <c r="A485" s="69" t="s">
        <v>681</v>
      </c>
      <c r="B485" s="70">
        <v>44001833</v>
      </c>
      <c r="C485" s="69" t="s">
        <v>15</v>
      </c>
      <c r="D485" s="71" t="s">
        <v>2387</v>
      </c>
      <c r="E485" s="69" t="s">
        <v>2388</v>
      </c>
      <c r="F485" s="69">
        <v>30</v>
      </c>
      <c r="G485" s="69">
        <v>60</v>
      </c>
      <c r="H485" s="69" t="s">
        <v>2399</v>
      </c>
      <c r="I485" s="69" t="s">
        <v>2479</v>
      </c>
      <c r="J485" s="69" t="s">
        <v>2424</v>
      </c>
      <c r="K485" s="69"/>
      <c r="L485" s="72" t="s">
        <v>2387</v>
      </c>
      <c r="M485" s="72" t="b">
        <f t="shared" si="7"/>
        <v>1</v>
      </c>
    </row>
    <row r="486" spans="1:13" x14ac:dyDescent="0.25">
      <c r="A486" s="69" t="s">
        <v>678</v>
      </c>
      <c r="B486" s="70">
        <v>44001833</v>
      </c>
      <c r="C486" s="69" t="s">
        <v>15</v>
      </c>
      <c r="D486" s="71" t="s">
        <v>2387</v>
      </c>
      <c r="E486" s="69" t="s">
        <v>2388</v>
      </c>
      <c r="F486" s="69">
        <v>30</v>
      </c>
      <c r="G486" s="69">
        <v>60</v>
      </c>
      <c r="H486" s="69" t="s">
        <v>2399</v>
      </c>
      <c r="I486" s="69" t="s">
        <v>2479</v>
      </c>
      <c r="J486" s="69" t="s">
        <v>2424</v>
      </c>
      <c r="K486" s="69"/>
      <c r="L486" s="72" t="s">
        <v>2387</v>
      </c>
      <c r="M486" s="72" t="b">
        <f t="shared" si="7"/>
        <v>1</v>
      </c>
    </row>
    <row r="487" spans="1:13" x14ac:dyDescent="0.25">
      <c r="A487" s="69" t="s">
        <v>675</v>
      </c>
      <c r="B487" s="70">
        <v>44001833</v>
      </c>
      <c r="C487" s="69" t="s">
        <v>15</v>
      </c>
      <c r="D487" s="71" t="s">
        <v>2387</v>
      </c>
      <c r="E487" s="69" t="s">
        <v>2388</v>
      </c>
      <c r="F487" s="69">
        <v>30</v>
      </c>
      <c r="G487" s="69">
        <v>60</v>
      </c>
      <c r="H487" s="69" t="s">
        <v>2399</v>
      </c>
      <c r="I487" s="69" t="s">
        <v>2479</v>
      </c>
      <c r="J487" s="69" t="s">
        <v>2424</v>
      </c>
      <c r="K487" s="69"/>
      <c r="L487" s="72" t="s">
        <v>2387</v>
      </c>
      <c r="M487" s="72" t="b">
        <f t="shared" si="7"/>
        <v>1</v>
      </c>
    </row>
    <row r="488" spans="1:13" x14ac:dyDescent="0.25">
      <c r="A488" s="69" t="s">
        <v>672</v>
      </c>
      <c r="B488" s="70">
        <v>44001833</v>
      </c>
      <c r="C488" s="69" t="s">
        <v>15</v>
      </c>
      <c r="D488" s="71" t="s">
        <v>2387</v>
      </c>
      <c r="E488" s="69" t="s">
        <v>2388</v>
      </c>
      <c r="F488" s="69">
        <v>30</v>
      </c>
      <c r="G488" s="69">
        <v>60</v>
      </c>
      <c r="H488" s="69" t="s">
        <v>2399</v>
      </c>
      <c r="I488" s="69" t="s">
        <v>2479</v>
      </c>
      <c r="J488" s="69" t="s">
        <v>2424</v>
      </c>
      <c r="K488" s="69"/>
      <c r="L488" s="72" t="s">
        <v>2387</v>
      </c>
      <c r="M488" s="72" t="b">
        <f t="shared" si="7"/>
        <v>1</v>
      </c>
    </row>
    <row r="489" spans="1:13" x14ac:dyDescent="0.25">
      <c r="A489" s="69" t="s">
        <v>669</v>
      </c>
      <c r="B489" s="70">
        <v>44001833</v>
      </c>
      <c r="C489" s="69" t="s">
        <v>15</v>
      </c>
      <c r="D489" s="71" t="s">
        <v>2387</v>
      </c>
      <c r="E489" s="69" t="s">
        <v>2388</v>
      </c>
      <c r="F489" s="69">
        <v>30</v>
      </c>
      <c r="G489" s="69">
        <v>60</v>
      </c>
      <c r="H489" s="69" t="s">
        <v>2399</v>
      </c>
      <c r="I489" s="69" t="s">
        <v>2479</v>
      </c>
      <c r="J489" s="69" t="s">
        <v>2424</v>
      </c>
      <c r="K489" s="69"/>
      <c r="L489" s="72" t="s">
        <v>2387</v>
      </c>
      <c r="M489" s="72" t="b">
        <f t="shared" si="7"/>
        <v>1</v>
      </c>
    </row>
    <row r="490" spans="1:13" x14ac:dyDescent="0.25">
      <c r="A490" s="69" t="s">
        <v>666</v>
      </c>
      <c r="B490" s="70">
        <v>44001833</v>
      </c>
      <c r="C490" s="69" t="s">
        <v>15</v>
      </c>
      <c r="D490" s="71" t="s">
        <v>2387</v>
      </c>
      <c r="E490" s="69" t="s">
        <v>2388</v>
      </c>
      <c r="F490" s="69">
        <v>30</v>
      </c>
      <c r="G490" s="69">
        <v>60</v>
      </c>
      <c r="H490" s="69" t="s">
        <v>2399</v>
      </c>
      <c r="I490" s="69" t="s">
        <v>2479</v>
      </c>
      <c r="J490" s="69" t="s">
        <v>2424</v>
      </c>
      <c r="K490" s="69"/>
      <c r="L490" s="72" t="s">
        <v>2387</v>
      </c>
      <c r="M490" s="72" t="b">
        <f t="shared" si="7"/>
        <v>1</v>
      </c>
    </row>
    <row r="491" spans="1:13" x14ac:dyDescent="0.25">
      <c r="A491" s="69" t="s">
        <v>663</v>
      </c>
      <c r="B491" s="70">
        <v>44001833</v>
      </c>
      <c r="C491" s="69" t="s">
        <v>15</v>
      </c>
      <c r="D491" s="71" t="s">
        <v>2387</v>
      </c>
      <c r="E491" s="69" t="s">
        <v>2388</v>
      </c>
      <c r="F491" s="69">
        <v>30</v>
      </c>
      <c r="G491" s="69">
        <v>60</v>
      </c>
      <c r="H491" s="69" t="s">
        <v>2399</v>
      </c>
      <c r="I491" s="69" t="s">
        <v>2479</v>
      </c>
      <c r="J491" s="69" t="s">
        <v>2424</v>
      </c>
      <c r="K491" s="69"/>
      <c r="L491" s="72" t="s">
        <v>2387</v>
      </c>
      <c r="M491" s="72" t="b">
        <f t="shared" si="7"/>
        <v>1</v>
      </c>
    </row>
    <row r="492" spans="1:13" x14ac:dyDescent="0.25">
      <c r="A492" s="69" t="s">
        <v>660</v>
      </c>
      <c r="B492" s="70">
        <v>44001833</v>
      </c>
      <c r="C492" s="69" t="s">
        <v>15</v>
      </c>
      <c r="D492" s="71" t="s">
        <v>2387</v>
      </c>
      <c r="E492" s="69" t="s">
        <v>2388</v>
      </c>
      <c r="F492" s="69">
        <v>30</v>
      </c>
      <c r="G492" s="69">
        <v>60</v>
      </c>
      <c r="H492" s="69" t="s">
        <v>2399</v>
      </c>
      <c r="I492" s="69" t="s">
        <v>2479</v>
      </c>
      <c r="J492" s="69" t="s">
        <v>2424</v>
      </c>
      <c r="K492" s="69"/>
      <c r="L492" s="72" t="s">
        <v>2387</v>
      </c>
      <c r="M492" s="72" t="b">
        <f t="shared" si="7"/>
        <v>1</v>
      </c>
    </row>
    <row r="493" spans="1:13" x14ac:dyDescent="0.25">
      <c r="A493" s="69" t="s">
        <v>657</v>
      </c>
      <c r="B493" s="70">
        <v>44001833</v>
      </c>
      <c r="C493" s="69" t="s">
        <v>15</v>
      </c>
      <c r="D493" s="71" t="s">
        <v>2387</v>
      </c>
      <c r="E493" s="69" t="s">
        <v>2388</v>
      </c>
      <c r="F493" s="69">
        <v>30</v>
      </c>
      <c r="G493" s="69">
        <v>60</v>
      </c>
      <c r="H493" s="69" t="s">
        <v>2399</v>
      </c>
      <c r="I493" s="69" t="s">
        <v>2479</v>
      </c>
      <c r="J493" s="69" t="s">
        <v>2424</v>
      </c>
      <c r="K493" s="69"/>
      <c r="L493" s="72" t="s">
        <v>2387</v>
      </c>
      <c r="M493" s="72" t="b">
        <f t="shared" si="7"/>
        <v>1</v>
      </c>
    </row>
    <row r="494" spans="1:13" x14ac:dyDescent="0.25">
      <c r="A494" s="69" t="s">
        <v>654</v>
      </c>
      <c r="B494" s="70">
        <v>44001833</v>
      </c>
      <c r="C494" s="69" t="s">
        <v>15</v>
      </c>
      <c r="D494" s="71" t="s">
        <v>2387</v>
      </c>
      <c r="E494" s="69" t="s">
        <v>2388</v>
      </c>
      <c r="F494" s="69">
        <v>30</v>
      </c>
      <c r="G494" s="69">
        <v>60</v>
      </c>
      <c r="H494" s="69" t="s">
        <v>2399</v>
      </c>
      <c r="I494" s="69" t="s">
        <v>2479</v>
      </c>
      <c r="J494" s="69" t="s">
        <v>2424</v>
      </c>
      <c r="K494" s="69"/>
      <c r="L494" s="72" t="s">
        <v>2387</v>
      </c>
      <c r="M494" s="72" t="b">
        <f t="shared" si="7"/>
        <v>1</v>
      </c>
    </row>
    <row r="495" spans="1:13" x14ac:dyDescent="0.25">
      <c r="A495" s="69" t="s">
        <v>651</v>
      </c>
      <c r="B495" s="70">
        <v>44001833</v>
      </c>
      <c r="C495" s="69" t="s">
        <v>15</v>
      </c>
      <c r="D495" s="71" t="s">
        <v>2387</v>
      </c>
      <c r="E495" s="69" t="s">
        <v>2388</v>
      </c>
      <c r="F495" s="69">
        <v>30</v>
      </c>
      <c r="G495" s="69">
        <v>60</v>
      </c>
      <c r="H495" s="69" t="s">
        <v>2399</v>
      </c>
      <c r="I495" s="69" t="s">
        <v>2479</v>
      </c>
      <c r="J495" s="69" t="s">
        <v>2424</v>
      </c>
      <c r="K495" s="69"/>
      <c r="L495" s="72" t="s">
        <v>2387</v>
      </c>
      <c r="M495" s="72" t="b">
        <f t="shared" si="7"/>
        <v>1</v>
      </c>
    </row>
    <row r="496" spans="1:13" x14ac:dyDescent="0.25">
      <c r="A496" s="69" t="s">
        <v>648</v>
      </c>
      <c r="B496" s="70">
        <v>44001833</v>
      </c>
      <c r="C496" s="69" t="s">
        <v>15</v>
      </c>
      <c r="D496" s="71" t="s">
        <v>2387</v>
      </c>
      <c r="E496" s="69" t="s">
        <v>2388</v>
      </c>
      <c r="F496" s="69">
        <v>30</v>
      </c>
      <c r="G496" s="69">
        <v>60</v>
      </c>
      <c r="H496" s="69" t="s">
        <v>2399</v>
      </c>
      <c r="I496" s="69" t="s">
        <v>2479</v>
      </c>
      <c r="J496" s="69" t="s">
        <v>2424</v>
      </c>
      <c r="K496" s="69"/>
      <c r="L496" s="72" t="s">
        <v>2387</v>
      </c>
      <c r="M496" s="72" t="b">
        <f t="shared" si="7"/>
        <v>1</v>
      </c>
    </row>
    <row r="497" spans="1:13" x14ac:dyDescent="0.25">
      <c r="A497" s="69" t="s">
        <v>646</v>
      </c>
      <c r="B497" s="70">
        <v>44001833</v>
      </c>
      <c r="C497" s="69" t="s">
        <v>15</v>
      </c>
      <c r="D497" s="71" t="s">
        <v>2387</v>
      </c>
      <c r="E497" s="69" t="s">
        <v>2388</v>
      </c>
      <c r="F497" s="69">
        <v>30</v>
      </c>
      <c r="G497" s="69">
        <v>60</v>
      </c>
      <c r="H497" s="69" t="s">
        <v>2399</v>
      </c>
      <c r="I497" s="69" t="s">
        <v>2479</v>
      </c>
      <c r="J497" s="69" t="s">
        <v>2424</v>
      </c>
      <c r="K497" s="69"/>
      <c r="L497" s="72" t="s">
        <v>2387</v>
      </c>
      <c r="M497" s="72" t="b">
        <f t="shared" si="7"/>
        <v>1</v>
      </c>
    </row>
    <row r="498" spans="1:13" x14ac:dyDescent="0.25">
      <c r="A498" s="69" t="s">
        <v>643</v>
      </c>
      <c r="B498" s="70">
        <v>44001833</v>
      </c>
      <c r="C498" s="69" t="s">
        <v>15</v>
      </c>
      <c r="D498" s="71" t="s">
        <v>2387</v>
      </c>
      <c r="E498" s="69" t="s">
        <v>2388</v>
      </c>
      <c r="F498" s="69">
        <v>30</v>
      </c>
      <c r="G498" s="69">
        <v>60</v>
      </c>
      <c r="H498" s="69" t="s">
        <v>2399</v>
      </c>
      <c r="I498" s="69" t="s">
        <v>2479</v>
      </c>
      <c r="J498" s="69" t="s">
        <v>2424</v>
      </c>
      <c r="K498" s="69"/>
      <c r="L498" s="72" t="s">
        <v>2387</v>
      </c>
      <c r="M498" s="72" t="b">
        <f t="shared" si="7"/>
        <v>1</v>
      </c>
    </row>
    <row r="499" spans="1:13" x14ac:dyDescent="0.25">
      <c r="A499" s="69" t="s">
        <v>640</v>
      </c>
      <c r="B499" s="70">
        <v>44001833</v>
      </c>
      <c r="C499" s="69" t="s">
        <v>15</v>
      </c>
      <c r="D499" s="71" t="s">
        <v>2387</v>
      </c>
      <c r="E499" s="69" t="s">
        <v>2388</v>
      </c>
      <c r="F499" s="69">
        <v>30</v>
      </c>
      <c r="G499" s="69">
        <v>60</v>
      </c>
      <c r="H499" s="69" t="s">
        <v>2399</v>
      </c>
      <c r="I499" s="69" t="s">
        <v>2479</v>
      </c>
      <c r="J499" s="69" t="s">
        <v>2424</v>
      </c>
      <c r="K499" s="69"/>
      <c r="L499" s="72" t="s">
        <v>2387</v>
      </c>
      <c r="M499" s="72" t="b">
        <f t="shared" si="7"/>
        <v>1</v>
      </c>
    </row>
    <row r="500" spans="1:13" x14ac:dyDescent="0.25">
      <c r="A500" s="69" t="s">
        <v>638</v>
      </c>
      <c r="B500" s="70">
        <v>44001833</v>
      </c>
      <c r="C500" s="69" t="s">
        <v>15</v>
      </c>
      <c r="D500" s="71" t="s">
        <v>2387</v>
      </c>
      <c r="E500" s="69" t="s">
        <v>2388</v>
      </c>
      <c r="F500" s="69">
        <v>30</v>
      </c>
      <c r="G500" s="69">
        <v>60</v>
      </c>
      <c r="H500" s="69" t="s">
        <v>2399</v>
      </c>
      <c r="I500" s="69" t="s">
        <v>2479</v>
      </c>
      <c r="J500" s="69" t="s">
        <v>2424</v>
      </c>
      <c r="K500" s="69"/>
      <c r="L500" s="72" t="s">
        <v>2387</v>
      </c>
      <c r="M500" s="72" t="b">
        <f t="shared" si="7"/>
        <v>1</v>
      </c>
    </row>
    <row r="501" spans="1:13" x14ac:dyDescent="0.25">
      <c r="A501" s="69" t="s">
        <v>635</v>
      </c>
      <c r="B501" s="70">
        <v>44001833</v>
      </c>
      <c r="C501" s="69" t="s">
        <v>15</v>
      </c>
      <c r="D501" s="71" t="s">
        <v>2387</v>
      </c>
      <c r="E501" s="69" t="s">
        <v>2388</v>
      </c>
      <c r="F501" s="69">
        <v>30</v>
      </c>
      <c r="G501" s="69">
        <v>60</v>
      </c>
      <c r="H501" s="69" t="s">
        <v>2399</v>
      </c>
      <c r="I501" s="69" t="s">
        <v>2479</v>
      </c>
      <c r="J501" s="69" t="s">
        <v>2424</v>
      </c>
      <c r="K501" s="69"/>
      <c r="L501" s="72" t="s">
        <v>2387</v>
      </c>
      <c r="M501" s="72" t="b">
        <f t="shared" si="7"/>
        <v>1</v>
      </c>
    </row>
    <row r="502" spans="1:13" x14ac:dyDescent="0.25">
      <c r="A502" s="69" t="s">
        <v>2482</v>
      </c>
      <c r="B502" s="70">
        <v>44001833</v>
      </c>
      <c r="C502" s="69" t="s">
        <v>15</v>
      </c>
      <c r="D502" s="71" t="s">
        <v>2387</v>
      </c>
      <c r="E502" s="69" t="s">
        <v>2388</v>
      </c>
      <c r="F502" s="69">
        <v>30</v>
      </c>
      <c r="G502" s="69">
        <v>30</v>
      </c>
      <c r="H502" s="69" t="s">
        <v>2412</v>
      </c>
      <c r="I502" s="69" t="s">
        <v>2410</v>
      </c>
      <c r="J502" s="69" t="s">
        <v>2401</v>
      </c>
      <c r="K502" s="69" t="s">
        <v>3032</v>
      </c>
      <c r="L502" s="72" t="s">
        <v>2387</v>
      </c>
      <c r="M502" s="72" t="b">
        <f t="shared" si="7"/>
        <v>1</v>
      </c>
    </row>
    <row r="503" spans="1:13" x14ac:dyDescent="0.25">
      <c r="A503" s="69" t="s">
        <v>2158</v>
      </c>
      <c r="B503" s="70">
        <v>44001833</v>
      </c>
      <c r="C503" s="69" t="s">
        <v>15</v>
      </c>
      <c r="D503" s="71" t="s">
        <v>2387</v>
      </c>
      <c r="E503" s="69" t="s">
        <v>2388</v>
      </c>
      <c r="F503" s="69">
        <v>30</v>
      </c>
      <c r="G503" s="69">
        <v>60</v>
      </c>
      <c r="H503" s="69" t="s">
        <v>2399</v>
      </c>
      <c r="I503" s="69" t="s">
        <v>2479</v>
      </c>
      <c r="J503" s="69" t="s">
        <v>2424</v>
      </c>
      <c r="K503" s="69"/>
      <c r="L503" s="72" t="s">
        <v>2387</v>
      </c>
      <c r="M503" s="72" t="b">
        <f t="shared" si="7"/>
        <v>1</v>
      </c>
    </row>
    <row r="504" spans="1:13" x14ac:dyDescent="0.25">
      <c r="A504" s="69" t="s">
        <v>632</v>
      </c>
      <c r="B504" s="70">
        <v>44001833</v>
      </c>
      <c r="C504" s="69" t="s">
        <v>15</v>
      </c>
      <c r="D504" s="71" t="s">
        <v>2387</v>
      </c>
      <c r="E504" s="69" t="s">
        <v>2388</v>
      </c>
      <c r="F504" s="69">
        <v>30</v>
      </c>
      <c r="G504" s="69">
        <v>60</v>
      </c>
      <c r="H504" s="69" t="s">
        <v>2399</v>
      </c>
      <c r="I504" s="69" t="s">
        <v>2479</v>
      </c>
      <c r="J504" s="69" t="s">
        <v>2424</v>
      </c>
      <c r="K504" s="69"/>
      <c r="L504" s="72" t="s">
        <v>2387</v>
      </c>
      <c r="M504" s="72" t="b">
        <f t="shared" si="7"/>
        <v>1</v>
      </c>
    </row>
    <row r="505" spans="1:13" x14ac:dyDescent="0.25">
      <c r="A505" s="69" t="s">
        <v>629</v>
      </c>
      <c r="B505" s="70">
        <v>44001833</v>
      </c>
      <c r="C505" s="69" t="s">
        <v>15</v>
      </c>
      <c r="D505" s="71" t="s">
        <v>2387</v>
      </c>
      <c r="E505" s="69" t="s">
        <v>2388</v>
      </c>
      <c r="F505" s="69">
        <v>30</v>
      </c>
      <c r="G505" s="69">
        <v>60</v>
      </c>
      <c r="H505" s="69" t="s">
        <v>2399</v>
      </c>
      <c r="I505" s="69" t="s">
        <v>2479</v>
      </c>
      <c r="J505" s="69" t="s">
        <v>2424</v>
      </c>
      <c r="K505" s="69"/>
      <c r="L505" s="72" t="s">
        <v>2387</v>
      </c>
      <c r="M505" s="72" t="b">
        <f t="shared" si="7"/>
        <v>1</v>
      </c>
    </row>
    <row r="506" spans="1:13" x14ac:dyDescent="0.25">
      <c r="A506" s="69" t="s">
        <v>626</v>
      </c>
      <c r="B506" s="70">
        <v>44001833</v>
      </c>
      <c r="C506" s="69" t="s">
        <v>15</v>
      </c>
      <c r="D506" s="71" t="s">
        <v>2387</v>
      </c>
      <c r="E506" s="69" t="s">
        <v>2388</v>
      </c>
      <c r="F506" s="69">
        <v>30</v>
      </c>
      <c r="G506" s="69">
        <v>60</v>
      </c>
      <c r="H506" s="69" t="s">
        <v>2399</v>
      </c>
      <c r="I506" s="69" t="s">
        <v>2479</v>
      </c>
      <c r="J506" s="69" t="s">
        <v>2424</v>
      </c>
      <c r="K506" s="69"/>
      <c r="L506" s="72" t="s">
        <v>2387</v>
      </c>
      <c r="M506" s="72" t="b">
        <f t="shared" si="7"/>
        <v>1</v>
      </c>
    </row>
    <row r="507" spans="1:13" x14ac:dyDescent="0.25">
      <c r="A507" s="69" t="s">
        <v>623</v>
      </c>
      <c r="B507" s="70">
        <v>44001833</v>
      </c>
      <c r="C507" s="69" t="s">
        <v>15</v>
      </c>
      <c r="D507" s="71" t="s">
        <v>2387</v>
      </c>
      <c r="E507" s="69" t="s">
        <v>2388</v>
      </c>
      <c r="F507" s="69">
        <v>30</v>
      </c>
      <c r="G507" s="69">
        <v>60</v>
      </c>
      <c r="H507" s="69" t="s">
        <v>2399</v>
      </c>
      <c r="I507" s="69" t="s">
        <v>2479</v>
      </c>
      <c r="J507" s="69" t="s">
        <v>2424</v>
      </c>
      <c r="K507" s="69"/>
      <c r="L507" s="72" t="s">
        <v>2387</v>
      </c>
      <c r="M507" s="72" t="b">
        <f t="shared" si="7"/>
        <v>1</v>
      </c>
    </row>
    <row r="508" spans="1:13" x14ac:dyDescent="0.25">
      <c r="A508" s="69" t="s">
        <v>620</v>
      </c>
      <c r="B508" s="70">
        <v>44001833</v>
      </c>
      <c r="C508" s="69" t="s">
        <v>15</v>
      </c>
      <c r="D508" s="71" t="s">
        <v>2387</v>
      </c>
      <c r="E508" s="69" t="s">
        <v>2388</v>
      </c>
      <c r="F508" s="69">
        <v>30</v>
      </c>
      <c r="G508" s="69">
        <v>60</v>
      </c>
      <c r="H508" s="69" t="s">
        <v>2399</v>
      </c>
      <c r="I508" s="69" t="s">
        <v>2479</v>
      </c>
      <c r="J508" s="69" t="s">
        <v>2424</v>
      </c>
      <c r="K508" s="69"/>
      <c r="L508" s="72" t="s">
        <v>2387</v>
      </c>
      <c r="M508" s="72" t="b">
        <f t="shared" si="7"/>
        <v>1</v>
      </c>
    </row>
    <row r="509" spans="1:13" x14ac:dyDescent="0.25">
      <c r="A509" s="69" t="s">
        <v>618</v>
      </c>
      <c r="B509" s="70">
        <v>44001833</v>
      </c>
      <c r="C509" s="69" t="s">
        <v>15</v>
      </c>
      <c r="D509" s="71" t="s">
        <v>2387</v>
      </c>
      <c r="E509" s="69" t="s">
        <v>2388</v>
      </c>
      <c r="F509" s="69">
        <v>30</v>
      </c>
      <c r="G509" s="69">
        <v>60</v>
      </c>
      <c r="H509" s="69" t="s">
        <v>2399</v>
      </c>
      <c r="I509" s="69" t="s">
        <v>2479</v>
      </c>
      <c r="J509" s="69" t="s">
        <v>2424</v>
      </c>
      <c r="K509" s="69"/>
      <c r="L509" s="72" t="s">
        <v>2387</v>
      </c>
      <c r="M509" s="72" t="b">
        <f t="shared" si="7"/>
        <v>1</v>
      </c>
    </row>
    <row r="510" spans="1:13" x14ac:dyDescent="0.25">
      <c r="A510" s="69" t="s">
        <v>615</v>
      </c>
      <c r="B510" s="70">
        <v>44001833</v>
      </c>
      <c r="C510" s="69" t="s">
        <v>15</v>
      </c>
      <c r="D510" s="71" t="s">
        <v>2387</v>
      </c>
      <c r="E510" s="69" t="s">
        <v>2388</v>
      </c>
      <c r="F510" s="69">
        <v>30</v>
      </c>
      <c r="G510" s="69">
        <v>60</v>
      </c>
      <c r="H510" s="69" t="s">
        <v>2399</v>
      </c>
      <c r="I510" s="69" t="s">
        <v>2479</v>
      </c>
      <c r="J510" s="69" t="s">
        <v>2424</v>
      </c>
      <c r="K510" s="69"/>
      <c r="L510" s="72" t="s">
        <v>2387</v>
      </c>
      <c r="M510" s="72" t="b">
        <f t="shared" si="7"/>
        <v>1</v>
      </c>
    </row>
    <row r="511" spans="1:13" x14ac:dyDescent="0.25">
      <c r="A511" s="69" t="s">
        <v>612</v>
      </c>
      <c r="B511" s="70">
        <v>44001833</v>
      </c>
      <c r="C511" s="69" t="s">
        <v>15</v>
      </c>
      <c r="D511" s="71" t="s">
        <v>2387</v>
      </c>
      <c r="E511" s="69" t="s">
        <v>2388</v>
      </c>
      <c r="F511" s="69">
        <v>30</v>
      </c>
      <c r="G511" s="69">
        <v>60</v>
      </c>
      <c r="H511" s="69" t="s">
        <v>2399</v>
      </c>
      <c r="I511" s="69" t="s">
        <v>2479</v>
      </c>
      <c r="J511" s="69" t="s">
        <v>2424</v>
      </c>
      <c r="K511" s="69"/>
      <c r="L511" s="72" t="s">
        <v>2387</v>
      </c>
      <c r="M511" s="72" t="b">
        <f t="shared" si="7"/>
        <v>1</v>
      </c>
    </row>
    <row r="512" spans="1:13" x14ac:dyDescent="0.25">
      <c r="A512" s="69" t="s">
        <v>609</v>
      </c>
      <c r="B512" s="70">
        <v>44001833</v>
      </c>
      <c r="C512" s="69" t="s">
        <v>15</v>
      </c>
      <c r="D512" s="71" t="s">
        <v>2387</v>
      </c>
      <c r="E512" s="69" t="s">
        <v>2388</v>
      </c>
      <c r="F512" s="69">
        <v>30</v>
      </c>
      <c r="G512" s="69">
        <v>60</v>
      </c>
      <c r="H512" s="69" t="s">
        <v>2399</v>
      </c>
      <c r="I512" s="69" t="s">
        <v>2479</v>
      </c>
      <c r="J512" s="69" t="s">
        <v>2424</v>
      </c>
      <c r="K512" s="69"/>
      <c r="L512" s="72" t="s">
        <v>2387</v>
      </c>
      <c r="M512" s="72" t="b">
        <f t="shared" si="7"/>
        <v>1</v>
      </c>
    </row>
    <row r="513" spans="1:13" x14ac:dyDescent="0.25">
      <c r="A513" s="69" t="s">
        <v>606</v>
      </c>
      <c r="B513" s="70">
        <v>44001833</v>
      </c>
      <c r="C513" s="69" t="s">
        <v>15</v>
      </c>
      <c r="D513" s="71" t="s">
        <v>2387</v>
      </c>
      <c r="E513" s="69" t="s">
        <v>2388</v>
      </c>
      <c r="F513" s="69">
        <v>30</v>
      </c>
      <c r="G513" s="69">
        <v>60</v>
      </c>
      <c r="H513" s="69" t="s">
        <v>2399</v>
      </c>
      <c r="I513" s="69" t="s">
        <v>2479</v>
      </c>
      <c r="J513" s="69" t="s">
        <v>2424</v>
      </c>
      <c r="K513" s="69"/>
      <c r="L513" s="72" t="s">
        <v>2387</v>
      </c>
      <c r="M513" s="72" t="b">
        <f t="shared" si="7"/>
        <v>1</v>
      </c>
    </row>
    <row r="514" spans="1:13" x14ac:dyDescent="0.25">
      <c r="A514" s="69" t="s">
        <v>603</v>
      </c>
      <c r="B514" s="70">
        <v>44001833</v>
      </c>
      <c r="C514" s="69" t="s">
        <v>15</v>
      </c>
      <c r="D514" s="71" t="s">
        <v>2387</v>
      </c>
      <c r="E514" s="69" t="s">
        <v>2388</v>
      </c>
      <c r="F514" s="69">
        <v>30</v>
      </c>
      <c r="G514" s="69">
        <v>60</v>
      </c>
      <c r="H514" s="69" t="s">
        <v>2399</v>
      </c>
      <c r="I514" s="69" t="s">
        <v>2479</v>
      </c>
      <c r="J514" s="69" t="s">
        <v>2424</v>
      </c>
      <c r="K514" s="69"/>
      <c r="L514" s="72" t="s">
        <v>2387</v>
      </c>
      <c r="M514" s="72" t="b">
        <f t="shared" ref="M514:M577" si="8">L514=D514</f>
        <v>1</v>
      </c>
    </row>
    <row r="515" spans="1:13" x14ac:dyDescent="0.25">
      <c r="A515" s="69" t="s">
        <v>601</v>
      </c>
      <c r="B515" s="70">
        <v>44001833</v>
      </c>
      <c r="C515" s="69" t="s">
        <v>15</v>
      </c>
      <c r="D515" s="71" t="s">
        <v>2387</v>
      </c>
      <c r="E515" s="69" t="s">
        <v>2388</v>
      </c>
      <c r="F515" s="69">
        <v>30</v>
      </c>
      <c r="G515" s="69">
        <v>60</v>
      </c>
      <c r="H515" s="69" t="s">
        <v>2399</v>
      </c>
      <c r="I515" s="69" t="s">
        <v>2479</v>
      </c>
      <c r="J515" s="69" t="s">
        <v>2424</v>
      </c>
      <c r="K515" s="69"/>
      <c r="L515" s="72" t="s">
        <v>2387</v>
      </c>
      <c r="M515" s="72" t="b">
        <f t="shared" si="8"/>
        <v>1</v>
      </c>
    </row>
    <row r="516" spans="1:13" x14ac:dyDescent="0.25">
      <c r="A516" s="69" t="s">
        <v>598</v>
      </c>
      <c r="B516" s="70">
        <v>44001833</v>
      </c>
      <c r="C516" s="69" t="s">
        <v>15</v>
      </c>
      <c r="D516" s="71" t="s">
        <v>2387</v>
      </c>
      <c r="E516" s="69" t="s">
        <v>2388</v>
      </c>
      <c r="F516" s="69">
        <v>30</v>
      </c>
      <c r="G516" s="69">
        <v>60</v>
      </c>
      <c r="H516" s="69" t="s">
        <v>2399</v>
      </c>
      <c r="I516" s="69" t="s">
        <v>2479</v>
      </c>
      <c r="J516" s="69" t="s">
        <v>2424</v>
      </c>
      <c r="K516" s="69"/>
      <c r="L516" s="72" t="s">
        <v>2387</v>
      </c>
      <c r="M516" s="72" t="b">
        <f t="shared" si="8"/>
        <v>1</v>
      </c>
    </row>
    <row r="517" spans="1:13" x14ac:dyDescent="0.25">
      <c r="A517" s="69" t="s">
        <v>594</v>
      </c>
      <c r="B517" s="70">
        <v>44001833</v>
      </c>
      <c r="C517" s="69" t="s">
        <v>15</v>
      </c>
      <c r="D517" s="71" t="s">
        <v>2387</v>
      </c>
      <c r="E517" s="69" t="s">
        <v>2388</v>
      </c>
      <c r="F517" s="69">
        <v>30</v>
      </c>
      <c r="G517" s="69">
        <v>60</v>
      </c>
      <c r="H517" s="69" t="s">
        <v>2399</v>
      </c>
      <c r="I517" s="69" t="s">
        <v>2479</v>
      </c>
      <c r="J517" s="69" t="s">
        <v>2424</v>
      </c>
      <c r="K517" s="69"/>
      <c r="L517" s="72" t="s">
        <v>2387</v>
      </c>
      <c r="M517" s="72" t="b">
        <f t="shared" si="8"/>
        <v>1</v>
      </c>
    </row>
    <row r="518" spans="1:13" x14ac:dyDescent="0.25">
      <c r="A518" s="69" t="s">
        <v>591</v>
      </c>
      <c r="B518" s="70">
        <v>44001833</v>
      </c>
      <c r="C518" s="69" t="s">
        <v>15</v>
      </c>
      <c r="D518" s="71" t="s">
        <v>2387</v>
      </c>
      <c r="E518" s="69" t="s">
        <v>2388</v>
      </c>
      <c r="F518" s="69">
        <v>30</v>
      </c>
      <c r="G518" s="69">
        <v>60</v>
      </c>
      <c r="H518" s="69" t="s">
        <v>2399</v>
      </c>
      <c r="I518" s="69" t="s">
        <v>2479</v>
      </c>
      <c r="J518" s="69" t="s">
        <v>2424</v>
      </c>
      <c r="K518" s="69"/>
      <c r="L518" s="72" t="s">
        <v>2387</v>
      </c>
      <c r="M518" s="72" t="b">
        <f t="shared" si="8"/>
        <v>1</v>
      </c>
    </row>
    <row r="519" spans="1:13" x14ac:dyDescent="0.25">
      <c r="A519" s="69" t="s">
        <v>2163</v>
      </c>
      <c r="B519" s="70">
        <v>44001833</v>
      </c>
      <c r="C519" s="69" t="s">
        <v>15</v>
      </c>
      <c r="D519" s="71" t="s">
        <v>2387</v>
      </c>
      <c r="E519" s="69" t="s">
        <v>2388</v>
      </c>
      <c r="F519" s="69">
        <v>30</v>
      </c>
      <c r="G519" s="69">
        <v>60</v>
      </c>
      <c r="H519" s="69" t="s">
        <v>2399</v>
      </c>
      <c r="I519" s="69" t="s">
        <v>2479</v>
      </c>
      <c r="J519" s="69" t="s">
        <v>2424</v>
      </c>
      <c r="K519" s="69"/>
      <c r="L519" s="72" t="s">
        <v>2387</v>
      </c>
      <c r="M519" s="72" t="b">
        <f t="shared" si="8"/>
        <v>1</v>
      </c>
    </row>
    <row r="520" spans="1:13" x14ac:dyDescent="0.25">
      <c r="A520" s="69" t="s">
        <v>2178</v>
      </c>
      <c r="B520" s="70">
        <v>44001833</v>
      </c>
      <c r="C520" s="69" t="s">
        <v>15</v>
      </c>
      <c r="D520" s="71" t="s">
        <v>2387</v>
      </c>
      <c r="E520" s="69" t="s">
        <v>2388</v>
      </c>
      <c r="F520" s="69">
        <v>30</v>
      </c>
      <c r="G520" s="69">
        <v>60</v>
      </c>
      <c r="H520" s="69" t="s">
        <v>2399</v>
      </c>
      <c r="I520" s="69" t="s">
        <v>2479</v>
      </c>
      <c r="J520" s="69" t="s">
        <v>2424</v>
      </c>
      <c r="K520" s="69"/>
      <c r="L520" s="72" t="s">
        <v>2387</v>
      </c>
      <c r="M520" s="72" t="b">
        <f t="shared" si="8"/>
        <v>1</v>
      </c>
    </row>
    <row r="521" spans="1:13" x14ac:dyDescent="0.25">
      <c r="A521" s="69" t="s">
        <v>2148</v>
      </c>
      <c r="B521" s="70">
        <v>44001833</v>
      </c>
      <c r="C521" s="69" t="s">
        <v>15</v>
      </c>
      <c r="D521" s="71" t="s">
        <v>2387</v>
      </c>
      <c r="E521" s="69" t="s">
        <v>2388</v>
      </c>
      <c r="F521" s="69">
        <v>30</v>
      </c>
      <c r="G521" s="69">
        <v>60</v>
      </c>
      <c r="H521" s="69" t="s">
        <v>2399</v>
      </c>
      <c r="I521" s="69" t="s">
        <v>2479</v>
      </c>
      <c r="J521" s="69" t="s">
        <v>2424</v>
      </c>
      <c r="K521" s="69"/>
      <c r="L521" s="72" t="s">
        <v>2387</v>
      </c>
      <c r="M521" s="72" t="b">
        <f t="shared" si="8"/>
        <v>1</v>
      </c>
    </row>
    <row r="522" spans="1:13" x14ac:dyDescent="0.25">
      <c r="A522" s="69" t="s">
        <v>588</v>
      </c>
      <c r="B522" s="70">
        <v>44001833</v>
      </c>
      <c r="C522" s="69" t="s">
        <v>15</v>
      </c>
      <c r="D522" s="71" t="s">
        <v>2387</v>
      </c>
      <c r="E522" s="69" t="s">
        <v>2388</v>
      </c>
      <c r="F522" s="69">
        <v>30</v>
      </c>
      <c r="G522" s="69"/>
      <c r="H522" s="69" t="s">
        <v>2412</v>
      </c>
      <c r="I522" s="69" t="s">
        <v>2410</v>
      </c>
      <c r="J522" s="69" t="s">
        <v>2424</v>
      </c>
      <c r="K522" s="69" t="s">
        <v>3030</v>
      </c>
      <c r="L522" s="72" t="s">
        <v>2387</v>
      </c>
      <c r="M522" s="72" t="b">
        <f t="shared" si="8"/>
        <v>1</v>
      </c>
    </row>
    <row r="523" spans="1:13" x14ac:dyDescent="0.25">
      <c r="A523" s="69" t="s">
        <v>585</v>
      </c>
      <c r="B523" s="70">
        <v>44001833</v>
      </c>
      <c r="C523" s="69" t="s">
        <v>15</v>
      </c>
      <c r="D523" s="71" t="s">
        <v>2387</v>
      </c>
      <c r="E523" s="69" t="s">
        <v>2388</v>
      </c>
      <c r="F523" s="69">
        <v>30</v>
      </c>
      <c r="G523" s="69">
        <v>60</v>
      </c>
      <c r="H523" s="69" t="s">
        <v>2399</v>
      </c>
      <c r="I523" s="69" t="s">
        <v>2479</v>
      </c>
      <c r="J523" s="69" t="s">
        <v>2424</v>
      </c>
      <c r="K523" s="69"/>
      <c r="L523" s="72" t="s">
        <v>2387</v>
      </c>
      <c r="M523" s="72" t="b">
        <f t="shared" si="8"/>
        <v>1</v>
      </c>
    </row>
    <row r="524" spans="1:13" x14ac:dyDescent="0.25">
      <c r="A524" s="69" t="s">
        <v>2251</v>
      </c>
      <c r="B524" s="70">
        <v>44001833</v>
      </c>
      <c r="C524" s="69" t="s">
        <v>15</v>
      </c>
      <c r="D524" s="71" t="s">
        <v>2387</v>
      </c>
      <c r="E524" s="69" t="s">
        <v>2388</v>
      </c>
      <c r="F524" s="69">
        <v>30</v>
      </c>
      <c r="G524" s="69">
        <v>0</v>
      </c>
      <c r="H524" s="69" t="s">
        <v>2412</v>
      </c>
      <c r="I524" s="69" t="s">
        <v>2410</v>
      </c>
      <c r="J524" s="69" t="s">
        <v>2424</v>
      </c>
      <c r="K524" s="69" t="s">
        <v>3026</v>
      </c>
      <c r="L524" s="72" t="s">
        <v>2387</v>
      </c>
      <c r="M524" s="72" t="b">
        <f t="shared" si="8"/>
        <v>1</v>
      </c>
    </row>
    <row r="525" spans="1:13" x14ac:dyDescent="0.25">
      <c r="A525" s="69" t="s">
        <v>582</v>
      </c>
      <c r="B525" s="70">
        <v>44001833</v>
      </c>
      <c r="C525" s="69" t="s">
        <v>15</v>
      </c>
      <c r="D525" s="71" t="s">
        <v>2387</v>
      </c>
      <c r="E525" s="69" t="s">
        <v>2388</v>
      </c>
      <c r="F525" s="69">
        <v>30</v>
      </c>
      <c r="G525" s="69">
        <v>60</v>
      </c>
      <c r="H525" s="69" t="s">
        <v>2399</v>
      </c>
      <c r="I525" s="69" t="s">
        <v>2479</v>
      </c>
      <c r="J525" s="69" t="s">
        <v>2424</v>
      </c>
      <c r="K525" s="69"/>
      <c r="L525" s="72" t="s">
        <v>2387</v>
      </c>
      <c r="M525" s="72" t="b">
        <f t="shared" si="8"/>
        <v>1</v>
      </c>
    </row>
    <row r="526" spans="1:13" x14ac:dyDescent="0.25">
      <c r="A526" s="69" t="s">
        <v>579</v>
      </c>
      <c r="B526" s="70">
        <v>44001833</v>
      </c>
      <c r="C526" s="69" t="s">
        <v>15</v>
      </c>
      <c r="D526" s="71" t="s">
        <v>2387</v>
      </c>
      <c r="E526" s="69" t="s">
        <v>2388</v>
      </c>
      <c r="F526" s="69">
        <v>30</v>
      </c>
      <c r="G526" s="69">
        <v>60</v>
      </c>
      <c r="H526" s="69" t="s">
        <v>2399</v>
      </c>
      <c r="I526" s="69" t="s">
        <v>2479</v>
      </c>
      <c r="J526" s="69" t="s">
        <v>2424</v>
      </c>
      <c r="K526" s="69"/>
      <c r="L526" s="72" t="s">
        <v>2387</v>
      </c>
      <c r="M526" s="72" t="b">
        <f t="shared" si="8"/>
        <v>1</v>
      </c>
    </row>
    <row r="527" spans="1:13" x14ac:dyDescent="0.25">
      <c r="A527" s="69" t="s">
        <v>576</v>
      </c>
      <c r="B527" s="70">
        <v>44001833</v>
      </c>
      <c r="C527" s="69" t="s">
        <v>15</v>
      </c>
      <c r="D527" s="71" t="s">
        <v>2387</v>
      </c>
      <c r="E527" s="69" t="s">
        <v>2388</v>
      </c>
      <c r="F527" s="69">
        <v>30</v>
      </c>
      <c r="G527" s="69">
        <v>60</v>
      </c>
      <c r="H527" s="69" t="s">
        <v>2399</v>
      </c>
      <c r="I527" s="69" t="s">
        <v>2479</v>
      </c>
      <c r="J527" s="69" t="s">
        <v>2424</v>
      </c>
      <c r="K527" s="69"/>
      <c r="L527" s="72" t="s">
        <v>2387</v>
      </c>
      <c r="M527" s="72" t="b">
        <f t="shared" si="8"/>
        <v>1</v>
      </c>
    </row>
    <row r="528" spans="1:13" x14ac:dyDescent="0.25">
      <c r="A528" s="69" t="s">
        <v>573</v>
      </c>
      <c r="B528" s="70">
        <v>44001833</v>
      </c>
      <c r="C528" s="69" t="s">
        <v>15</v>
      </c>
      <c r="D528" s="71" t="s">
        <v>2387</v>
      </c>
      <c r="E528" s="69" t="s">
        <v>2388</v>
      </c>
      <c r="F528" s="69">
        <v>30</v>
      </c>
      <c r="G528" s="69">
        <v>60</v>
      </c>
      <c r="H528" s="69" t="s">
        <v>2399</v>
      </c>
      <c r="I528" s="69" t="s">
        <v>2479</v>
      </c>
      <c r="J528" s="69" t="s">
        <v>2424</v>
      </c>
      <c r="K528" s="69"/>
      <c r="L528" s="72" t="s">
        <v>2387</v>
      </c>
      <c r="M528" s="72" t="b">
        <f t="shared" si="8"/>
        <v>1</v>
      </c>
    </row>
    <row r="529" spans="1:13" x14ac:dyDescent="0.25">
      <c r="A529" s="69" t="s">
        <v>570</v>
      </c>
      <c r="B529" s="70">
        <v>44001833</v>
      </c>
      <c r="C529" s="69" t="s">
        <v>15</v>
      </c>
      <c r="D529" s="71" t="s">
        <v>2387</v>
      </c>
      <c r="E529" s="69" t="s">
        <v>2388</v>
      </c>
      <c r="F529" s="69">
        <v>30</v>
      </c>
      <c r="G529" s="69"/>
      <c r="H529" s="69" t="s">
        <v>2412</v>
      </c>
      <c r="I529" s="69" t="s">
        <v>2410</v>
      </c>
      <c r="J529" s="69" t="s">
        <v>2424</v>
      </c>
      <c r="K529" s="69" t="s">
        <v>3026</v>
      </c>
      <c r="L529" s="72" t="s">
        <v>2387</v>
      </c>
      <c r="M529" s="72" t="b">
        <f t="shared" si="8"/>
        <v>1</v>
      </c>
    </row>
    <row r="530" spans="1:13" x14ac:dyDescent="0.25">
      <c r="A530" s="69" t="s">
        <v>567</v>
      </c>
      <c r="B530" s="70">
        <v>44001833</v>
      </c>
      <c r="C530" s="69" t="s">
        <v>15</v>
      </c>
      <c r="D530" s="71" t="s">
        <v>2387</v>
      </c>
      <c r="E530" s="69" t="s">
        <v>2388</v>
      </c>
      <c r="F530" s="69">
        <v>30</v>
      </c>
      <c r="G530" s="69">
        <v>60</v>
      </c>
      <c r="H530" s="69" t="s">
        <v>2399</v>
      </c>
      <c r="I530" s="69" t="s">
        <v>2479</v>
      </c>
      <c r="J530" s="69" t="s">
        <v>2424</v>
      </c>
      <c r="K530" s="69"/>
      <c r="L530" s="72" t="s">
        <v>2387</v>
      </c>
      <c r="M530" s="72" t="b">
        <f t="shared" si="8"/>
        <v>1</v>
      </c>
    </row>
    <row r="531" spans="1:13" x14ac:dyDescent="0.25">
      <c r="A531" s="69" t="s">
        <v>564</v>
      </c>
      <c r="B531" s="70">
        <v>44001833</v>
      </c>
      <c r="C531" s="69" t="s">
        <v>15</v>
      </c>
      <c r="D531" s="71" t="s">
        <v>2387</v>
      </c>
      <c r="E531" s="69" t="s">
        <v>2388</v>
      </c>
      <c r="F531" s="69">
        <v>30</v>
      </c>
      <c r="G531" s="69">
        <v>60</v>
      </c>
      <c r="H531" s="69" t="s">
        <v>2399</v>
      </c>
      <c r="I531" s="69" t="s">
        <v>2479</v>
      </c>
      <c r="J531" s="69" t="s">
        <v>2424</v>
      </c>
      <c r="K531" s="69"/>
      <c r="L531" s="72" t="s">
        <v>2387</v>
      </c>
      <c r="M531" s="72" t="b">
        <f t="shared" si="8"/>
        <v>1</v>
      </c>
    </row>
    <row r="532" spans="1:13" x14ac:dyDescent="0.25">
      <c r="A532" s="69" t="s">
        <v>561</v>
      </c>
      <c r="B532" s="70">
        <v>44001833</v>
      </c>
      <c r="C532" s="69" t="s">
        <v>15</v>
      </c>
      <c r="D532" s="71" t="s">
        <v>2387</v>
      </c>
      <c r="E532" s="69" t="s">
        <v>2388</v>
      </c>
      <c r="F532" s="69">
        <v>30</v>
      </c>
      <c r="G532" s="69"/>
      <c r="H532" s="69" t="s">
        <v>2412</v>
      </c>
      <c r="I532" s="69" t="s">
        <v>2410</v>
      </c>
      <c r="J532" s="69" t="s">
        <v>2424</v>
      </c>
      <c r="K532" s="69" t="s">
        <v>3030</v>
      </c>
      <c r="L532" s="72" t="s">
        <v>2387</v>
      </c>
      <c r="M532" s="72" t="b">
        <f t="shared" si="8"/>
        <v>1</v>
      </c>
    </row>
    <row r="533" spans="1:13" x14ac:dyDescent="0.25">
      <c r="A533" s="69" t="s">
        <v>2483</v>
      </c>
      <c r="B533" s="70">
        <v>44001833</v>
      </c>
      <c r="C533" s="69" t="s">
        <v>15</v>
      </c>
      <c r="D533" s="71" t="s">
        <v>2387</v>
      </c>
      <c r="E533" s="69" t="s">
        <v>2388</v>
      </c>
      <c r="F533" s="69">
        <v>30</v>
      </c>
      <c r="G533" s="69">
        <v>30</v>
      </c>
      <c r="H533" s="69" t="s">
        <v>2412</v>
      </c>
      <c r="I533" s="69" t="s">
        <v>2410</v>
      </c>
      <c r="J533" s="69" t="s">
        <v>2401</v>
      </c>
      <c r="K533" s="69" t="s">
        <v>3032</v>
      </c>
      <c r="L533" s="72" t="s">
        <v>2387</v>
      </c>
      <c r="M533" s="72" t="b">
        <f t="shared" si="8"/>
        <v>1</v>
      </c>
    </row>
    <row r="534" spans="1:13" x14ac:dyDescent="0.25">
      <c r="A534" s="69" t="s">
        <v>558</v>
      </c>
      <c r="B534" s="70">
        <v>44001833</v>
      </c>
      <c r="C534" s="69" t="s">
        <v>15</v>
      </c>
      <c r="D534" s="71" t="s">
        <v>2387</v>
      </c>
      <c r="E534" s="69" t="s">
        <v>2388</v>
      </c>
      <c r="F534" s="69">
        <v>30</v>
      </c>
      <c r="G534" s="69">
        <v>60</v>
      </c>
      <c r="H534" s="69" t="s">
        <v>2399</v>
      </c>
      <c r="I534" s="69" t="s">
        <v>2479</v>
      </c>
      <c r="J534" s="69" t="s">
        <v>2424</v>
      </c>
      <c r="K534" s="69"/>
      <c r="L534" s="72" t="s">
        <v>2387</v>
      </c>
      <c r="M534" s="72" t="b">
        <f t="shared" si="8"/>
        <v>1</v>
      </c>
    </row>
    <row r="535" spans="1:13" x14ac:dyDescent="0.25">
      <c r="A535" s="69" t="s">
        <v>555</v>
      </c>
      <c r="B535" s="70">
        <v>44001833</v>
      </c>
      <c r="C535" s="69" t="s">
        <v>15</v>
      </c>
      <c r="D535" s="71" t="s">
        <v>2387</v>
      </c>
      <c r="E535" s="69" t="s">
        <v>2388</v>
      </c>
      <c r="F535" s="69">
        <v>30</v>
      </c>
      <c r="G535" s="69">
        <v>60</v>
      </c>
      <c r="H535" s="69" t="s">
        <v>2399</v>
      </c>
      <c r="I535" s="69" t="s">
        <v>2479</v>
      </c>
      <c r="J535" s="69" t="s">
        <v>2424</v>
      </c>
      <c r="K535" s="69"/>
      <c r="L535" s="72" t="s">
        <v>2387</v>
      </c>
      <c r="M535" s="72" t="b">
        <f t="shared" si="8"/>
        <v>1</v>
      </c>
    </row>
    <row r="536" spans="1:13" x14ac:dyDescent="0.25">
      <c r="A536" s="69" t="s">
        <v>552</v>
      </c>
      <c r="B536" s="70">
        <v>44001833</v>
      </c>
      <c r="C536" s="69" t="s">
        <v>15</v>
      </c>
      <c r="D536" s="71" t="s">
        <v>2387</v>
      </c>
      <c r="E536" s="69" t="s">
        <v>2388</v>
      </c>
      <c r="F536" s="69">
        <v>30</v>
      </c>
      <c r="G536" s="69">
        <v>60</v>
      </c>
      <c r="H536" s="69" t="s">
        <v>2399</v>
      </c>
      <c r="I536" s="69" t="s">
        <v>2479</v>
      </c>
      <c r="J536" s="69" t="s">
        <v>2424</v>
      </c>
      <c r="K536" s="69"/>
      <c r="L536" s="72" t="s">
        <v>2387</v>
      </c>
      <c r="M536" s="72" t="b">
        <f t="shared" si="8"/>
        <v>1</v>
      </c>
    </row>
    <row r="537" spans="1:13" x14ac:dyDescent="0.25">
      <c r="A537" s="69" t="s">
        <v>550</v>
      </c>
      <c r="B537" s="70">
        <v>44001833</v>
      </c>
      <c r="C537" s="69" t="s">
        <v>15</v>
      </c>
      <c r="D537" s="71" t="s">
        <v>2387</v>
      </c>
      <c r="E537" s="69" t="s">
        <v>2388</v>
      </c>
      <c r="F537" s="69">
        <v>30</v>
      </c>
      <c r="G537" s="69">
        <v>0</v>
      </c>
      <c r="H537" s="69" t="s">
        <v>2412</v>
      </c>
      <c r="I537" s="69" t="s">
        <v>2410</v>
      </c>
      <c r="J537" s="69" t="s">
        <v>2424</v>
      </c>
      <c r="K537" s="69" t="s">
        <v>3026</v>
      </c>
      <c r="L537" s="72" t="s">
        <v>2387</v>
      </c>
      <c r="M537" s="72" t="b">
        <f t="shared" si="8"/>
        <v>1</v>
      </c>
    </row>
    <row r="538" spans="1:13" x14ac:dyDescent="0.25">
      <c r="A538" s="69" t="s">
        <v>2484</v>
      </c>
      <c r="B538" s="70">
        <v>44001833</v>
      </c>
      <c r="C538" s="69" t="s">
        <v>15</v>
      </c>
      <c r="D538" s="71" t="s">
        <v>2387</v>
      </c>
      <c r="E538" s="69" t="s">
        <v>2388</v>
      </c>
      <c r="F538" s="69">
        <v>30</v>
      </c>
      <c r="G538" s="69">
        <v>30</v>
      </c>
      <c r="H538" s="69" t="s">
        <v>2412</v>
      </c>
      <c r="I538" s="69" t="s">
        <v>2410</v>
      </c>
      <c r="J538" s="69" t="s">
        <v>2401</v>
      </c>
      <c r="K538" s="69" t="s">
        <v>3032</v>
      </c>
      <c r="L538" s="72" t="s">
        <v>2387</v>
      </c>
      <c r="M538" s="72" t="b">
        <f t="shared" si="8"/>
        <v>1</v>
      </c>
    </row>
    <row r="539" spans="1:13" x14ac:dyDescent="0.25">
      <c r="A539" s="69" t="s">
        <v>2327</v>
      </c>
      <c r="B539" s="70">
        <v>44001833</v>
      </c>
      <c r="C539" s="69" t="s">
        <v>15</v>
      </c>
      <c r="D539" s="71" t="s">
        <v>2387</v>
      </c>
      <c r="E539" s="69" t="s">
        <v>2388</v>
      </c>
      <c r="F539" s="69"/>
      <c r="G539" s="69"/>
      <c r="H539" s="69" t="s">
        <v>2412</v>
      </c>
      <c r="I539" s="69" t="s">
        <v>2410</v>
      </c>
      <c r="J539" s="69" t="s">
        <v>2424</v>
      </c>
      <c r="K539" s="69" t="s">
        <v>3026</v>
      </c>
      <c r="L539" s="72" t="s">
        <v>2387</v>
      </c>
      <c r="M539" s="72" t="b">
        <f t="shared" si="8"/>
        <v>1</v>
      </c>
    </row>
    <row r="540" spans="1:13" x14ac:dyDescent="0.25">
      <c r="A540" s="69" t="s">
        <v>547</v>
      </c>
      <c r="B540" s="70">
        <v>44001833</v>
      </c>
      <c r="C540" s="69" t="s">
        <v>15</v>
      </c>
      <c r="D540" s="71" t="s">
        <v>2387</v>
      </c>
      <c r="E540" s="69" t="s">
        <v>2388</v>
      </c>
      <c r="F540" s="69">
        <v>30</v>
      </c>
      <c r="G540" s="69">
        <v>60</v>
      </c>
      <c r="H540" s="69" t="s">
        <v>2399</v>
      </c>
      <c r="I540" s="69" t="s">
        <v>2479</v>
      </c>
      <c r="J540" s="69" t="s">
        <v>2424</v>
      </c>
      <c r="K540" s="69"/>
      <c r="L540" s="72" t="s">
        <v>2387</v>
      </c>
      <c r="M540" s="72" t="b">
        <f t="shared" si="8"/>
        <v>1</v>
      </c>
    </row>
    <row r="541" spans="1:13" x14ac:dyDescent="0.25">
      <c r="A541" s="69" t="s">
        <v>544</v>
      </c>
      <c r="B541" s="70">
        <v>44001833</v>
      </c>
      <c r="C541" s="69" t="s">
        <v>15</v>
      </c>
      <c r="D541" s="71" t="s">
        <v>2387</v>
      </c>
      <c r="E541" s="69" t="s">
        <v>2388</v>
      </c>
      <c r="F541" s="69">
        <v>30</v>
      </c>
      <c r="G541" s="69">
        <v>60</v>
      </c>
      <c r="H541" s="69" t="s">
        <v>2399</v>
      </c>
      <c r="I541" s="69" t="s">
        <v>2479</v>
      </c>
      <c r="J541" s="69" t="s">
        <v>2424</v>
      </c>
      <c r="K541" s="69"/>
      <c r="L541" s="72" t="s">
        <v>2387</v>
      </c>
      <c r="M541" s="72" t="b">
        <f t="shared" si="8"/>
        <v>1</v>
      </c>
    </row>
    <row r="542" spans="1:13" x14ac:dyDescent="0.25">
      <c r="A542" s="69" t="s">
        <v>540</v>
      </c>
      <c r="B542" s="70">
        <v>44001833</v>
      </c>
      <c r="C542" s="69" t="s">
        <v>15</v>
      </c>
      <c r="D542" s="71" t="s">
        <v>2387</v>
      </c>
      <c r="E542" s="69" t="s">
        <v>2388</v>
      </c>
      <c r="F542" s="69">
        <v>30</v>
      </c>
      <c r="G542" s="69">
        <v>60</v>
      </c>
      <c r="H542" s="69" t="s">
        <v>2399</v>
      </c>
      <c r="I542" s="69" t="s">
        <v>2479</v>
      </c>
      <c r="J542" s="69" t="s">
        <v>2424</v>
      </c>
      <c r="K542" s="69"/>
      <c r="L542" s="72" t="s">
        <v>2387</v>
      </c>
      <c r="M542" s="72" t="b">
        <f t="shared" si="8"/>
        <v>1</v>
      </c>
    </row>
    <row r="543" spans="1:13" x14ac:dyDescent="0.25">
      <c r="A543" s="69" t="s">
        <v>2204</v>
      </c>
      <c r="B543" s="70">
        <v>44001833</v>
      </c>
      <c r="C543" s="69" t="s">
        <v>15</v>
      </c>
      <c r="D543" s="71" t="s">
        <v>2387</v>
      </c>
      <c r="E543" s="69" t="s">
        <v>2388</v>
      </c>
      <c r="F543" s="69">
        <v>30</v>
      </c>
      <c r="G543" s="69">
        <v>0</v>
      </c>
      <c r="H543" s="69" t="s">
        <v>2412</v>
      </c>
      <c r="I543" s="69" t="s">
        <v>2410</v>
      </c>
      <c r="J543" s="69" t="s">
        <v>2424</v>
      </c>
      <c r="K543" s="69" t="s">
        <v>3026</v>
      </c>
      <c r="L543" s="72" t="s">
        <v>2387</v>
      </c>
      <c r="M543" s="72" t="b">
        <f t="shared" si="8"/>
        <v>1</v>
      </c>
    </row>
    <row r="544" spans="1:13" x14ac:dyDescent="0.25">
      <c r="A544" s="69" t="s">
        <v>2320</v>
      </c>
      <c r="B544" s="70">
        <v>44001833</v>
      </c>
      <c r="C544" s="69" t="s">
        <v>15</v>
      </c>
      <c r="D544" s="71" t="s">
        <v>2387</v>
      </c>
      <c r="E544" s="69" t="s">
        <v>2388</v>
      </c>
      <c r="F544" s="69"/>
      <c r="G544" s="69"/>
      <c r="H544" s="69" t="s">
        <v>2412</v>
      </c>
      <c r="I544" s="69" t="s">
        <v>2410</v>
      </c>
      <c r="J544" s="69" t="s">
        <v>2424</v>
      </c>
      <c r="K544" s="69" t="s">
        <v>3026</v>
      </c>
      <c r="L544" s="72" t="s">
        <v>2387</v>
      </c>
      <c r="M544" s="72" t="b">
        <f t="shared" si="8"/>
        <v>1</v>
      </c>
    </row>
    <row r="545" spans="1:13" x14ac:dyDescent="0.25">
      <c r="A545" s="69" t="s">
        <v>538</v>
      </c>
      <c r="B545" s="70">
        <v>44001833</v>
      </c>
      <c r="C545" s="69" t="s">
        <v>15</v>
      </c>
      <c r="D545" s="71" t="s">
        <v>2387</v>
      </c>
      <c r="E545" s="69" t="s">
        <v>2388</v>
      </c>
      <c r="F545" s="69"/>
      <c r="G545" s="69"/>
      <c r="H545" s="69" t="s">
        <v>2412</v>
      </c>
      <c r="I545" s="69" t="s">
        <v>2410</v>
      </c>
      <c r="J545" s="69" t="s">
        <v>3027</v>
      </c>
      <c r="K545" s="69" t="s">
        <v>3026</v>
      </c>
      <c r="L545" s="72" t="s">
        <v>2387</v>
      </c>
      <c r="M545" s="72" t="b">
        <f t="shared" si="8"/>
        <v>1</v>
      </c>
    </row>
    <row r="546" spans="1:13" x14ac:dyDescent="0.25">
      <c r="A546" s="69" t="s">
        <v>535</v>
      </c>
      <c r="B546" s="70">
        <v>44001833</v>
      </c>
      <c r="C546" s="69" t="s">
        <v>15</v>
      </c>
      <c r="D546" s="71" t="s">
        <v>2387</v>
      </c>
      <c r="E546" s="69" t="s">
        <v>2388</v>
      </c>
      <c r="F546" s="69">
        <v>30</v>
      </c>
      <c r="G546" s="69">
        <v>60</v>
      </c>
      <c r="H546" s="69" t="s">
        <v>2399</v>
      </c>
      <c r="I546" s="69" t="s">
        <v>2479</v>
      </c>
      <c r="J546" s="69" t="s">
        <v>2424</v>
      </c>
      <c r="K546" s="69"/>
      <c r="L546" s="72" t="s">
        <v>2387</v>
      </c>
      <c r="M546" s="72" t="b">
        <f t="shared" si="8"/>
        <v>1</v>
      </c>
    </row>
    <row r="547" spans="1:13" x14ac:dyDescent="0.25">
      <c r="A547" s="69" t="s">
        <v>532</v>
      </c>
      <c r="B547" s="70">
        <v>44001833</v>
      </c>
      <c r="C547" s="69" t="s">
        <v>15</v>
      </c>
      <c r="D547" s="71" t="s">
        <v>2387</v>
      </c>
      <c r="E547" s="69" t="s">
        <v>2388</v>
      </c>
      <c r="F547" s="69">
        <v>30</v>
      </c>
      <c r="G547" s="69">
        <v>60</v>
      </c>
      <c r="H547" s="69" t="s">
        <v>2399</v>
      </c>
      <c r="I547" s="69" t="s">
        <v>2479</v>
      </c>
      <c r="J547" s="69" t="s">
        <v>2424</v>
      </c>
      <c r="K547" s="69"/>
      <c r="L547" s="72" t="s">
        <v>2387</v>
      </c>
      <c r="M547" s="72" t="b">
        <f t="shared" si="8"/>
        <v>1</v>
      </c>
    </row>
    <row r="548" spans="1:13" x14ac:dyDescent="0.25">
      <c r="A548" s="69" t="s">
        <v>2340</v>
      </c>
      <c r="B548" s="70">
        <v>44001833</v>
      </c>
      <c r="C548" s="69" t="s">
        <v>15</v>
      </c>
      <c r="D548" s="71" t="s">
        <v>2387</v>
      </c>
      <c r="E548" s="69" t="s">
        <v>2388</v>
      </c>
      <c r="F548" s="69"/>
      <c r="G548" s="69"/>
      <c r="H548" s="69" t="s">
        <v>2412</v>
      </c>
      <c r="I548" s="69" t="s">
        <v>2410</v>
      </c>
      <c r="J548" s="69" t="s">
        <v>2424</v>
      </c>
      <c r="K548" s="69" t="s">
        <v>3026</v>
      </c>
      <c r="L548" s="72" t="s">
        <v>2387</v>
      </c>
      <c r="M548" s="72" t="b">
        <f t="shared" si="8"/>
        <v>1</v>
      </c>
    </row>
    <row r="549" spans="1:13" x14ac:dyDescent="0.25">
      <c r="A549" s="69" t="s">
        <v>2324</v>
      </c>
      <c r="B549" s="70">
        <v>44001833</v>
      </c>
      <c r="C549" s="69" t="s">
        <v>15</v>
      </c>
      <c r="D549" s="71" t="s">
        <v>2387</v>
      </c>
      <c r="E549" s="69" t="s">
        <v>2388</v>
      </c>
      <c r="F549" s="69"/>
      <c r="G549" s="69"/>
      <c r="H549" s="69" t="s">
        <v>2412</v>
      </c>
      <c r="I549" s="69" t="s">
        <v>2410</v>
      </c>
      <c r="J549" s="69" t="s">
        <v>2424</v>
      </c>
      <c r="K549" s="69" t="s">
        <v>3026</v>
      </c>
      <c r="L549" s="72" t="s">
        <v>2387</v>
      </c>
      <c r="M549" s="72" t="b">
        <f t="shared" si="8"/>
        <v>1</v>
      </c>
    </row>
    <row r="550" spans="1:13" x14ac:dyDescent="0.25">
      <c r="A550" s="69" t="s">
        <v>2255</v>
      </c>
      <c r="B550" s="70">
        <v>44006875</v>
      </c>
      <c r="C550" s="69" t="s">
        <v>2485</v>
      </c>
      <c r="D550" s="71" t="s">
        <v>2387</v>
      </c>
      <c r="E550" s="69" t="s">
        <v>2388</v>
      </c>
      <c r="F550" s="69">
        <v>30</v>
      </c>
      <c r="G550" s="69">
        <v>30</v>
      </c>
      <c r="H550" s="69" t="s">
        <v>2399</v>
      </c>
      <c r="I550" s="69" t="s">
        <v>2479</v>
      </c>
      <c r="J550" s="69" t="s">
        <v>2424</v>
      </c>
      <c r="K550" s="69"/>
      <c r="L550" s="72" t="s">
        <v>2387</v>
      </c>
      <c r="M550" s="72" t="b">
        <f t="shared" si="8"/>
        <v>1</v>
      </c>
    </row>
    <row r="551" spans="1:13" x14ac:dyDescent="0.25">
      <c r="A551" s="69" t="s">
        <v>182</v>
      </c>
      <c r="B551" s="70">
        <v>44005602</v>
      </c>
      <c r="C551" s="69" t="s">
        <v>184</v>
      </c>
      <c r="D551" s="71" t="s">
        <v>2387</v>
      </c>
      <c r="E551" s="69" t="s">
        <v>2388</v>
      </c>
      <c r="F551" s="69">
        <v>30</v>
      </c>
      <c r="G551" s="69">
        <v>45</v>
      </c>
      <c r="H551" s="69" t="s">
        <v>2391</v>
      </c>
      <c r="I551" s="69" t="s">
        <v>2456</v>
      </c>
      <c r="J551" s="69" t="s">
        <v>2415</v>
      </c>
      <c r="K551" s="69"/>
      <c r="L551" s="72" t="s">
        <v>2392</v>
      </c>
      <c r="M551" s="72" t="b">
        <f t="shared" si="8"/>
        <v>0</v>
      </c>
    </row>
    <row r="552" spans="1:13" x14ac:dyDescent="0.25">
      <c r="A552" s="69" t="s">
        <v>1403</v>
      </c>
      <c r="B552" s="70">
        <v>44003354</v>
      </c>
      <c r="C552" s="69" t="s">
        <v>1405</v>
      </c>
      <c r="D552" s="71" t="s">
        <v>2392</v>
      </c>
      <c r="E552" s="69" t="s">
        <v>2388</v>
      </c>
      <c r="F552" s="69">
        <v>30</v>
      </c>
      <c r="G552" s="69">
        <v>0</v>
      </c>
      <c r="H552" s="69" t="s">
        <v>2472</v>
      </c>
      <c r="I552" s="69" t="s">
        <v>2410</v>
      </c>
      <c r="J552" s="69" t="s">
        <v>2408</v>
      </c>
      <c r="K552" s="69" t="s">
        <v>3212</v>
      </c>
      <c r="L552" s="72" t="s">
        <v>2392</v>
      </c>
      <c r="M552" s="72" t="b">
        <f t="shared" si="8"/>
        <v>1</v>
      </c>
    </row>
    <row r="553" spans="1:13" x14ac:dyDescent="0.25">
      <c r="A553" s="69" t="s">
        <v>228</v>
      </c>
      <c r="B553" s="70">
        <v>44000454</v>
      </c>
      <c r="C553" s="69" t="s">
        <v>2487</v>
      </c>
      <c r="D553" s="71" t="s">
        <v>2392</v>
      </c>
      <c r="E553" s="69" t="s">
        <v>2388</v>
      </c>
      <c r="F553" s="69">
        <v>30</v>
      </c>
      <c r="G553" s="69">
        <v>30</v>
      </c>
      <c r="H553" s="69" t="s">
        <v>2486</v>
      </c>
      <c r="I553" s="69" t="s">
        <v>2463</v>
      </c>
      <c r="J553" s="69" t="s">
        <v>3208</v>
      </c>
      <c r="K553" s="69"/>
      <c r="L553" s="72" t="s">
        <v>2387</v>
      </c>
      <c r="M553" s="72" t="b">
        <f t="shared" si="8"/>
        <v>0</v>
      </c>
    </row>
    <row r="554" spans="1:13" x14ac:dyDescent="0.25">
      <c r="A554" s="69" t="s">
        <v>146</v>
      </c>
      <c r="B554" s="70">
        <v>44000454</v>
      </c>
      <c r="C554" s="69" t="s">
        <v>2487</v>
      </c>
      <c r="D554" s="71" t="s">
        <v>2392</v>
      </c>
      <c r="E554" s="69" t="s">
        <v>2388</v>
      </c>
      <c r="F554" s="69">
        <v>30</v>
      </c>
      <c r="G554" s="69">
        <v>30</v>
      </c>
      <c r="H554" s="69" t="s">
        <v>2486</v>
      </c>
      <c r="I554" s="69" t="s">
        <v>2463</v>
      </c>
      <c r="J554" s="69" t="s">
        <v>3208</v>
      </c>
      <c r="K554" s="69"/>
      <c r="L554" s="72" t="s">
        <v>2387</v>
      </c>
      <c r="M554" s="72" t="b">
        <f t="shared" si="8"/>
        <v>0</v>
      </c>
    </row>
    <row r="555" spans="1:13" x14ac:dyDescent="0.25">
      <c r="A555" s="69" t="s">
        <v>1754</v>
      </c>
      <c r="B555" s="70">
        <v>44000454</v>
      </c>
      <c r="C555" s="69" t="s">
        <v>2487</v>
      </c>
      <c r="D555" s="71" t="s">
        <v>2392</v>
      </c>
      <c r="E555" s="69" t="s">
        <v>2388</v>
      </c>
      <c r="F555" s="69">
        <v>30</v>
      </c>
      <c r="G555" s="69">
        <v>30</v>
      </c>
      <c r="H555" s="69" t="s">
        <v>2399</v>
      </c>
      <c r="I555" s="69" t="s">
        <v>2463</v>
      </c>
      <c r="J555" s="69" t="s">
        <v>3213</v>
      </c>
      <c r="K555" s="69"/>
      <c r="L555" s="72" t="s">
        <v>2387</v>
      </c>
      <c r="M555" s="72" t="b">
        <f t="shared" si="8"/>
        <v>0</v>
      </c>
    </row>
    <row r="556" spans="1:13" x14ac:dyDescent="0.25">
      <c r="A556" s="69" t="s">
        <v>838</v>
      </c>
      <c r="B556" s="70">
        <v>44000038</v>
      </c>
      <c r="C556" s="69" t="s">
        <v>749</v>
      </c>
      <c r="D556" s="71" t="s">
        <v>2387</v>
      </c>
      <c r="E556" s="69" t="s">
        <v>2476</v>
      </c>
      <c r="F556" s="69">
        <v>60</v>
      </c>
      <c r="G556" s="69">
        <v>180</v>
      </c>
      <c r="H556" s="69" t="s">
        <v>2399</v>
      </c>
      <c r="I556" s="69" t="s">
        <v>2456</v>
      </c>
      <c r="J556" s="69" t="s">
        <v>2424</v>
      </c>
      <c r="K556" s="69" t="s">
        <v>3025</v>
      </c>
      <c r="L556" s="72" t="s">
        <v>2387</v>
      </c>
      <c r="M556" s="72" t="b">
        <f t="shared" si="8"/>
        <v>1</v>
      </c>
    </row>
    <row r="557" spans="1:13" x14ac:dyDescent="0.25">
      <c r="A557" s="69" t="s">
        <v>835</v>
      </c>
      <c r="B557" s="70">
        <v>44000038</v>
      </c>
      <c r="C557" s="69" t="s">
        <v>749</v>
      </c>
      <c r="D557" s="71" t="s">
        <v>2387</v>
      </c>
      <c r="E557" s="69" t="s">
        <v>2476</v>
      </c>
      <c r="F557" s="69">
        <v>60</v>
      </c>
      <c r="G557" s="69">
        <v>180</v>
      </c>
      <c r="H557" s="69" t="s">
        <v>2399</v>
      </c>
      <c r="I557" s="69" t="s">
        <v>2456</v>
      </c>
      <c r="J557" s="69" t="s">
        <v>2424</v>
      </c>
      <c r="K557" s="69" t="s">
        <v>3025</v>
      </c>
      <c r="L557" s="72" t="s">
        <v>2387</v>
      </c>
      <c r="M557" s="72" t="b">
        <f t="shared" si="8"/>
        <v>1</v>
      </c>
    </row>
    <row r="558" spans="1:13" x14ac:dyDescent="0.25">
      <c r="A558" s="69" t="s">
        <v>832</v>
      </c>
      <c r="B558" s="70">
        <v>44000038</v>
      </c>
      <c r="C558" s="69" t="s">
        <v>749</v>
      </c>
      <c r="D558" s="71" t="s">
        <v>2387</v>
      </c>
      <c r="E558" s="69" t="s">
        <v>2476</v>
      </c>
      <c r="F558" s="69">
        <v>60</v>
      </c>
      <c r="G558" s="69">
        <v>180</v>
      </c>
      <c r="H558" s="69" t="s">
        <v>2399</v>
      </c>
      <c r="I558" s="69" t="s">
        <v>2456</v>
      </c>
      <c r="J558" s="69" t="s">
        <v>2424</v>
      </c>
      <c r="K558" s="69" t="s">
        <v>3025</v>
      </c>
      <c r="L558" s="72" t="s">
        <v>2387</v>
      </c>
      <c r="M558" s="72" t="b">
        <f t="shared" si="8"/>
        <v>1</v>
      </c>
    </row>
    <row r="559" spans="1:13" x14ac:dyDescent="0.25">
      <c r="A559" s="69" t="s">
        <v>829</v>
      </c>
      <c r="B559" s="70">
        <v>44000038</v>
      </c>
      <c r="C559" s="69" t="s">
        <v>749</v>
      </c>
      <c r="D559" s="71" t="s">
        <v>2387</v>
      </c>
      <c r="E559" s="69" t="s">
        <v>2476</v>
      </c>
      <c r="F559" s="69">
        <v>60</v>
      </c>
      <c r="G559" s="69">
        <v>180</v>
      </c>
      <c r="H559" s="69" t="s">
        <v>2399</v>
      </c>
      <c r="I559" s="69" t="s">
        <v>2456</v>
      </c>
      <c r="J559" s="69" t="s">
        <v>2424</v>
      </c>
      <c r="K559" s="69" t="s">
        <v>3025</v>
      </c>
      <c r="L559" s="72" t="s">
        <v>2387</v>
      </c>
      <c r="M559" s="72" t="b">
        <f t="shared" si="8"/>
        <v>1</v>
      </c>
    </row>
    <row r="560" spans="1:13" x14ac:dyDescent="0.25">
      <c r="A560" s="69" t="s">
        <v>796</v>
      </c>
      <c r="B560" s="70">
        <v>44000038</v>
      </c>
      <c r="C560" s="69" t="s">
        <v>749</v>
      </c>
      <c r="D560" s="71" t="s">
        <v>2387</v>
      </c>
      <c r="E560" s="69" t="s">
        <v>2476</v>
      </c>
      <c r="F560" s="69">
        <v>60</v>
      </c>
      <c r="G560" s="69">
        <v>180</v>
      </c>
      <c r="H560" s="69" t="s">
        <v>2399</v>
      </c>
      <c r="I560" s="69" t="s">
        <v>2456</v>
      </c>
      <c r="J560" s="69" t="s">
        <v>2424</v>
      </c>
      <c r="K560" s="69" t="s">
        <v>3025</v>
      </c>
      <c r="L560" s="72" t="s">
        <v>2387</v>
      </c>
      <c r="M560" s="72" t="b">
        <f t="shared" si="8"/>
        <v>1</v>
      </c>
    </row>
    <row r="561" spans="1:13" x14ac:dyDescent="0.25">
      <c r="A561" s="69" t="s">
        <v>793</v>
      </c>
      <c r="B561" s="70">
        <v>44000038</v>
      </c>
      <c r="C561" s="69" t="s">
        <v>749</v>
      </c>
      <c r="D561" s="71" t="s">
        <v>2387</v>
      </c>
      <c r="E561" s="69" t="s">
        <v>2476</v>
      </c>
      <c r="F561" s="69">
        <v>60</v>
      </c>
      <c r="G561" s="69">
        <v>180</v>
      </c>
      <c r="H561" s="69" t="s">
        <v>2399</v>
      </c>
      <c r="I561" s="69" t="s">
        <v>2456</v>
      </c>
      <c r="J561" s="69" t="s">
        <v>2424</v>
      </c>
      <c r="K561" s="69" t="s">
        <v>3025</v>
      </c>
      <c r="L561" s="72" t="s">
        <v>2387</v>
      </c>
      <c r="M561" s="72" t="b">
        <f t="shared" si="8"/>
        <v>1</v>
      </c>
    </row>
    <row r="562" spans="1:13" x14ac:dyDescent="0.25">
      <c r="A562" s="69" t="s">
        <v>790</v>
      </c>
      <c r="B562" s="70">
        <v>44000038</v>
      </c>
      <c r="C562" s="69" t="s">
        <v>749</v>
      </c>
      <c r="D562" s="71" t="s">
        <v>2387</v>
      </c>
      <c r="E562" s="69" t="s">
        <v>2476</v>
      </c>
      <c r="F562" s="69">
        <v>60</v>
      </c>
      <c r="G562" s="69">
        <v>180</v>
      </c>
      <c r="H562" s="69" t="s">
        <v>2399</v>
      </c>
      <c r="I562" s="69" t="s">
        <v>2456</v>
      </c>
      <c r="J562" s="69" t="s">
        <v>2424</v>
      </c>
      <c r="K562" s="69" t="s">
        <v>3025</v>
      </c>
      <c r="L562" s="72" t="s">
        <v>2387</v>
      </c>
      <c r="M562" s="72" t="b">
        <f t="shared" si="8"/>
        <v>1</v>
      </c>
    </row>
    <row r="563" spans="1:13" x14ac:dyDescent="0.25">
      <c r="A563" s="69" t="s">
        <v>787</v>
      </c>
      <c r="B563" s="70">
        <v>44000038</v>
      </c>
      <c r="C563" s="69" t="s">
        <v>749</v>
      </c>
      <c r="D563" s="71" t="s">
        <v>2387</v>
      </c>
      <c r="E563" s="69" t="s">
        <v>2476</v>
      </c>
      <c r="F563" s="69">
        <v>60</v>
      </c>
      <c r="G563" s="69">
        <v>180</v>
      </c>
      <c r="H563" s="69" t="s">
        <v>2399</v>
      </c>
      <c r="I563" s="69" t="s">
        <v>2456</v>
      </c>
      <c r="J563" s="69" t="s">
        <v>2424</v>
      </c>
      <c r="K563" s="69" t="s">
        <v>3025</v>
      </c>
      <c r="L563" s="72" t="s">
        <v>2387</v>
      </c>
      <c r="M563" s="72" t="b">
        <f t="shared" si="8"/>
        <v>1</v>
      </c>
    </row>
    <row r="564" spans="1:13" x14ac:dyDescent="0.25">
      <c r="A564" s="69" t="s">
        <v>784</v>
      </c>
      <c r="B564" s="70">
        <v>44000038</v>
      </c>
      <c r="C564" s="69" t="s">
        <v>749</v>
      </c>
      <c r="D564" s="71" t="s">
        <v>2387</v>
      </c>
      <c r="E564" s="69" t="s">
        <v>2476</v>
      </c>
      <c r="F564" s="69">
        <v>60</v>
      </c>
      <c r="G564" s="69">
        <v>180</v>
      </c>
      <c r="H564" s="69" t="s">
        <v>2399</v>
      </c>
      <c r="I564" s="69" t="s">
        <v>2456</v>
      </c>
      <c r="J564" s="69" t="s">
        <v>2424</v>
      </c>
      <c r="K564" s="69" t="s">
        <v>3025</v>
      </c>
      <c r="L564" s="72" t="s">
        <v>2387</v>
      </c>
      <c r="M564" s="72" t="b">
        <f t="shared" si="8"/>
        <v>1</v>
      </c>
    </row>
    <row r="565" spans="1:13" x14ac:dyDescent="0.25">
      <c r="A565" s="69" t="s">
        <v>781</v>
      </c>
      <c r="B565" s="70">
        <v>44000038</v>
      </c>
      <c r="C565" s="69" t="s">
        <v>749</v>
      </c>
      <c r="D565" s="71" t="s">
        <v>2387</v>
      </c>
      <c r="E565" s="69" t="s">
        <v>2476</v>
      </c>
      <c r="F565" s="69">
        <v>60</v>
      </c>
      <c r="G565" s="69">
        <v>180</v>
      </c>
      <c r="H565" s="69" t="s">
        <v>2399</v>
      </c>
      <c r="I565" s="69" t="s">
        <v>2456</v>
      </c>
      <c r="J565" s="69" t="s">
        <v>2424</v>
      </c>
      <c r="K565" s="69" t="s">
        <v>3025</v>
      </c>
      <c r="L565" s="72" t="s">
        <v>2387</v>
      </c>
      <c r="M565" s="72" t="b">
        <f t="shared" si="8"/>
        <v>1</v>
      </c>
    </row>
    <row r="566" spans="1:13" x14ac:dyDescent="0.25">
      <c r="A566" s="69" t="s">
        <v>778</v>
      </c>
      <c r="B566" s="70">
        <v>44000038</v>
      </c>
      <c r="C566" s="69" t="s">
        <v>749</v>
      </c>
      <c r="D566" s="71" t="s">
        <v>2387</v>
      </c>
      <c r="E566" s="69" t="s">
        <v>2476</v>
      </c>
      <c r="F566" s="69">
        <v>60</v>
      </c>
      <c r="G566" s="69">
        <v>180</v>
      </c>
      <c r="H566" s="69" t="s">
        <v>2399</v>
      </c>
      <c r="I566" s="69" t="s">
        <v>2456</v>
      </c>
      <c r="J566" s="69" t="s">
        <v>2424</v>
      </c>
      <c r="K566" s="69" t="s">
        <v>3025</v>
      </c>
      <c r="L566" s="72" t="s">
        <v>2387</v>
      </c>
      <c r="M566" s="72" t="b">
        <f t="shared" si="8"/>
        <v>1</v>
      </c>
    </row>
    <row r="567" spans="1:13" x14ac:dyDescent="0.25">
      <c r="A567" s="69" t="s">
        <v>775</v>
      </c>
      <c r="B567" s="70">
        <v>44000038</v>
      </c>
      <c r="C567" s="69" t="s">
        <v>749</v>
      </c>
      <c r="D567" s="71" t="s">
        <v>2387</v>
      </c>
      <c r="E567" s="69" t="s">
        <v>2476</v>
      </c>
      <c r="F567" s="69">
        <v>60</v>
      </c>
      <c r="G567" s="69">
        <v>180</v>
      </c>
      <c r="H567" s="69" t="s">
        <v>2399</v>
      </c>
      <c r="I567" s="69" t="s">
        <v>2456</v>
      </c>
      <c r="J567" s="69" t="s">
        <v>2424</v>
      </c>
      <c r="K567" s="69" t="s">
        <v>3025</v>
      </c>
      <c r="L567" s="72" t="s">
        <v>2387</v>
      </c>
      <c r="M567" s="72" t="b">
        <f t="shared" si="8"/>
        <v>1</v>
      </c>
    </row>
    <row r="568" spans="1:13" x14ac:dyDescent="0.25">
      <c r="A568" s="69" t="s">
        <v>772</v>
      </c>
      <c r="B568" s="70">
        <v>44000038</v>
      </c>
      <c r="C568" s="69" t="s">
        <v>749</v>
      </c>
      <c r="D568" s="71" t="s">
        <v>2387</v>
      </c>
      <c r="E568" s="69" t="s">
        <v>2476</v>
      </c>
      <c r="F568" s="69">
        <v>60</v>
      </c>
      <c r="G568" s="69">
        <v>180</v>
      </c>
      <c r="H568" s="69" t="s">
        <v>2399</v>
      </c>
      <c r="I568" s="69" t="s">
        <v>2456</v>
      </c>
      <c r="J568" s="69" t="s">
        <v>2424</v>
      </c>
      <c r="K568" s="69" t="s">
        <v>3025</v>
      </c>
      <c r="L568" s="72" t="s">
        <v>2387</v>
      </c>
      <c r="M568" s="72" t="b">
        <f t="shared" si="8"/>
        <v>1</v>
      </c>
    </row>
    <row r="569" spans="1:13" x14ac:dyDescent="0.25">
      <c r="A569" s="69" t="s">
        <v>769</v>
      </c>
      <c r="B569" s="70">
        <v>44000038</v>
      </c>
      <c r="C569" s="69" t="s">
        <v>749</v>
      </c>
      <c r="D569" s="71" t="s">
        <v>2387</v>
      </c>
      <c r="E569" s="69" t="s">
        <v>2476</v>
      </c>
      <c r="F569" s="69">
        <v>60</v>
      </c>
      <c r="G569" s="69">
        <v>180</v>
      </c>
      <c r="H569" s="69" t="s">
        <v>2399</v>
      </c>
      <c r="I569" s="69" t="s">
        <v>2456</v>
      </c>
      <c r="J569" s="69" t="s">
        <v>2424</v>
      </c>
      <c r="K569" s="69" t="s">
        <v>3025</v>
      </c>
      <c r="L569" s="72" t="s">
        <v>2387</v>
      </c>
      <c r="M569" s="72" t="b">
        <f t="shared" si="8"/>
        <v>1</v>
      </c>
    </row>
    <row r="570" spans="1:13" x14ac:dyDescent="0.25">
      <c r="A570" s="69" t="s">
        <v>766</v>
      </c>
      <c r="B570" s="70">
        <v>44000038</v>
      </c>
      <c r="C570" s="69" t="s">
        <v>749</v>
      </c>
      <c r="D570" s="71" t="s">
        <v>2387</v>
      </c>
      <c r="E570" s="69" t="s">
        <v>2476</v>
      </c>
      <c r="F570" s="69">
        <v>60</v>
      </c>
      <c r="G570" s="69">
        <v>180</v>
      </c>
      <c r="H570" s="69" t="s">
        <v>2399</v>
      </c>
      <c r="I570" s="69" t="s">
        <v>2456</v>
      </c>
      <c r="J570" s="69" t="s">
        <v>2424</v>
      </c>
      <c r="K570" s="69" t="s">
        <v>3025</v>
      </c>
      <c r="L570" s="72" t="s">
        <v>2387</v>
      </c>
      <c r="M570" s="72" t="b">
        <f t="shared" si="8"/>
        <v>1</v>
      </c>
    </row>
    <row r="571" spans="1:13" x14ac:dyDescent="0.25">
      <c r="A571" s="69" t="s">
        <v>763</v>
      </c>
      <c r="B571" s="70">
        <v>44000038</v>
      </c>
      <c r="C571" s="69" t="s">
        <v>749</v>
      </c>
      <c r="D571" s="71" t="s">
        <v>2387</v>
      </c>
      <c r="E571" s="69" t="s">
        <v>2476</v>
      </c>
      <c r="F571" s="69">
        <v>60</v>
      </c>
      <c r="G571" s="69">
        <v>180</v>
      </c>
      <c r="H571" s="69" t="s">
        <v>2399</v>
      </c>
      <c r="I571" s="69" t="s">
        <v>2456</v>
      </c>
      <c r="J571" s="69" t="s">
        <v>2424</v>
      </c>
      <c r="K571" s="69" t="s">
        <v>3025</v>
      </c>
      <c r="L571" s="72" t="s">
        <v>2387</v>
      </c>
      <c r="M571" s="72" t="b">
        <f t="shared" si="8"/>
        <v>1</v>
      </c>
    </row>
    <row r="572" spans="1:13" x14ac:dyDescent="0.25">
      <c r="A572" s="69" t="s">
        <v>760</v>
      </c>
      <c r="B572" s="70">
        <v>44000038</v>
      </c>
      <c r="C572" s="69" t="s">
        <v>749</v>
      </c>
      <c r="D572" s="71" t="s">
        <v>2387</v>
      </c>
      <c r="E572" s="69" t="s">
        <v>2476</v>
      </c>
      <c r="F572" s="69">
        <v>60</v>
      </c>
      <c r="G572" s="69">
        <v>180</v>
      </c>
      <c r="H572" s="69" t="s">
        <v>2399</v>
      </c>
      <c r="I572" s="69" t="s">
        <v>2456</v>
      </c>
      <c r="J572" s="69" t="s">
        <v>2424</v>
      </c>
      <c r="K572" s="69" t="s">
        <v>3025</v>
      </c>
      <c r="L572" s="72" t="s">
        <v>2387</v>
      </c>
      <c r="M572" s="72" t="b">
        <f t="shared" si="8"/>
        <v>1</v>
      </c>
    </row>
    <row r="573" spans="1:13" x14ac:dyDescent="0.25">
      <c r="A573" s="69" t="s">
        <v>757</v>
      </c>
      <c r="B573" s="70">
        <v>44000038</v>
      </c>
      <c r="C573" s="69" t="s">
        <v>749</v>
      </c>
      <c r="D573" s="71" t="s">
        <v>2387</v>
      </c>
      <c r="E573" s="69" t="s">
        <v>2476</v>
      </c>
      <c r="F573" s="69">
        <v>60</v>
      </c>
      <c r="G573" s="69">
        <v>180</v>
      </c>
      <c r="H573" s="69" t="s">
        <v>2399</v>
      </c>
      <c r="I573" s="69" t="s">
        <v>2456</v>
      </c>
      <c r="J573" s="69" t="s">
        <v>2424</v>
      </c>
      <c r="K573" s="69" t="s">
        <v>3025</v>
      </c>
      <c r="L573" s="72" t="s">
        <v>2387</v>
      </c>
      <c r="M573" s="72" t="b">
        <f t="shared" si="8"/>
        <v>1</v>
      </c>
    </row>
    <row r="574" spans="1:13" x14ac:dyDescent="0.25">
      <c r="A574" s="69" t="s">
        <v>754</v>
      </c>
      <c r="B574" s="70">
        <v>44000038</v>
      </c>
      <c r="C574" s="69" t="s">
        <v>749</v>
      </c>
      <c r="D574" s="71" t="s">
        <v>2387</v>
      </c>
      <c r="E574" s="69" t="s">
        <v>2476</v>
      </c>
      <c r="F574" s="69">
        <v>60</v>
      </c>
      <c r="G574" s="69">
        <v>180</v>
      </c>
      <c r="H574" s="69" t="s">
        <v>2399</v>
      </c>
      <c r="I574" s="69" t="s">
        <v>2456</v>
      </c>
      <c r="J574" s="69" t="s">
        <v>2424</v>
      </c>
      <c r="K574" s="69" t="s">
        <v>3025</v>
      </c>
      <c r="L574" s="72" t="s">
        <v>2387</v>
      </c>
      <c r="M574" s="72" t="b">
        <f t="shared" si="8"/>
        <v>1</v>
      </c>
    </row>
    <row r="575" spans="1:13" x14ac:dyDescent="0.25">
      <c r="A575" s="69" t="s">
        <v>751</v>
      </c>
      <c r="B575" s="70">
        <v>44000038</v>
      </c>
      <c r="C575" s="69" t="s">
        <v>749</v>
      </c>
      <c r="D575" s="71" t="s">
        <v>2387</v>
      </c>
      <c r="E575" s="69" t="s">
        <v>2476</v>
      </c>
      <c r="F575" s="69">
        <v>60</v>
      </c>
      <c r="G575" s="69">
        <v>180</v>
      </c>
      <c r="H575" s="69" t="s">
        <v>2399</v>
      </c>
      <c r="I575" s="69" t="s">
        <v>2456</v>
      </c>
      <c r="J575" s="69" t="s">
        <v>2488</v>
      </c>
      <c r="K575" s="69" t="s">
        <v>3025</v>
      </c>
      <c r="L575" s="72" t="s">
        <v>2387</v>
      </c>
      <c r="M575" s="72" t="b">
        <f t="shared" si="8"/>
        <v>1</v>
      </c>
    </row>
    <row r="576" spans="1:13" x14ac:dyDescent="0.25">
      <c r="A576" s="69" t="s">
        <v>2096</v>
      </c>
      <c r="B576" s="70">
        <v>44000038</v>
      </c>
      <c r="C576" s="69" t="s">
        <v>749</v>
      </c>
      <c r="D576" s="71" t="s">
        <v>2387</v>
      </c>
      <c r="E576" s="69" t="s">
        <v>2476</v>
      </c>
      <c r="F576" s="69">
        <v>60</v>
      </c>
      <c r="G576" s="69">
        <v>180</v>
      </c>
      <c r="H576" s="69" t="s">
        <v>2399</v>
      </c>
      <c r="I576" s="69" t="s">
        <v>2456</v>
      </c>
      <c r="J576" s="69" t="s">
        <v>2488</v>
      </c>
      <c r="K576" s="69" t="s">
        <v>3025</v>
      </c>
      <c r="L576" s="72" t="s">
        <v>2387</v>
      </c>
      <c r="M576" s="72" t="b">
        <f t="shared" si="8"/>
        <v>1</v>
      </c>
    </row>
    <row r="577" spans="1:14" x14ac:dyDescent="0.25">
      <c r="A577" s="69" t="s">
        <v>747</v>
      </c>
      <c r="B577" s="70">
        <v>44000038</v>
      </c>
      <c r="C577" s="69" t="s">
        <v>749</v>
      </c>
      <c r="D577" s="71" t="s">
        <v>2387</v>
      </c>
      <c r="E577" s="69" t="s">
        <v>2476</v>
      </c>
      <c r="F577" s="69">
        <v>60</v>
      </c>
      <c r="G577" s="69">
        <v>180</v>
      </c>
      <c r="H577" s="69" t="s">
        <v>2399</v>
      </c>
      <c r="I577" s="69" t="s">
        <v>2456</v>
      </c>
      <c r="J577" s="69" t="s">
        <v>2488</v>
      </c>
      <c r="K577" s="69" t="s">
        <v>3025</v>
      </c>
      <c r="L577" s="72" t="s">
        <v>2387</v>
      </c>
      <c r="M577" s="72" t="b">
        <f t="shared" si="8"/>
        <v>1</v>
      </c>
    </row>
    <row r="578" spans="1:14" x14ac:dyDescent="0.25">
      <c r="A578" s="69" t="s">
        <v>2131</v>
      </c>
      <c r="B578" s="70">
        <v>44000038</v>
      </c>
      <c r="C578" s="69" t="s">
        <v>749</v>
      </c>
      <c r="D578" s="71" t="s">
        <v>2387</v>
      </c>
      <c r="E578" s="69" t="s">
        <v>2476</v>
      </c>
      <c r="F578" s="69">
        <v>60</v>
      </c>
      <c r="G578" s="69">
        <v>180</v>
      </c>
      <c r="H578" s="69" t="s">
        <v>2399</v>
      </c>
      <c r="I578" s="69" t="s">
        <v>2456</v>
      </c>
      <c r="J578" s="69" t="s">
        <v>2488</v>
      </c>
      <c r="K578" s="69" t="s">
        <v>3025</v>
      </c>
      <c r="L578" s="72" t="s">
        <v>2387</v>
      </c>
      <c r="M578" s="72" t="b">
        <f t="shared" ref="M578:M641" si="9">L578=D578</f>
        <v>1</v>
      </c>
    </row>
    <row r="579" spans="1:14" x14ac:dyDescent="0.25">
      <c r="A579" s="69" t="s">
        <v>2198</v>
      </c>
      <c r="B579" s="70">
        <v>44005378</v>
      </c>
      <c r="C579" s="69" t="s">
        <v>2374</v>
      </c>
      <c r="D579" s="71" t="s">
        <v>2961</v>
      </c>
      <c r="E579" s="69" t="s">
        <v>2388</v>
      </c>
      <c r="F579" s="69">
        <v>30</v>
      </c>
      <c r="G579" s="69">
        <v>60</v>
      </c>
      <c r="H579" s="69" t="s">
        <v>2399</v>
      </c>
      <c r="I579" s="69" t="s">
        <v>2429</v>
      </c>
      <c r="J579" s="69" t="s">
        <v>2427</v>
      </c>
      <c r="K579" s="69"/>
      <c r="L579" s="72" t="s">
        <v>2387</v>
      </c>
      <c r="M579" s="72" t="b">
        <f t="shared" si="9"/>
        <v>0</v>
      </c>
    </row>
    <row r="580" spans="1:14" x14ac:dyDescent="0.25">
      <c r="A580" s="69" t="s">
        <v>2198</v>
      </c>
      <c r="B580" s="70" t="s">
        <v>3033</v>
      </c>
      <c r="C580" s="69" t="s">
        <v>3034</v>
      </c>
      <c r="D580" s="71" t="s">
        <v>2961</v>
      </c>
      <c r="E580" s="69" t="s">
        <v>2388</v>
      </c>
      <c r="F580" s="69">
        <v>30</v>
      </c>
      <c r="G580" s="69">
        <v>0</v>
      </c>
      <c r="H580" s="69" t="s">
        <v>2391</v>
      </c>
      <c r="I580" s="69" t="s">
        <v>2429</v>
      </c>
      <c r="J580" s="69" t="s">
        <v>2427</v>
      </c>
      <c r="K580" s="69" t="s">
        <v>3035</v>
      </c>
      <c r="L580" s="72" t="s">
        <v>2387</v>
      </c>
      <c r="M580" s="72" t="b">
        <f t="shared" si="9"/>
        <v>0</v>
      </c>
    </row>
    <row r="581" spans="1:14" x14ac:dyDescent="0.25">
      <c r="A581" s="69" t="s">
        <v>2198</v>
      </c>
      <c r="B581" s="70" t="s">
        <v>3036</v>
      </c>
      <c r="C581" s="69" t="s">
        <v>3037</v>
      </c>
      <c r="D581" s="71" t="s">
        <v>2961</v>
      </c>
      <c r="E581" s="69" t="s">
        <v>2388</v>
      </c>
      <c r="F581" s="69">
        <v>30</v>
      </c>
      <c r="G581" s="69">
        <v>0</v>
      </c>
      <c r="H581" s="69" t="s">
        <v>2391</v>
      </c>
      <c r="I581" s="69" t="s">
        <v>2429</v>
      </c>
      <c r="J581" s="69" t="s">
        <v>2427</v>
      </c>
      <c r="K581" s="69" t="s">
        <v>3035</v>
      </c>
      <c r="L581" s="72" t="s">
        <v>2387</v>
      </c>
      <c r="M581" s="72" t="b">
        <f t="shared" si="9"/>
        <v>0</v>
      </c>
    </row>
    <row r="582" spans="1:14" x14ac:dyDescent="0.25">
      <c r="A582" s="69" t="s">
        <v>84</v>
      </c>
      <c r="B582" s="70">
        <v>44003108</v>
      </c>
      <c r="C582" s="69" t="s">
        <v>86</v>
      </c>
      <c r="D582" s="71" t="s">
        <v>2961</v>
      </c>
      <c r="E582" s="69" t="s">
        <v>2388</v>
      </c>
      <c r="F582" s="69">
        <v>30</v>
      </c>
      <c r="G582" s="69">
        <v>60</v>
      </c>
      <c r="H582" s="69" t="s">
        <v>2391</v>
      </c>
      <c r="I582" s="69" t="s">
        <v>2431</v>
      </c>
      <c r="J582" s="69" t="s">
        <v>2424</v>
      </c>
      <c r="K582" s="69"/>
      <c r="L582" s="72" t="s">
        <v>2392</v>
      </c>
      <c r="M582" s="72" t="b">
        <f t="shared" si="9"/>
        <v>0</v>
      </c>
    </row>
    <row r="583" spans="1:14" s="68" customFormat="1" x14ac:dyDescent="0.25">
      <c r="A583" s="76" t="s">
        <v>2006</v>
      </c>
      <c r="B583" s="70">
        <v>44003108</v>
      </c>
      <c r="C583" s="69" t="s">
        <v>86</v>
      </c>
      <c r="D583" s="71" t="s">
        <v>2961</v>
      </c>
      <c r="E583" s="76" t="s">
        <v>2388</v>
      </c>
      <c r="F583" s="76">
        <v>30</v>
      </c>
      <c r="G583" s="76">
        <v>60</v>
      </c>
      <c r="H583" s="76" t="s">
        <v>2391</v>
      </c>
      <c r="I583" s="76" t="s">
        <v>2410</v>
      </c>
      <c r="J583" s="76" t="s">
        <v>2390</v>
      </c>
      <c r="K583" s="76" t="s">
        <v>3038</v>
      </c>
      <c r="L583" s="72" t="s">
        <v>2392</v>
      </c>
      <c r="M583" s="72" t="b">
        <f t="shared" si="9"/>
        <v>0</v>
      </c>
      <c r="N583" s="72"/>
    </row>
    <row r="584" spans="1:14" x14ac:dyDescent="0.25">
      <c r="A584" s="69" t="s">
        <v>2034</v>
      </c>
      <c r="B584" s="70">
        <v>44003108</v>
      </c>
      <c r="C584" s="69" t="s">
        <v>86</v>
      </c>
      <c r="D584" s="71" t="s">
        <v>2961</v>
      </c>
      <c r="E584" s="69" t="s">
        <v>2388</v>
      </c>
      <c r="F584" s="69">
        <v>30</v>
      </c>
      <c r="G584" s="69">
        <v>45</v>
      </c>
      <c r="H584" s="69" t="s">
        <v>2472</v>
      </c>
      <c r="I584" s="69" t="s">
        <v>2423</v>
      </c>
      <c r="J584" s="69" t="s">
        <v>2390</v>
      </c>
      <c r="K584" s="69"/>
      <c r="L584" s="72" t="s">
        <v>2392</v>
      </c>
      <c r="M584" s="72" t="b">
        <f t="shared" si="9"/>
        <v>0</v>
      </c>
    </row>
    <row r="585" spans="1:14" x14ac:dyDescent="0.25">
      <c r="A585" s="69" t="s">
        <v>2033</v>
      </c>
      <c r="B585" s="70">
        <v>44003108</v>
      </c>
      <c r="C585" s="69" t="s">
        <v>86</v>
      </c>
      <c r="D585" s="71" t="s">
        <v>2961</v>
      </c>
      <c r="E585" s="69" t="s">
        <v>2388</v>
      </c>
      <c r="F585" s="69">
        <v>30</v>
      </c>
      <c r="G585" s="69">
        <v>60</v>
      </c>
      <c r="H585" s="69" t="s">
        <v>2472</v>
      </c>
      <c r="I585" s="69" t="s">
        <v>2423</v>
      </c>
      <c r="J585" s="69" t="s">
        <v>2390</v>
      </c>
      <c r="K585" s="69"/>
      <c r="L585" s="72" t="s">
        <v>2392</v>
      </c>
      <c r="M585" s="72" t="b">
        <f t="shared" si="9"/>
        <v>0</v>
      </c>
    </row>
    <row r="586" spans="1:14" x14ac:dyDescent="0.25">
      <c r="A586" s="69" t="s">
        <v>2025</v>
      </c>
      <c r="B586" s="70">
        <v>44003108</v>
      </c>
      <c r="C586" s="69" t="s">
        <v>86</v>
      </c>
      <c r="D586" s="71" t="s">
        <v>2961</v>
      </c>
      <c r="E586" s="69" t="s">
        <v>2388</v>
      </c>
      <c r="F586" s="69">
        <v>30</v>
      </c>
      <c r="G586" s="69">
        <v>60</v>
      </c>
      <c r="H586" s="69" t="s">
        <v>2472</v>
      </c>
      <c r="I586" s="69" t="s">
        <v>2423</v>
      </c>
      <c r="J586" s="69" t="s">
        <v>2390</v>
      </c>
      <c r="K586" s="69"/>
      <c r="L586" s="72" t="s">
        <v>2392</v>
      </c>
      <c r="M586" s="72" t="b">
        <f t="shared" si="9"/>
        <v>0</v>
      </c>
    </row>
    <row r="587" spans="1:14" x14ac:dyDescent="0.25">
      <c r="A587" s="69" t="s">
        <v>2023</v>
      </c>
      <c r="B587" s="70">
        <v>44003108</v>
      </c>
      <c r="C587" s="69" t="s">
        <v>86</v>
      </c>
      <c r="D587" s="71" t="s">
        <v>2961</v>
      </c>
      <c r="E587" s="69" t="s">
        <v>2388</v>
      </c>
      <c r="F587" s="69">
        <v>30</v>
      </c>
      <c r="G587" s="69">
        <v>60</v>
      </c>
      <c r="H587" s="69" t="s">
        <v>2472</v>
      </c>
      <c r="I587" s="69" t="s">
        <v>2423</v>
      </c>
      <c r="J587" s="69" t="s">
        <v>2390</v>
      </c>
      <c r="K587" s="69"/>
      <c r="L587" s="72" t="s">
        <v>2392</v>
      </c>
      <c r="M587" s="72" t="b">
        <f t="shared" si="9"/>
        <v>0</v>
      </c>
    </row>
    <row r="588" spans="1:14" x14ac:dyDescent="0.25">
      <c r="A588" s="69" t="s">
        <v>2045</v>
      </c>
      <c r="B588" s="70">
        <v>44003108</v>
      </c>
      <c r="C588" s="69" t="s">
        <v>86</v>
      </c>
      <c r="D588" s="71" t="s">
        <v>2961</v>
      </c>
      <c r="E588" s="69" t="s">
        <v>2388</v>
      </c>
      <c r="F588" s="69">
        <v>30</v>
      </c>
      <c r="G588" s="69">
        <v>30</v>
      </c>
      <c r="H588" s="69" t="s">
        <v>2472</v>
      </c>
      <c r="I588" s="69" t="s">
        <v>2423</v>
      </c>
      <c r="J588" s="69" t="s">
        <v>2390</v>
      </c>
      <c r="K588" s="69"/>
      <c r="L588" s="72" t="s">
        <v>2392</v>
      </c>
      <c r="M588" s="72" t="b">
        <f t="shared" si="9"/>
        <v>0</v>
      </c>
    </row>
    <row r="589" spans="1:14" x14ac:dyDescent="0.25">
      <c r="A589" s="69" t="s">
        <v>2027</v>
      </c>
      <c r="B589" s="70">
        <v>44003108</v>
      </c>
      <c r="C589" s="69" t="s">
        <v>86</v>
      </c>
      <c r="D589" s="71" t="s">
        <v>2961</v>
      </c>
      <c r="E589" s="69" t="s">
        <v>2388</v>
      </c>
      <c r="F589" s="69">
        <v>30</v>
      </c>
      <c r="G589" s="69">
        <v>60</v>
      </c>
      <c r="H589" s="69" t="s">
        <v>2472</v>
      </c>
      <c r="I589" s="69" t="s">
        <v>2423</v>
      </c>
      <c r="J589" s="69" t="s">
        <v>2390</v>
      </c>
      <c r="K589" s="69"/>
      <c r="L589" s="72" t="s">
        <v>2392</v>
      </c>
      <c r="M589" s="72" t="b">
        <f t="shared" si="9"/>
        <v>0</v>
      </c>
    </row>
    <row r="590" spans="1:14" x14ac:dyDescent="0.25">
      <c r="A590" s="69" t="s">
        <v>2036</v>
      </c>
      <c r="B590" s="70">
        <v>44003108</v>
      </c>
      <c r="C590" s="69" t="s">
        <v>86</v>
      </c>
      <c r="D590" s="71" t="s">
        <v>2961</v>
      </c>
      <c r="E590" s="69" t="s">
        <v>2388</v>
      </c>
      <c r="F590" s="69">
        <v>30</v>
      </c>
      <c r="G590" s="69">
        <v>60</v>
      </c>
      <c r="H590" s="69" t="s">
        <v>2472</v>
      </c>
      <c r="I590" s="69" t="s">
        <v>2423</v>
      </c>
      <c r="J590" s="69" t="s">
        <v>2390</v>
      </c>
      <c r="K590" s="69"/>
      <c r="L590" s="72" t="s">
        <v>2392</v>
      </c>
      <c r="M590" s="72" t="b">
        <f t="shared" si="9"/>
        <v>0</v>
      </c>
    </row>
    <row r="591" spans="1:14" x14ac:dyDescent="0.25">
      <c r="A591" s="69" t="s">
        <v>2037</v>
      </c>
      <c r="B591" s="70">
        <v>44000875</v>
      </c>
      <c r="C591" s="69" t="s">
        <v>2438</v>
      </c>
      <c r="D591" s="71" t="s">
        <v>2961</v>
      </c>
      <c r="E591" s="69" t="s">
        <v>2388</v>
      </c>
      <c r="F591" s="69">
        <v>30</v>
      </c>
      <c r="G591" s="69">
        <v>45</v>
      </c>
      <c r="H591" s="69" t="s">
        <v>2472</v>
      </c>
      <c r="I591" s="69" t="s">
        <v>2423</v>
      </c>
      <c r="J591" s="69" t="s">
        <v>2390</v>
      </c>
      <c r="K591" s="69"/>
      <c r="L591" s="72" t="s">
        <v>2392</v>
      </c>
      <c r="M591" s="72" t="b">
        <f t="shared" si="9"/>
        <v>0</v>
      </c>
    </row>
    <row r="592" spans="1:14" x14ac:dyDescent="0.25">
      <c r="A592" s="69" t="s">
        <v>1488</v>
      </c>
      <c r="B592" s="70">
        <v>44000114</v>
      </c>
      <c r="C592" s="69" t="s">
        <v>2489</v>
      </c>
      <c r="D592" s="71" t="s">
        <v>2387</v>
      </c>
      <c r="E592" s="69" t="s">
        <v>2393</v>
      </c>
      <c r="F592" s="69">
        <v>60</v>
      </c>
      <c r="G592" s="69">
        <v>120</v>
      </c>
      <c r="H592" s="69" t="s">
        <v>2399</v>
      </c>
      <c r="I592" s="69" t="s">
        <v>2456</v>
      </c>
      <c r="J592" s="69" t="s">
        <v>2401</v>
      </c>
      <c r="K592" s="69"/>
      <c r="L592" s="72" t="s">
        <v>2392</v>
      </c>
      <c r="M592" s="72" t="b">
        <f t="shared" si="9"/>
        <v>0</v>
      </c>
    </row>
    <row r="593" spans="1:14" x14ac:dyDescent="0.25">
      <c r="A593" s="69" t="s">
        <v>1492</v>
      </c>
      <c r="B593" s="70">
        <v>44000114</v>
      </c>
      <c r="C593" s="69" t="s">
        <v>2489</v>
      </c>
      <c r="D593" s="71" t="s">
        <v>2387</v>
      </c>
      <c r="E593" s="69" t="s">
        <v>2393</v>
      </c>
      <c r="F593" s="69">
        <v>60</v>
      </c>
      <c r="G593" s="69">
        <v>120</v>
      </c>
      <c r="H593" s="69" t="s">
        <v>2399</v>
      </c>
      <c r="I593" s="69" t="s">
        <v>2456</v>
      </c>
      <c r="J593" s="69" t="s">
        <v>2401</v>
      </c>
      <c r="K593" s="69"/>
      <c r="L593" s="72" t="s">
        <v>2392</v>
      </c>
      <c r="M593" s="72" t="b">
        <f t="shared" si="9"/>
        <v>0</v>
      </c>
    </row>
    <row r="594" spans="1:14" x14ac:dyDescent="0.25">
      <c r="A594" s="69" t="s">
        <v>1061</v>
      </c>
      <c r="B594" s="70">
        <v>44000015</v>
      </c>
      <c r="C594" s="69" t="s">
        <v>1063</v>
      </c>
      <c r="D594" s="71" t="s">
        <v>2392</v>
      </c>
      <c r="E594" s="69" t="s">
        <v>2388</v>
      </c>
      <c r="F594" s="69">
        <v>30</v>
      </c>
      <c r="G594" s="69">
        <v>45</v>
      </c>
      <c r="H594" s="69" t="s">
        <v>2399</v>
      </c>
      <c r="I594" s="69" t="s">
        <v>2453</v>
      </c>
      <c r="J594" s="69" t="s">
        <v>2401</v>
      </c>
      <c r="K594" s="69"/>
      <c r="L594" s="72" t="s">
        <v>2392</v>
      </c>
      <c r="M594" s="72" t="b">
        <f t="shared" si="9"/>
        <v>1</v>
      </c>
    </row>
    <row r="595" spans="1:14" x14ac:dyDescent="0.25">
      <c r="A595" s="69" t="s">
        <v>935</v>
      </c>
      <c r="B595" s="70">
        <v>44001765</v>
      </c>
      <c r="C595" s="69" t="s">
        <v>933</v>
      </c>
      <c r="D595" s="71" t="s">
        <v>2387</v>
      </c>
      <c r="E595" s="69" t="s">
        <v>2388</v>
      </c>
      <c r="F595" s="69">
        <v>30</v>
      </c>
      <c r="G595" s="69">
        <v>90</v>
      </c>
      <c r="H595" s="69" t="s">
        <v>2399</v>
      </c>
      <c r="I595" s="69" t="s">
        <v>2453</v>
      </c>
      <c r="J595" s="69" t="s">
        <v>2415</v>
      </c>
      <c r="K595" s="69"/>
      <c r="L595" s="72" t="s">
        <v>2392</v>
      </c>
      <c r="M595" s="72" t="b">
        <f t="shared" si="9"/>
        <v>0</v>
      </c>
    </row>
    <row r="596" spans="1:14" x14ac:dyDescent="0.25">
      <c r="A596" s="69" t="s">
        <v>931</v>
      </c>
      <c r="B596" s="70">
        <v>44001765</v>
      </c>
      <c r="C596" s="69" t="s">
        <v>933</v>
      </c>
      <c r="D596" s="71" t="s">
        <v>2387</v>
      </c>
      <c r="E596" s="69" t="s">
        <v>2388</v>
      </c>
      <c r="F596" s="69">
        <v>30</v>
      </c>
      <c r="G596" s="69">
        <v>90</v>
      </c>
      <c r="H596" s="69" t="s">
        <v>2399</v>
      </c>
      <c r="I596" s="69" t="s">
        <v>2453</v>
      </c>
      <c r="J596" s="69" t="s">
        <v>2415</v>
      </c>
      <c r="K596" s="69"/>
      <c r="L596" s="72" t="s">
        <v>2392</v>
      </c>
      <c r="M596" s="72" t="b">
        <f t="shared" si="9"/>
        <v>0</v>
      </c>
    </row>
    <row r="597" spans="1:14" x14ac:dyDescent="0.25">
      <c r="A597" s="69" t="s">
        <v>1520</v>
      </c>
      <c r="B597" s="70">
        <v>44001765</v>
      </c>
      <c r="C597" s="69" t="s">
        <v>933</v>
      </c>
      <c r="D597" s="71" t="s">
        <v>2392</v>
      </c>
      <c r="E597" s="69" t="s">
        <v>2388</v>
      </c>
      <c r="F597" s="69">
        <v>30</v>
      </c>
      <c r="G597" s="69">
        <v>90</v>
      </c>
      <c r="H597" s="69" t="s">
        <v>2472</v>
      </c>
      <c r="I597" s="69" t="s">
        <v>2453</v>
      </c>
      <c r="J597" s="69" t="s">
        <v>2415</v>
      </c>
      <c r="K597" s="69"/>
      <c r="L597" s="72" t="s">
        <v>2387</v>
      </c>
      <c r="M597" s="72" t="b">
        <f t="shared" si="9"/>
        <v>0</v>
      </c>
    </row>
    <row r="598" spans="1:14" x14ac:dyDescent="0.25">
      <c r="A598" s="69" t="s">
        <v>1514</v>
      </c>
      <c r="B598" s="70">
        <v>44001765</v>
      </c>
      <c r="C598" s="69" t="s">
        <v>933</v>
      </c>
      <c r="D598" s="71" t="s">
        <v>2387</v>
      </c>
      <c r="E598" s="69" t="s">
        <v>2388</v>
      </c>
      <c r="F598" s="69">
        <v>30</v>
      </c>
      <c r="G598" s="69">
        <v>90</v>
      </c>
      <c r="H598" s="69" t="s">
        <v>2399</v>
      </c>
      <c r="I598" s="69" t="s">
        <v>2453</v>
      </c>
      <c r="J598" s="69" t="s">
        <v>2415</v>
      </c>
      <c r="K598" s="69"/>
      <c r="L598" s="72" t="s">
        <v>2392</v>
      </c>
      <c r="M598" s="72" t="b">
        <f t="shared" si="9"/>
        <v>0</v>
      </c>
    </row>
    <row r="599" spans="1:14" x14ac:dyDescent="0.25">
      <c r="A599" s="69" t="s">
        <v>1511</v>
      </c>
      <c r="B599" s="70">
        <v>44001765</v>
      </c>
      <c r="C599" s="69" t="s">
        <v>933</v>
      </c>
      <c r="D599" s="71" t="s">
        <v>2387</v>
      </c>
      <c r="E599" s="69" t="s">
        <v>2388</v>
      </c>
      <c r="F599" s="69">
        <v>30</v>
      </c>
      <c r="G599" s="69">
        <v>90</v>
      </c>
      <c r="H599" s="69" t="s">
        <v>2399</v>
      </c>
      <c r="I599" s="69" t="s">
        <v>2453</v>
      </c>
      <c r="J599" s="69" t="s">
        <v>2415</v>
      </c>
      <c r="K599" s="69"/>
      <c r="L599" s="72" t="s">
        <v>2392</v>
      </c>
      <c r="M599" s="72" t="b">
        <f t="shared" si="9"/>
        <v>0</v>
      </c>
    </row>
    <row r="600" spans="1:14" x14ac:dyDescent="0.25">
      <c r="A600" s="69" t="s">
        <v>1508</v>
      </c>
      <c r="B600" s="70">
        <v>44001765</v>
      </c>
      <c r="C600" s="69" t="s">
        <v>933</v>
      </c>
      <c r="D600" s="71" t="s">
        <v>2387</v>
      </c>
      <c r="E600" s="69" t="s">
        <v>2388</v>
      </c>
      <c r="F600" s="69">
        <v>30</v>
      </c>
      <c r="G600" s="69">
        <v>90</v>
      </c>
      <c r="H600" s="69" t="s">
        <v>2399</v>
      </c>
      <c r="I600" s="69" t="s">
        <v>2453</v>
      </c>
      <c r="J600" s="69" t="s">
        <v>2415</v>
      </c>
      <c r="K600" s="69"/>
      <c r="L600" s="72" t="s">
        <v>2392</v>
      </c>
      <c r="M600" s="72" t="b">
        <f t="shared" si="9"/>
        <v>0</v>
      </c>
    </row>
    <row r="601" spans="1:14" x14ac:dyDescent="0.25">
      <c r="A601" s="69" t="s">
        <v>1504</v>
      </c>
      <c r="B601" s="70">
        <v>44001765</v>
      </c>
      <c r="C601" s="69" t="s">
        <v>933</v>
      </c>
      <c r="D601" s="71" t="s">
        <v>2387</v>
      </c>
      <c r="E601" s="69" t="s">
        <v>2388</v>
      </c>
      <c r="F601" s="69">
        <v>30</v>
      </c>
      <c r="G601" s="69">
        <v>90</v>
      </c>
      <c r="H601" s="69" t="s">
        <v>2399</v>
      </c>
      <c r="I601" s="69" t="s">
        <v>2453</v>
      </c>
      <c r="J601" s="69" t="s">
        <v>2415</v>
      </c>
      <c r="K601" s="69"/>
      <c r="L601" s="72" t="s">
        <v>2392</v>
      </c>
      <c r="M601" s="72" t="b">
        <f t="shared" si="9"/>
        <v>0</v>
      </c>
    </row>
    <row r="602" spans="1:14" x14ac:dyDescent="0.25">
      <c r="A602" s="69" t="s">
        <v>1291</v>
      </c>
      <c r="B602" s="70">
        <v>44001765</v>
      </c>
      <c r="C602" s="69" t="s">
        <v>933</v>
      </c>
      <c r="D602" s="71" t="s">
        <v>2387</v>
      </c>
      <c r="E602" s="69" t="s">
        <v>2388</v>
      </c>
      <c r="F602" s="69">
        <v>30</v>
      </c>
      <c r="G602" s="69">
        <v>90</v>
      </c>
      <c r="H602" s="69" t="s">
        <v>2399</v>
      </c>
      <c r="I602" s="69" t="s">
        <v>2453</v>
      </c>
      <c r="J602" s="69" t="s">
        <v>2415</v>
      </c>
      <c r="K602" s="69"/>
      <c r="L602" s="72" t="s">
        <v>2392</v>
      </c>
      <c r="M602" s="72" t="b">
        <f t="shared" si="9"/>
        <v>0</v>
      </c>
    </row>
    <row r="603" spans="1:14" s="68" customFormat="1" ht="105" x14ac:dyDescent="0.25">
      <c r="A603" s="76" t="s">
        <v>1033</v>
      </c>
      <c r="B603" s="70" t="s">
        <v>3039</v>
      </c>
      <c r="C603" s="69" t="s">
        <v>2490</v>
      </c>
      <c r="D603" s="77" t="s">
        <v>2392</v>
      </c>
      <c r="E603" s="76" t="s">
        <v>2388</v>
      </c>
      <c r="F603" s="76"/>
      <c r="G603" s="76"/>
      <c r="H603" s="76" t="s">
        <v>2412</v>
      </c>
      <c r="I603" s="76" t="s">
        <v>2410</v>
      </c>
      <c r="J603" s="76" t="s">
        <v>2411</v>
      </c>
      <c r="K603" s="78" t="s">
        <v>3040</v>
      </c>
      <c r="L603" s="72" t="s">
        <v>2392</v>
      </c>
      <c r="M603" s="72" t="b">
        <f t="shared" si="9"/>
        <v>1</v>
      </c>
      <c r="N603" s="72"/>
    </row>
    <row r="604" spans="1:14" x14ac:dyDescent="0.25">
      <c r="A604" s="69" t="s">
        <v>6</v>
      </c>
      <c r="B604" s="70"/>
      <c r="C604" s="69" t="s">
        <v>2491</v>
      </c>
      <c r="D604" s="71" t="s">
        <v>2392</v>
      </c>
      <c r="E604" s="69" t="s">
        <v>2388</v>
      </c>
      <c r="F604" s="71">
        <v>30</v>
      </c>
      <c r="G604" s="71">
        <v>30</v>
      </c>
      <c r="H604" s="69" t="s">
        <v>2486</v>
      </c>
      <c r="I604" s="69" t="s">
        <v>2447</v>
      </c>
      <c r="J604" s="69" t="s">
        <v>2408</v>
      </c>
      <c r="K604" s="69"/>
      <c r="L604" s="72" t="s">
        <v>3041</v>
      </c>
      <c r="M604" s="72" t="b">
        <f t="shared" si="9"/>
        <v>0</v>
      </c>
    </row>
    <row r="605" spans="1:14" x14ac:dyDescent="0.25">
      <c r="A605" s="69" t="s">
        <v>2108</v>
      </c>
      <c r="B605" s="70"/>
      <c r="C605" s="69" t="s">
        <v>2491</v>
      </c>
      <c r="D605" s="71" t="s">
        <v>2392</v>
      </c>
      <c r="E605" s="69" t="s">
        <v>2388</v>
      </c>
      <c r="F605" s="71">
        <v>30</v>
      </c>
      <c r="G605" s="71">
        <v>30</v>
      </c>
      <c r="H605" s="69" t="s">
        <v>2472</v>
      </c>
      <c r="I605" s="69" t="s">
        <v>2447</v>
      </c>
      <c r="J605" s="69" t="s">
        <v>2492</v>
      </c>
      <c r="K605" s="69"/>
      <c r="L605" s="72" t="s">
        <v>2392</v>
      </c>
      <c r="M605" s="72" t="b">
        <f t="shared" si="9"/>
        <v>1</v>
      </c>
    </row>
    <row r="606" spans="1:14" x14ac:dyDescent="0.25">
      <c r="A606" s="69" t="s">
        <v>1495</v>
      </c>
      <c r="B606" s="70">
        <v>44000114</v>
      </c>
      <c r="C606" s="69" t="s">
        <v>2489</v>
      </c>
      <c r="D606" s="71" t="s">
        <v>2387</v>
      </c>
      <c r="E606" s="69" t="s">
        <v>2393</v>
      </c>
      <c r="F606" s="69">
        <v>60</v>
      </c>
      <c r="G606" s="69">
        <v>120</v>
      </c>
      <c r="H606" s="69" t="s">
        <v>2399</v>
      </c>
      <c r="I606" s="69" t="s">
        <v>2456</v>
      </c>
      <c r="J606" s="69" t="s">
        <v>2401</v>
      </c>
      <c r="K606" s="69"/>
      <c r="L606" s="72" t="s">
        <v>2392</v>
      </c>
      <c r="M606" s="72" t="b">
        <f t="shared" si="9"/>
        <v>0</v>
      </c>
    </row>
    <row r="607" spans="1:14" x14ac:dyDescent="0.25">
      <c r="A607" s="69" t="s">
        <v>1365</v>
      </c>
      <c r="B607" s="70">
        <v>44004606</v>
      </c>
      <c r="C607" s="69" t="s">
        <v>1019</v>
      </c>
      <c r="D607" s="71" t="s">
        <v>2387</v>
      </c>
      <c r="E607" s="69" t="s">
        <v>2388</v>
      </c>
      <c r="F607" s="69">
        <v>30</v>
      </c>
      <c r="G607" s="69">
        <v>90</v>
      </c>
      <c r="H607" s="69" t="s">
        <v>2399</v>
      </c>
      <c r="I607" s="69" t="s">
        <v>2400</v>
      </c>
      <c r="J607" s="69" t="s">
        <v>2398</v>
      </c>
      <c r="K607" s="69"/>
      <c r="L607" s="72" t="s">
        <v>2387</v>
      </c>
      <c r="M607" s="72" t="b">
        <f t="shared" si="9"/>
        <v>1</v>
      </c>
    </row>
    <row r="608" spans="1:14" x14ac:dyDescent="0.25">
      <c r="A608" s="69" t="s">
        <v>1362</v>
      </c>
      <c r="B608" s="70">
        <v>44004606</v>
      </c>
      <c r="C608" s="69" t="s">
        <v>2493</v>
      </c>
      <c r="D608" s="71" t="s">
        <v>2387</v>
      </c>
      <c r="E608" s="69" t="s">
        <v>2388</v>
      </c>
      <c r="F608" s="69">
        <v>30</v>
      </c>
      <c r="G608" s="69">
        <v>90</v>
      </c>
      <c r="H608" s="69" t="s">
        <v>2399</v>
      </c>
      <c r="I608" s="69" t="s">
        <v>2400</v>
      </c>
      <c r="J608" s="69" t="s">
        <v>2398</v>
      </c>
      <c r="K608" s="69"/>
      <c r="L608" s="72" t="s">
        <v>2387</v>
      </c>
      <c r="M608" s="72" t="b">
        <f t="shared" si="9"/>
        <v>1</v>
      </c>
    </row>
    <row r="609" spans="1:13" x14ac:dyDescent="0.25">
      <c r="A609" s="69" t="s">
        <v>1359</v>
      </c>
      <c r="B609" s="70">
        <v>44004606</v>
      </c>
      <c r="C609" s="69" t="s">
        <v>2493</v>
      </c>
      <c r="D609" s="71" t="s">
        <v>2387</v>
      </c>
      <c r="E609" s="69" t="s">
        <v>2388</v>
      </c>
      <c r="F609" s="69">
        <v>30</v>
      </c>
      <c r="G609" s="69">
        <v>90</v>
      </c>
      <c r="H609" s="69" t="s">
        <v>2399</v>
      </c>
      <c r="I609" s="69" t="s">
        <v>2400</v>
      </c>
      <c r="J609" s="69" t="s">
        <v>2398</v>
      </c>
      <c r="K609" s="69"/>
      <c r="L609" s="72" t="s">
        <v>2387</v>
      </c>
      <c r="M609" s="72" t="b">
        <f t="shared" si="9"/>
        <v>1</v>
      </c>
    </row>
    <row r="610" spans="1:13" x14ac:dyDescent="0.25">
      <c r="A610" s="69" t="s">
        <v>2241</v>
      </c>
      <c r="B610" s="70">
        <v>44004606</v>
      </c>
      <c r="C610" s="69" t="s">
        <v>1019</v>
      </c>
      <c r="D610" s="71" t="s">
        <v>2387</v>
      </c>
      <c r="E610" s="69" t="s">
        <v>2388</v>
      </c>
      <c r="F610" s="69">
        <v>30</v>
      </c>
      <c r="G610" s="69">
        <v>90</v>
      </c>
      <c r="H610" s="69" t="s">
        <v>2399</v>
      </c>
      <c r="I610" s="69" t="s">
        <v>2400</v>
      </c>
      <c r="J610" s="69" t="s">
        <v>2398</v>
      </c>
      <c r="K610" s="69"/>
      <c r="L610" s="72" t="s">
        <v>2387</v>
      </c>
      <c r="M610" s="72" t="b">
        <f t="shared" si="9"/>
        <v>1</v>
      </c>
    </row>
    <row r="611" spans="1:13" x14ac:dyDescent="0.25">
      <c r="A611" s="69" t="s">
        <v>90</v>
      </c>
      <c r="B611" s="70">
        <v>44001932</v>
      </c>
      <c r="C611" s="69" t="s">
        <v>2373</v>
      </c>
      <c r="D611" s="71" t="s">
        <v>2961</v>
      </c>
      <c r="E611" s="69" t="s">
        <v>2388</v>
      </c>
      <c r="F611" s="69">
        <v>30</v>
      </c>
      <c r="G611" s="69">
        <v>90</v>
      </c>
      <c r="H611" s="69" t="s">
        <v>2399</v>
      </c>
      <c r="I611" s="69" t="s">
        <v>2405</v>
      </c>
      <c r="J611" s="69" t="s">
        <v>2406</v>
      </c>
      <c r="K611" s="69"/>
      <c r="L611" s="72" t="s">
        <v>2392</v>
      </c>
      <c r="M611" s="72" t="b">
        <f t="shared" si="9"/>
        <v>0</v>
      </c>
    </row>
    <row r="612" spans="1:13" x14ac:dyDescent="0.25">
      <c r="A612" s="69" t="s">
        <v>411</v>
      </c>
      <c r="B612" s="70">
        <v>44001932</v>
      </c>
      <c r="C612" s="69" t="s">
        <v>2373</v>
      </c>
      <c r="D612" s="71" t="s">
        <v>2961</v>
      </c>
      <c r="E612" s="69" t="s">
        <v>2388</v>
      </c>
      <c r="F612" s="69">
        <v>30</v>
      </c>
      <c r="G612" s="69">
        <v>90</v>
      </c>
      <c r="H612" s="69" t="s">
        <v>2399</v>
      </c>
      <c r="I612" s="69" t="s">
        <v>2405</v>
      </c>
      <c r="J612" s="69" t="s">
        <v>2406</v>
      </c>
      <c r="K612" s="69"/>
      <c r="L612" s="72" t="s">
        <v>2392</v>
      </c>
      <c r="M612" s="72" t="b">
        <f t="shared" si="9"/>
        <v>0</v>
      </c>
    </row>
    <row r="613" spans="1:13" x14ac:dyDescent="0.25">
      <c r="A613" s="69" t="s">
        <v>1666</v>
      </c>
      <c r="B613" s="70">
        <v>44000692</v>
      </c>
      <c r="C613" s="69" t="s">
        <v>1664</v>
      </c>
      <c r="D613" s="71" t="s">
        <v>2387</v>
      </c>
      <c r="E613" s="69" t="s">
        <v>2388</v>
      </c>
      <c r="F613" s="69">
        <v>30</v>
      </c>
      <c r="G613" s="69">
        <v>90</v>
      </c>
      <c r="H613" s="69" t="s">
        <v>2399</v>
      </c>
      <c r="I613" s="69" t="s">
        <v>2431</v>
      </c>
      <c r="J613" s="69" t="s">
        <v>2424</v>
      </c>
      <c r="K613" s="69"/>
      <c r="L613" s="72" t="s">
        <v>2387</v>
      </c>
      <c r="M613" s="72" t="b">
        <f t="shared" si="9"/>
        <v>1</v>
      </c>
    </row>
    <row r="614" spans="1:13" x14ac:dyDescent="0.25">
      <c r="A614" s="69" t="s">
        <v>1662</v>
      </c>
      <c r="B614" s="70">
        <v>44000692</v>
      </c>
      <c r="C614" s="69" t="s">
        <v>1664</v>
      </c>
      <c r="D614" s="71" t="s">
        <v>2387</v>
      </c>
      <c r="E614" s="69" t="s">
        <v>2388</v>
      </c>
      <c r="F614" s="69">
        <v>30</v>
      </c>
      <c r="G614" s="69">
        <v>90</v>
      </c>
      <c r="H614" s="69" t="s">
        <v>2391</v>
      </c>
      <c r="I614" s="69" t="s">
        <v>2431</v>
      </c>
      <c r="J614" s="69" t="s">
        <v>2424</v>
      </c>
      <c r="K614" s="69"/>
      <c r="L614" s="72" t="s">
        <v>2387</v>
      </c>
      <c r="M614" s="72" t="b">
        <f t="shared" si="9"/>
        <v>1</v>
      </c>
    </row>
    <row r="615" spans="1:13" x14ac:dyDescent="0.25">
      <c r="A615" s="69" t="s">
        <v>1761</v>
      </c>
      <c r="B615" s="70">
        <v>44006296</v>
      </c>
      <c r="C615" s="69" t="s">
        <v>1763</v>
      </c>
      <c r="D615" s="71" t="s">
        <v>2387</v>
      </c>
      <c r="E615" s="69" t="s">
        <v>2388</v>
      </c>
      <c r="F615" s="69">
        <v>30</v>
      </c>
      <c r="G615" s="69"/>
      <c r="H615" s="69" t="s">
        <v>2391</v>
      </c>
      <c r="I615" s="69" t="s">
        <v>2407</v>
      </c>
      <c r="J615" s="69" t="s">
        <v>2408</v>
      </c>
      <c r="K615" s="69"/>
      <c r="L615" s="72" t="s">
        <v>2392</v>
      </c>
      <c r="M615" s="72" t="b">
        <f t="shared" si="9"/>
        <v>0</v>
      </c>
    </row>
    <row r="616" spans="1:13" x14ac:dyDescent="0.25">
      <c r="A616" s="69" t="s">
        <v>306</v>
      </c>
      <c r="B616" s="70">
        <v>44006051</v>
      </c>
      <c r="C616" s="69" t="s">
        <v>2548</v>
      </c>
      <c r="D616" s="71" t="s">
        <v>2392</v>
      </c>
      <c r="E616" s="69" t="s">
        <v>2388</v>
      </c>
      <c r="F616" s="69">
        <v>30</v>
      </c>
      <c r="G616" s="69">
        <v>30</v>
      </c>
      <c r="H616" s="69" t="s">
        <v>2486</v>
      </c>
      <c r="I616" s="69" t="s">
        <v>2463</v>
      </c>
      <c r="J616" s="69" t="s">
        <v>3208</v>
      </c>
      <c r="K616" s="69"/>
      <c r="L616" s="72" t="s">
        <v>2392</v>
      </c>
      <c r="M616" s="72" t="b">
        <f t="shared" si="9"/>
        <v>1</v>
      </c>
    </row>
    <row r="617" spans="1:13" x14ac:dyDescent="0.25">
      <c r="A617" s="69" t="s">
        <v>1498</v>
      </c>
      <c r="B617" s="70">
        <v>44000114</v>
      </c>
      <c r="C617" s="69" t="s">
        <v>2489</v>
      </c>
      <c r="D617" s="71" t="s">
        <v>2387</v>
      </c>
      <c r="E617" s="69" t="s">
        <v>2393</v>
      </c>
      <c r="F617" s="69">
        <v>60</v>
      </c>
      <c r="G617" s="69">
        <v>120</v>
      </c>
      <c r="H617" s="69" t="s">
        <v>2399</v>
      </c>
      <c r="I617" s="69" t="s">
        <v>2456</v>
      </c>
      <c r="J617" s="69" t="s">
        <v>2401</v>
      </c>
      <c r="K617" s="69"/>
      <c r="L617" s="72" t="s">
        <v>2392</v>
      </c>
      <c r="M617" s="72" t="b">
        <f t="shared" si="9"/>
        <v>0</v>
      </c>
    </row>
    <row r="618" spans="1:13" x14ac:dyDescent="0.25">
      <c r="A618" s="69" t="s">
        <v>699</v>
      </c>
      <c r="B618" s="70" t="s">
        <v>3042</v>
      </c>
      <c r="C618" s="69" t="s">
        <v>702</v>
      </c>
      <c r="D618" s="71" t="s">
        <v>2387</v>
      </c>
      <c r="E618" s="69" t="s">
        <v>2388</v>
      </c>
      <c r="F618" s="69">
        <v>30</v>
      </c>
      <c r="G618" s="69">
        <v>90</v>
      </c>
      <c r="H618" s="69" t="s">
        <v>2391</v>
      </c>
      <c r="I618" s="69" t="s">
        <v>2420</v>
      </c>
      <c r="J618" s="69" t="s">
        <v>2421</v>
      </c>
      <c r="K618" s="69"/>
      <c r="L618" s="72" t="s">
        <v>2392</v>
      </c>
      <c r="M618" s="72" t="b">
        <f t="shared" si="9"/>
        <v>0</v>
      </c>
    </row>
    <row r="619" spans="1:13" x14ac:dyDescent="0.25">
      <c r="A619" s="69" t="s">
        <v>1397</v>
      </c>
      <c r="B619" s="70">
        <v>44001721</v>
      </c>
      <c r="C619" s="69" t="s">
        <v>1312</v>
      </c>
      <c r="D619" s="71" t="s">
        <v>2387</v>
      </c>
      <c r="E619" s="69" t="s">
        <v>2388</v>
      </c>
      <c r="F619" s="69">
        <v>30</v>
      </c>
      <c r="G619" s="69">
        <v>90</v>
      </c>
      <c r="H619" s="69" t="s">
        <v>2399</v>
      </c>
      <c r="I619" s="69" t="s">
        <v>2400</v>
      </c>
      <c r="J619" s="69" t="s">
        <v>2398</v>
      </c>
      <c r="K619" s="69"/>
      <c r="L619" s="72" t="s">
        <v>2387</v>
      </c>
      <c r="M619" s="72" t="b">
        <f t="shared" si="9"/>
        <v>1</v>
      </c>
    </row>
    <row r="620" spans="1:13" x14ac:dyDescent="0.25">
      <c r="A620" s="69" t="s">
        <v>1385</v>
      </c>
      <c r="B620" s="70">
        <v>44001721</v>
      </c>
      <c r="C620" s="69" t="s">
        <v>1312</v>
      </c>
      <c r="D620" s="71" t="s">
        <v>2392</v>
      </c>
      <c r="E620" s="69" t="s">
        <v>2388</v>
      </c>
      <c r="F620" s="69">
        <v>30</v>
      </c>
      <c r="G620" s="69">
        <v>90</v>
      </c>
      <c r="H620" s="69" t="s">
        <v>2399</v>
      </c>
      <c r="I620" s="69" t="s">
        <v>2400</v>
      </c>
      <c r="J620" s="69" t="s">
        <v>2398</v>
      </c>
      <c r="K620" s="69"/>
      <c r="L620" s="72" t="s">
        <v>2387</v>
      </c>
      <c r="M620" s="72" t="b">
        <f t="shared" si="9"/>
        <v>0</v>
      </c>
    </row>
    <row r="621" spans="1:13" x14ac:dyDescent="0.25">
      <c r="A621" s="69" t="s">
        <v>1371</v>
      </c>
      <c r="B621" s="70">
        <v>44001721</v>
      </c>
      <c r="C621" s="69" t="s">
        <v>1312</v>
      </c>
      <c r="D621" s="71" t="s">
        <v>2392</v>
      </c>
      <c r="E621" s="69" t="s">
        <v>2388</v>
      </c>
      <c r="F621" s="69">
        <v>30</v>
      </c>
      <c r="G621" s="69">
        <v>90</v>
      </c>
      <c r="H621" s="69" t="s">
        <v>2399</v>
      </c>
      <c r="I621" s="69" t="s">
        <v>2400</v>
      </c>
      <c r="J621" s="69" t="s">
        <v>2398</v>
      </c>
      <c r="K621" s="69"/>
      <c r="L621" s="72" t="s">
        <v>2387</v>
      </c>
      <c r="M621" s="72" t="b">
        <f t="shared" si="9"/>
        <v>0</v>
      </c>
    </row>
    <row r="622" spans="1:13" x14ac:dyDescent="0.25">
      <c r="A622" s="69" t="s">
        <v>1368</v>
      </c>
      <c r="B622" s="70">
        <v>44001721</v>
      </c>
      <c r="C622" s="69" t="s">
        <v>1312</v>
      </c>
      <c r="D622" s="71" t="s">
        <v>2387</v>
      </c>
      <c r="E622" s="69" t="s">
        <v>2388</v>
      </c>
      <c r="F622" s="69">
        <v>30</v>
      </c>
      <c r="G622" s="69">
        <v>90</v>
      </c>
      <c r="H622" s="69" t="s">
        <v>2399</v>
      </c>
      <c r="I622" s="69" t="s">
        <v>2400</v>
      </c>
      <c r="J622" s="69" t="s">
        <v>2398</v>
      </c>
      <c r="K622" s="69"/>
      <c r="L622" s="72" t="s">
        <v>2387</v>
      </c>
      <c r="M622" s="72" t="b">
        <f t="shared" si="9"/>
        <v>1</v>
      </c>
    </row>
    <row r="623" spans="1:13" x14ac:dyDescent="0.25">
      <c r="A623" s="69" t="s">
        <v>2494</v>
      </c>
      <c r="B623" s="70">
        <v>44001721</v>
      </c>
      <c r="C623" s="69" t="s">
        <v>1312</v>
      </c>
      <c r="D623" s="71" t="s">
        <v>2495</v>
      </c>
      <c r="E623" s="69" t="s">
        <v>2388</v>
      </c>
      <c r="F623" s="69">
        <v>30</v>
      </c>
      <c r="G623" s="69">
        <v>0</v>
      </c>
      <c r="H623" s="69" t="s">
        <v>2412</v>
      </c>
      <c r="I623" s="69" t="s">
        <v>2410</v>
      </c>
      <c r="J623" s="69"/>
      <c r="K623" s="69"/>
      <c r="L623" s="72" t="s">
        <v>2387</v>
      </c>
      <c r="M623" s="72" t="b">
        <f t="shared" si="9"/>
        <v>0</v>
      </c>
    </row>
    <row r="624" spans="1:13" x14ac:dyDescent="0.25">
      <c r="A624" s="69" t="s">
        <v>1355</v>
      </c>
      <c r="B624" s="70">
        <v>44001721</v>
      </c>
      <c r="C624" s="69" t="s">
        <v>1312</v>
      </c>
      <c r="D624" s="71" t="s">
        <v>2392</v>
      </c>
      <c r="E624" s="69" t="s">
        <v>2388</v>
      </c>
      <c r="F624" s="69">
        <v>30</v>
      </c>
      <c r="G624" s="69">
        <v>90</v>
      </c>
      <c r="H624" s="69" t="s">
        <v>2399</v>
      </c>
      <c r="I624" s="69" t="s">
        <v>2410</v>
      </c>
      <c r="J624" s="69" t="s">
        <v>2398</v>
      </c>
      <c r="K624" s="69"/>
      <c r="L624" s="72" t="s">
        <v>2387</v>
      </c>
      <c r="M624" s="72" t="b">
        <f t="shared" si="9"/>
        <v>0</v>
      </c>
    </row>
    <row r="625" spans="1:13" x14ac:dyDescent="0.25">
      <c r="A625" s="69" t="s">
        <v>1353</v>
      </c>
      <c r="B625" s="70">
        <v>44001721</v>
      </c>
      <c r="C625" s="69" t="s">
        <v>1312</v>
      </c>
      <c r="D625" s="71" t="s">
        <v>2392</v>
      </c>
      <c r="E625" s="69" t="s">
        <v>2388</v>
      </c>
      <c r="F625" s="69">
        <v>30</v>
      </c>
      <c r="G625" s="69">
        <v>90</v>
      </c>
      <c r="H625" s="69" t="s">
        <v>2399</v>
      </c>
      <c r="I625" s="69" t="s">
        <v>2400</v>
      </c>
      <c r="J625" s="69" t="s">
        <v>2398</v>
      </c>
      <c r="K625" s="69"/>
      <c r="L625" s="72" t="s">
        <v>2387</v>
      </c>
      <c r="M625" s="72" t="b">
        <f t="shared" si="9"/>
        <v>0</v>
      </c>
    </row>
    <row r="626" spans="1:13" x14ac:dyDescent="0.25">
      <c r="A626" s="69" t="s">
        <v>2496</v>
      </c>
      <c r="B626" s="70">
        <v>44001721</v>
      </c>
      <c r="C626" s="69" t="s">
        <v>1312</v>
      </c>
      <c r="D626" s="71" t="s">
        <v>2495</v>
      </c>
      <c r="E626" s="69" t="s">
        <v>2388</v>
      </c>
      <c r="F626" s="71">
        <v>30</v>
      </c>
      <c r="G626" s="69">
        <v>0</v>
      </c>
      <c r="H626" s="69" t="s">
        <v>2412</v>
      </c>
      <c r="I626" s="69" t="s">
        <v>2410</v>
      </c>
      <c r="J626" s="69"/>
      <c r="K626" s="69" t="s">
        <v>3018</v>
      </c>
      <c r="L626" s="72" t="s">
        <v>2387</v>
      </c>
      <c r="M626" s="72" t="b">
        <f t="shared" si="9"/>
        <v>0</v>
      </c>
    </row>
    <row r="627" spans="1:13" x14ac:dyDescent="0.25">
      <c r="A627" s="69" t="s">
        <v>2497</v>
      </c>
      <c r="B627" s="70">
        <v>44001721</v>
      </c>
      <c r="C627" s="69" t="s">
        <v>1312</v>
      </c>
      <c r="D627" s="71" t="s">
        <v>2495</v>
      </c>
      <c r="E627" s="69" t="s">
        <v>2388</v>
      </c>
      <c r="F627" s="71">
        <v>30</v>
      </c>
      <c r="G627" s="69">
        <v>0</v>
      </c>
      <c r="H627" s="69" t="s">
        <v>2412</v>
      </c>
      <c r="I627" s="69" t="s">
        <v>2410</v>
      </c>
      <c r="J627" s="69"/>
      <c r="K627" s="69" t="s">
        <v>3018</v>
      </c>
      <c r="L627" s="72" t="s">
        <v>2387</v>
      </c>
      <c r="M627" s="72" t="b">
        <f t="shared" si="9"/>
        <v>0</v>
      </c>
    </row>
    <row r="628" spans="1:13" x14ac:dyDescent="0.25">
      <c r="A628" s="69" t="s">
        <v>1350</v>
      </c>
      <c r="B628" s="70">
        <v>44001721</v>
      </c>
      <c r="C628" s="69" t="s">
        <v>1312</v>
      </c>
      <c r="D628" s="71" t="s">
        <v>2392</v>
      </c>
      <c r="E628" s="69" t="s">
        <v>2388</v>
      </c>
      <c r="F628" s="69">
        <v>30</v>
      </c>
      <c r="G628" s="69">
        <v>90</v>
      </c>
      <c r="H628" s="69" t="s">
        <v>2399</v>
      </c>
      <c r="I628" s="69" t="s">
        <v>2400</v>
      </c>
      <c r="J628" s="69" t="s">
        <v>2398</v>
      </c>
      <c r="K628" s="69"/>
      <c r="L628" s="72" t="s">
        <v>2387</v>
      </c>
      <c r="M628" s="72" t="b">
        <f t="shared" si="9"/>
        <v>0</v>
      </c>
    </row>
    <row r="629" spans="1:13" x14ac:dyDescent="0.25">
      <c r="A629" s="69" t="s">
        <v>2498</v>
      </c>
      <c r="B629" s="70">
        <v>44001721</v>
      </c>
      <c r="C629" s="69" t="s">
        <v>1312</v>
      </c>
      <c r="D629" s="71" t="s">
        <v>2495</v>
      </c>
      <c r="E629" s="69" t="s">
        <v>2388</v>
      </c>
      <c r="F629" s="71">
        <v>30</v>
      </c>
      <c r="G629" s="69">
        <v>0</v>
      </c>
      <c r="H629" s="69" t="s">
        <v>2412</v>
      </c>
      <c r="I629" s="69" t="s">
        <v>2410</v>
      </c>
      <c r="J629" s="69"/>
      <c r="K629" s="69" t="s">
        <v>3018</v>
      </c>
      <c r="L629" s="72" t="s">
        <v>2387</v>
      </c>
      <c r="M629" s="72" t="b">
        <f t="shared" si="9"/>
        <v>0</v>
      </c>
    </row>
    <row r="630" spans="1:13" x14ac:dyDescent="0.25">
      <c r="A630" s="69" t="s">
        <v>1343</v>
      </c>
      <c r="B630" s="70">
        <v>44001721</v>
      </c>
      <c r="C630" s="69" t="s">
        <v>1312</v>
      </c>
      <c r="D630" s="71" t="s">
        <v>2392</v>
      </c>
      <c r="E630" s="69" t="s">
        <v>2388</v>
      </c>
      <c r="F630" s="69">
        <v>30</v>
      </c>
      <c r="G630" s="69">
        <v>90</v>
      </c>
      <c r="H630" s="69" t="s">
        <v>2399</v>
      </c>
      <c r="I630" s="69" t="s">
        <v>2400</v>
      </c>
      <c r="J630" s="69" t="s">
        <v>2398</v>
      </c>
      <c r="K630" s="69"/>
      <c r="L630" s="72" t="s">
        <v>2387</v>
      </c>
      <c r="M630" s="72" t="b">
        <f t="shared" si="9"/>
        <v>0</v>
      </c>
    </row>
    <row r="631" spans="1:13" x14ac:dyDescent="0.25">
      <c r="A631" s="69" t="s">
        <v>2168</v>
      </c>
      <c r="B631" s="70">
        <v>44001721</v>
      </c>
      <c r="C631" s="69" t="s">
        <v>1312</v>
      </c>
      <c r="D631" s="71" t="s">
        <v>2392</v>
      </c>
      <c r="E631" s="69" t="s">
        <v>2388</v>
      </c>
      <c r="F631" s="69">
        <v>30</v>
      </c>
      <c r="G631" s="69">
        <v>90</v>
      </c>
      <c r="H631" s="69" t="s">
        <v>2399</v>
      </c>
      <c r="I631" s="69" t="s">
        <v>2400</v>
      </c>
      <c r="J631" s="69" t="s">
        <v>2398</v>
      </c>
      <c r="K631" s="69"/>
      <c r="L631" s="72" t="s">
        <v>2387</v>
      </c>
      <c r="M631" s="72" t="b">
        <f t="shared" si="9"/>
        <v>0</v>
      </c>
    </row>
    <row r="632" spans="1:13" x14ac:dyDescent="0.25">
      <c r="A632" s="69" t="s">
        <v>1329</v>
      </c>
      <c r="B632" s="70">
        <v>44001721</v>
      </c>
      <c r="C632" s="69" t="s">
        <v>1312</v>
      </c>
      <c r="D632" s="71" t="s">
        <v>2392</v>
      </c>
      <c r="E632" s="69" t="s">
        <v>2388</v>
      </c>
      <c r="F632" s="69">
        <v>30</v>
      </c>
      <c r="G632" s="69">
        <v>90</v>
      </c>
      <c r="H632" s="69" t="s">
        <v>2399</v>
      </c>
      <c r="I632" s="69" t="s">
        <v>2400</v>
      </c>
      <c r="J632" s="69" t="s">
        <v>2398</v>
      </c>
      <c r="K632" s="69"/>
      <c r="L632" s="72" t="s">
        <v>2387</v>
      </c>
      <c r="M632" s="72" t="b">
        <f t="shared" si="9"/>
        <v>0</v>
      </c>
    </row>
    <row r="633" spans="1:13" x14ac:dyDescent="0.25">
      <c r="A633" s="69" t="s">
        <v>1326</v>
      </c>
      <c r="B633" s="70">
        <v>44001721</v>
      </c>
      <c r="C633" s="69" t="s">
        <v>1312</v>
      </c>
      <c r="D633" s="71" t="s">
        <v>2387</v>
      </c>
      <c r="E633" s="69" t="s">
        <v>2388</v>
      </c>
      <c r="F633" s="69">
        <v>30</v>
      </c>
      <c r="G633" s="69">
        <v>90</v>
      </c>
      <c r="H633" s="69" t="s">
        <v>2399</v>
      </c>
      <c r="I633" s="69" t="s">
        <v>2400</v>
      </c>
      <c r="J633" s="69" t="s">
        <v>2398</v>
      </c>
      <c r="K633" s="69"/>
      <c r="L633" s="72" t="s">
        <v>2387</v>
      </c>
      <c r="M633" s="72" t="b">
        <f t="shared" si="9"/>
        <v>1</v>
      </c>
    </row>
    <row r="634" spans="1:13" x14ac:dyDescent="0.25">
      <c r="A634" s="69" t="s">
        <v>1323</v>
      </c>
      <c r="B634" s="70">
        <v>44001721</v>
      </c>
      <c r="C634" s="69" t="s">
        <v>1312</v>
      </c>
      <c r="D634" s="71" t="s">
        <v>2392</v>
      </c>
      <c r="E634" s="69" t="s">
        <v>2388</v>
      </c>
      <c r="F634" s="69">
        <v>30</v>
      </c>
      <c r="G634" s="69">
        <v>90</v>
      </c>
      <c r="H634" s="69" t="s">
        <v>2399</v>
      </c>
      <c r="I634" s="69" t="s">
        <v>2400</v>
      </c>
      <c r="J634" s="69" t="s">
        <v>2398</v>
      </c>
      <c r="K634" s="69"/>
      <c r="L634" s="72" t="s">
        <v>2387</v>
      </c>
      <c r="M634" s="72" t="b">
        <f t="shared" si="9"/>
        <v>0</v>
      </c>
    </row>
    <row r="635" spans="1:13" x14ac:dyDescent="0.25">
      <c r="A635" s="69" t="s">
        <v>1320</v>
      </c>
      <c r="B635" s="70">
        <v>44001721</v>
      </c>
      <c r="C635" s="69" t="s">
        <v>1312</v>
      </c>
      <c r="D635" s="71" t="s">
        <v>2387</v>
      </c>
      <c r="E635" s="69" t="s">
        <v>2388</v>
      </c>
      <c r="F635" s="69">
        <v>30</v>
      </c>
      <c r="G635" s="69">
        <v>90</v>
      </c>
      <c r="H635" s="69" t="s">
        <v>2399</v>
      </c>
      <c r="I635" s="69" t="s">
        <v>2400</v>
      </c>
      <c r="J635" s="69" t="s">
        <v>2398</v>
      </c>
      <c r="K635" s="69"/>
      <c r="L635" s="72" t="s">
        <v>2387</v>
      </c>
      <c r="M635" s="72" t="b">
        <f t="shared" si="9"/>
        <v>1</v>
      </c>
    </row>
    <row r="636" spans="1:13" x14ac:dyDescent="0.25">
      <c r="A636" s="69" t="s">
        <v>1314</v>
      </c>
      <c r="B636" s="70">
        <v>44001721</v>
      </c>
      <c r="C636" s="69" t="s">
        <v>1312</v>
      </c>
      <c r="D636" s="71" t="s">
        <v>2392</v>
      </c>
      <c r="E636" s="69" t="s">
        <v>2388</v>
      </c>
      <c r="F636" s="69">
        <v>30</v>
      </c>
      <c r="G636" s="69">
        <v>90</v>
      </c>
      <c r="H636" s="69" t="s">
        <v>2399</v>
      </c>
      <c r="I636" s="69" t="s">
        <v>2400</v>
      </c>
      <c r="J636" s="69" t="s">
        <v>2398</v>
      </c>
      <c r="K636" s="69"/>
      <c r="L636" s="72" t="s">
        <v>2387</v>
      </c>
      <c r="M636" s="72" t="b">
        <f t="shared" si="9"/>
        <v>0</v>
      </c>
    </row>
    <row r="637" spans="1:13" x14ac:dyDescent="0.25">
      <c r="A637" s="69" t="s">
        <v>1476</v>
      </c>
      <c r="B637" s="70">
        <v>44000020</v>
      </c>
      <c r="C637" s="69" t="s">
        <v>1141</v>
      </c>
      <c r="D637" s="71" t="s">
        <v>2961</v>
      </c>
      <c r="E637" s="69" t="s">
        <v>2388</v>
      </c>
      <c r="F637" s="69">
        <v>30</v>
      </c>
      <c r="G637" s="69">
        <v>45</v>
      </c>
      <c r="H637" s="69" t="s">
        <v>2399</v>
      </c>
      <c r="I637" s="69" t="s">
        <v>2414</v>
      </c>
      <c r="J637" s="69" t="s">
        <v>2415</v>
      </c>
      <c r="K637" s="69"/>
      <c r="L637" s="72" t="s">
        <v>2392</v>
      </c>
      <c r="M637" s="72" t="b">
        <f t="shared" si="9"/>
        <v>0</v>
      </c>
    </row>
    <row r="638" spans="1:13" x14ac:dyDescent="0.25">
      <c r="A638" s="69" t="s">
        <v>1473</v>
      </c>
      <c r="B638" s="70">
        <v>44000020</v>
      </c>
      <c r="C638" s="69" t="s">
        <v>1141</v>
      </c>
      <c r="D638" s="71" t="s">
        <v>2961</v>
      </c>
      <c r="E638" s="69" t="s">
        <v>2388</v>
      </c>
      <c r="F638" s="69">
        <v>30</v>
      </c>
      <c r="G638" s="69">
        <v>45</v>
      </c>
      <c r="H638" s="69" t="s">
        <v>2399</v>
      </c>
      <c r="I638" s="69" t="s">
        <v>2414</v>
      </c>
      <c r="J638" s="69" t="s">
        <v>2415</v>
      </c>
      <c r="K638" s="69"/>
      <c r="L638" s="72" t="s">
        <v>2392</v>
      </c>
      <c r="M638" s="72" t="b">
        <f t="shared" si="9"/>
        <v>0</v>
      </c>
    </row>
    <row r="639" spans="1:13" x14ac:dyDescent="0.25">
      <c r="A639" s="69" t="s">
        <v>2274</v>
      </c>
      <c r="B639" s="70">
        <v>44000020</v>
      </c>
      <c r="C639" s="69" t="s">
        <v>1141</v>
      </c>
      <c r="D639" s="71" t="s">
        <v>2961</v>
      </c>
      <c r="E639" s="69" t="s">
        <v>2388</v>
      </c>
      <c r="F639" s="69">
        <v>30</v>
      </c>
      <c r="G639" s="69">
        <v>0</v>
      </c>
      <c r="H639" s="69" t="s">
        <v>2412</v>
      </c>
      <c r="I639" s="69" t="s">
        <v>2410</v>
      </c>
      <c r="J639" s="69" t="s">
        <v>2424</v>
      </c>
      <c r="K639" s="69" t="s">
        <v>3043</v>
      </c>
      <c r="L639" s="72" t="s">
        <v>2392</v>
      </c>
      <c r="M639" s="72" t="b">
        <f t="shared" si="9"/>
        <v>0</v>
      </c>
    </row>
    <row r="640" spans="1:13" x14ac:dyDescent="0.25">
      <c r="A640" s="69" t="s">
        <v>1338</v>
      </c>
      <c r="B640" s="70">
        <v>44000020</v>
      </c>
      <c r="C640" s="69" t="s">
        <v>1141</v>
      </c>
      <c r="D640" s="71" t="s">
        <v>2961</v>
      </c>
      <c r="E640" s="69" t="s">
        <v>2388</v>
      </c>
      <c r="F640" s="69">
        <v>30</v>
      </c>
      <c r="G640" s="69">
        <v>45</v>
      </c>
      <c r="H640" s="69" t="s">
        <v>2399</v>
      </c>
      <c r="I640" s="69" t="s">
        <v>2414</v>
      </c>
      <c r="J640" s="69" t="s">
        <v>2424</v>
      </c>
      <c r="K640" s="69"/>
      <c r="L640" s="72" t="s">
        <v>2392</v>
      </c>
      <c r="M640" s="72" t="b">
        <f t="shared" si="9"/>
        <v>0</v>
      </c>
    </row>
    <row r="641" spans="1:13" x14ac:dyDescent="0.25">
      <c r="A641" s="69" t="s">
        <v>1335</v>
      </c>
      <c r="B641" s="70">
        <v>44000020</v>
      </c>
      <c r="C641" s="69" t="s">
        <v>1141</v>
      </c>
      <c r="D641" s="71" t="s">
        <v>2961</v>
      </c>
      <c r="E641" s="69" t="s">
        <v>2388</v>
      </c>
      <c r="F641" s="69">
        <v>30</v>
      </c>
      <c r="G641" s="69">
        <v>45</v>
      </c>
      <c r="H641" s="69" t="s">
        <v>2399</v>
      </c>
      <c r="I641" s="69" t="s">
        <v>2410</v>
      </c>
      <c r="J641" s="69" t="s">
        <v>2424</v>
      </c>
      <c r="K641" s="69"/>
      <c r="L641" s="72" t="s">
        <v>2392</v>
      </c>
      <c r="M641" s="72" t="b">
        <f t="shared" si="9"/>
        <v>0</v>
      </c>
    </row>
    <row r="642" spans="1:13" x14ac:dyDescent="0.25">
      <c r="A642" s="69" t="s">
        <v>1332</v>
      </c>
      <c r="B642" s="70">
        <v>44000020</v>
      </c>
      <c r="C642" s="69" t="s">
        <v>1141</v>
      </c>
      <c r="D642" s="71" t="s">
        <v>2961</v>
      </c>
      <c r="E642" s="69" t="s">
        <v>2388</v>
      </c>
      <c r="F642" s="69">
        <v>30</v>
      </c>
      <c r="G642" s="69">
        <v>45</v>
      </c>
      <c r="H642" s="69" t="s">
        <v>2399</v>
      </c>
      <c r="I642" s="69" t="s">
        <v>2414</v>
      </c>
      <c r="J642" s="69" t="s">
        <v>2424</v>
      </c>
      <c r="K642" s="69"/>
      <c r="L642" s="72" t="s">
        <v>2392</v>
      </c>
      <c r="M642" s="72" t="b">
        <f t="shared" ref="M642:M705" si="10">L642=D642</f>
        <v>0</v>
      </c>
    </row>
    <row r="643" spans="1:13" x14ac:dyDescent="0.25">
      <c r="A643" s="69" t="s">
        <v>2253</v>
      </c>
      <c r="B643" s="70">
        <v>44000020</v>
      </c>
      <c r="C643" s="69" t="s">
        <v>1141</v>
      </c>
      <c r="D643" s="71" t="s">
        <v>2961</v>
      </c>
      <c r="E643" s="69" t="s">
        <v>2388</v>
      </c>
      <c r="F643" s="69">
        <v>30</v>
      </c>
      <c r="G643" s="69">
        <v>0</v>
      </c>
      <c r="H643" s="69" t="s">
        <v>2412</v>
      </c>
      <c r="I643" s="69" t="s">
        <v>2410</v>
      </c>
      <c r="J643" s="69" t="s">
        <v>2424</v>
      </c>
      <c r="K643" s="69" t="s">
        <v>3044</v>
      </c>
      <c r="L643" s="72" t="s">
        <v>2392</v>
      </c>
      <c r="M643" s="72" t="b">
        <f t="shared" si="10"/>
        <v>0</v>
      </c>
    </row>
    <row r="644" spans="1:13" x14ac:dyDescent="0.25">
      <c r="A644" s="69" t="s">
        <v>2317</v>
      </c>
      <c r="B644" s="70">
        <v>44000020</v>
      </c>
      <c r="C644" s="69" t="s">
        <v>1141</v>
      </c>
      <c r="D644" s="71" t="s">
        <v>2961</v>
      </c>
      <c r="E644" s="69" t="s">
        <v>2388</v>
      </c>
      <c r="F644" s="69"/>
      <c r="G644" s="69"/>
      <c r="H644" s="69" t="s">
        <v>2412</v>
      </c>
      <c r="I644" s="69" t="s">
        <v>2410</v>
      </c>
      <c r="J644" s="69" t="s">
        <v>2424</v>
      </c>
      <c r="K644" s="69" t="s">
        <v>3026</v>
      </c>
      <c r="L644" s="72" t="s">
        <v>2392</v>
      </c>
      <c r="M644" s="72" t="b">
        <f t="shared" si="10"/>
        <v>0</v>
      </c>
    </row>
    <row r="645" spans="1:13" x14ac:dyDescent="0.25">
      <c r="A645" s="69" t="s">
        <v>2269</v>
      </c>
      <c r="B645" s="70">
        <v>44000020</v>
      </c>
      <c r="C645" s="69" t="s">
        <v>1141</v>
      </c>
      <c r="D645" s="71" t="s">
        <v>2961</v>
      </c>
      <c r="E645" s="69" t="s">
        <v>2388</v>
      </c>
      <c r="F645" s="69">
        <v>30</v>
      </c>
      <c r="G645" s="69">
        <v>45</v>
      </c>
      <c r="H645" s="69" t="s">
        <v>2391</v>
      </c>
      <c r="I645" s="69" t="s">
        <v>2389</v>
      </c>
      <c r="J645" s="69" t="s">
        <v>2421</v>
      </c>
      <c r="K645" s="69"/>
      <c r="L645" s="72" t="s">
        <v>2392</v>
      </c>
      <c r="M645" s="72" t="b">
        <f t="shared" si="10"/>
        <v>0</v>
      </c>
    </row>
    <row r="646" spans="1:13" x14ac:dyDescent="0.25">
      <c r="A646" s="69" t="s">
        <v>1501</v>
      </c>
      <c r="B646" s="70">
        <v>44000114</v>
      </c>
      <c r="C646" s="69" t="s">
        <v>2489</v>
      </c>
      <c r="D646" s="71" t="s">
        <v>2387</v>
      </c>
      <c r="E646" s="69" t="s">
        <v>2393</v>
      </c>
      <c r="F646" s="69">
        <v>60</v>
      </c>
      <c r="G646" s="69">
        <v>120</v>
      </c>
      <c r="H646" s="69" t="s">
        <v>2399</v>
      </c>
      <c r="I646" s="69" t="s">
        <v>2456</v>
      </c>
      <c r="J646" s="69" t="s">
        <v>2401</v>
      </c>
      <c r="K646" s="69"/>
      <c r="L646" s="72" t="s">
        <v>2392</v>
      </c>
      <c r="M646" s="72" t="b">
        <f t="shared" si="10"/>
        <v>0</v>
      </c>
    </row>
    <row r="647" spans="1:13" x14ac:dyDescent="0.25">
      <c r="A647" s="69" t="s">
        <v>1527</v>
      </c>
      <c r="B647" s="70">
        <v>44000046</v>
      </c>
      <c r="C647" s="69" t="s">
        <v>1471</v>
      </c>
      <c r="D647" s="71" t="s">
        <v>2387</v>
      </c>
      <c r="E647" s="69" t="s">
        <v>2393</v>
      </c>
      <c r="F647" s="69">
        <v>30</v>
      </c>
      <c r="G647" s="69">
        <v>120</v>
      </c>
      <c r="H647" s="69" t="s">
        <v>2399</v>
      </c>
      <c r="I647" s="69" t="s">
        <v>2414</v>
      </c>
      <c r="J647" s="69" t="s">
        <v>2424</v>
      </c>
      <c r="K647" s="69"/>
      <c r="L647" s="72" t="s">
        <v>2392</v>
      </c>
      <c r="M647" s="72" t="b">
        <f t="shared" si="10"/>
        <v>0</v>
      </c>
    </row>
    <row r="648" spans="1:13" x14ac:dyDescent="0.25">
      <c r="A648" s="69" t="s">
        <v>397</v>
      </c>
      <c r="B648" s="70">
        <v>44002300</v>
      </c>
      <c r="C648" s="69" t="s">
        <v>399</v>
      </c>
      <c r="D648" s="71" t="s">
        <v>2961</v>
      </c>
      <c r="E648" s="69" t="s">
        <v>2388</v>
      </c>
      <c r="F648" s="69">
        <v>30</v>
      </c>
      <c r="G648" s="69">
        <v>90</v>
      </c>
      <c r="H648" s="69" t="s">
        <v>2399</v>
      </c>
      <c r="I648" s="69" t="s">
        <v>2405</v>
      </c>
      <c r="J648" s="69" t="s">
        <v>2406</v>
      </c>
      <c r="K648" s="69"/>
      <c r="L648" s="72" t="s">
        <v>2392</v>
      </c>
      <c r="M648" s="72" t="b">
        <f t="shared" si="10"/>
        <v>0</v>
      </c>
    </row>
    <row r="649" spans="1:13" x14ac:dyDescent="0.25">
      <c r="A649" s="69" t="s">
        <v>2342</v>
      </c>
      <c r="B649" s="70">
        <v>44005842</v>
      </c>
      <c r="C649" s="69" t="s">
        <v>3045</v>
      </c>
      <c r="D649" s="71" t="s">
        <v>2387</v>
      </c>
      <c r="E649" s="69" t="s">
        <v>2388</v>
      </c>
      <c r="F649" s="69"/>
      <c r="G649" s="69">
        <v>0</v>
      </c>
      <c r="H649" s="69" t="s">
        <v>2412</v>
      </c>
      <c r="I649" s="69" t="s">
        <v>2410</v>
      </c>
      <c r="J649" s="69" t="s">
        <v>2408</v>
      </c>
      <c r="K649" s="69" t="s">
        <v>3009</v>
      </c>
      <c r="L649" s="72" t="s">
        <v>2392</v>
      </c>
      <c r="M649" s="72" t="b">
        <f t="shared" si="10"/>
        <v>0</v>
      </c>
    </row>
    <row r="650" spans="1:13" x14ac:dyDescent="0.25">
      <c r="A650" s="69" t="s">
        <v>1721</v>
      </c>
      <c r="B650" s="70">
        <v>44002353</v>
      </c>
      <c r="C650" s="69" t="s">
        <v>1723</v>
      </c>
      <c r="D650" s="71" t="s">
        <v>2392</v>
      </c>
      <c r="E650" s="69" t="s">
        <v>2388</v>
      </c>
      <c r="F650" s="69">
        <v>30</v>
      </c>
      <c r="G650" s="69">
        <v>150</v>
      </c>
      <c r="H650" s="69" t="s">
        <v>2391</v>
      </c>
      <c r="I650" s="69" t="s">
        <v>2431</v>
      </c>
      <c r="J650" s="69" t="s">
        <v>2406</v>
      </c>
      <c r="K650" s="69"/>
      <c r="L650" s="72" t="s">
        <v>2392</v>
      </c>
      <c r="M650" s="72" t="b">
        <f t="shared" si="10"/>
        <v>1</v>
      </c>
    </row>
    <row r="651" spans="1:13" x14ac:dyDescent="0.25">
      <c r="A651" s="69" t="s">
        <v>1533</v>
      </c>
      <c r="B651" s="70">
        <v>44000028</v>
      </c>
      <c r="C651" s="69" t="s">
        <v>1535</v>
      </c>
      <c r="D651" s="71" t="s">
        <v>2387</v>
      </c>
      <c r="E651" s="69" t="s">
        <v>2393</v>
      </c>
      <c r="F651" s="69">
        <v>30</v>
      </c>
      <c r="G651" s="69">
        <f>6*30</f>
        <v>180</v>
      </c>
      <c r="H651" s="69" t="s">
        <v>2399</v>
      </c>
      <c r="I651" s="69" t="s">
        <v>2414</v>
      </c>
      <c r="J651" s="69" t="s">
        <v>2415</v>
      </c>
      <c r="K651" s="69"/>
      <c r="L651" s="72" t="s">
        <v>2392</v>
      </c>
      <c r="M651" s="72" t="b">
        <f t="shared" si="10"/>
        <v>0</v>
      </c>
    </row>
    <row r="652" spans="1:13" x14ac:dyDescent="0.25">
      <c r="A652" s="69" t="s">
        <v>2334</v>
      </c>
      <c r="B652" s="70">
        <v>44000498</v>
      </c>
      <c r="C652" s="69" t="s">
        <v>2499</v>
      </c>
      <c r="D652" s="71" t="s">
        <v>2387</v>
      </c>
      <c r="E652" s="69" t="s">
        <v>2388</v>
      </c>
      <c r="F652" s="69">
        <v>30</v>
      </c>
      <c r="G652" s="69">
        <v>60</v>
      </c>
      <c r="H652" s="69" t="s">
        <v>2391</v>
      </c>
      <c r="I652" s="69" t="s">
        <v>2410</v>
      </c>
      <c r="J652" s="69" t="s">
        <v>3027</v>
      </c>
      <c r="K652" s="69" t="s">
        <v>3211</v>
      </c>
      <c r="L652" s="72" t="s">
        <v>2387</v>
      </c>
      <c r="M652" s="72" t="b">
        <f t="shared" si="10"/>
        <v>1</v>
      </c>
    </row>
    <row r="653" spans="1:13" x14ac:dyDescent="0.25">
      <c r="A653" s="69" t="s">
        <v>2302</v>
      </c>
      <c r="B653" s="70">
        <v>44000498</v>
      </c>
      <c r="C653" s="69" t="s">
        <v>2499</v>
      </c>
      <c r="D653" s="71" t="s">
        <v>2392</v>
      </c>
      <c r="E653" s="69" t="s">
        <v>2388</v>
      </c>
      <c r="F653" s="69">
        <v>30</v>
      </c>
      <c r="G653" s="69">
        <v>30</v>
      </c>
      <c r="H653" s="69" t="s">
        <v>2486</v>
      </c>
      <c r="I653" s="69" t="s">
        <v>2463</v>
      </c>
      <c r="J653" s="69" t="s">
        <v>3214</v>
      </c>
      <c r="K653" s="69"/>
      <c r="L653" s="72" t="s">
        <v>2387</v>
      </c>
      <c r="M653" s="72" t="b">
        <f t="shared" si="10"/>
        <v>0</v>
      </c>
    </row>
    <row r="654" spans="1:13" x14ac:dyDescent="0.25">
      <c r="A654" s="69" t="s">
        <v>2094</v>
      </c>
      <c r="B654" s="70">
        <v>44000498</v>
      </c>
      <c r="C654" s="69" t="s">
        <v>2499</v>
      </c>
      <c r="D654" s="71" t="s">
        <v>2392</v>
      </c>
      <c r="E654" s="69" t="s">
        <v>2388</v>
      </c>
      <c r="F654" s="69">
        <v>30</v>
      </c>
      <c r="G654" s="69">
        <v>30</v>
      </c>
      <c r="H654" s="69" t="s">
        <v>2486</v>
      </c>
      <c r="I654" s="69" t="s">
        <v>2463</v>
      </c>
      <c r="J654" s="69" t="s">
        <v>3214</v>
      </c>
      <c r="K654" s="69"/>
      <c r="L654" s="72" t="s">
        <v>2387</v>
      </c>
      <c r="M654" s="72" t="b">
        <f t="shared" si="10"/>
        <v>0</v>
      </c>
    </row>
    <row r="655" spans="1:13" x14ac:dyDescent="0.25">
      <c r="A655" s="69" t="s">
        <v>2282</v>
      </c>
      <c r="B655" s="70">
        <v>44000498</v>
      </c>
      <c r="C655" s="69" t="s">
        <v>2499</v>
      </c>
      <c r="D655" s="71" t="s">
        <v>2392</v>
      </c>
      <c r="E655" s="69" t="s">
        <v>2388</v>
      </c>
      <c r="F655" s="69">
        <v>30</v>
      </c>
      <c r="G655" s="69">
        <v>60</v>
      </c>
      <c r="H655" s="69" t="s">
        <v>2472</v>
      </c>
      <c r="I655" s="69" t="s">
        <v>2410</v>
      </c>
      <c r="J655" s="69" t="s">
        <v>2444</v>
      </c>
      <c r="K655" s="69" t="s">
        <v>3211</v>
      </c>
      <c r="L655" s="72" t="s">
        <v>2387</v>
      </c>
      <c r="M655" s="72" t="b">
        <f t="shared" si="10"/>
        <v>0</v>
      </c>
    </row>
    <row r="656" spans="1:13" x14ac:dyDescent="0.25">
      <c r="A656" s="69" t="s">
        <v>2095</v>
      </c>
      <c r="B656" s="70">
        <v>44000498</v>
      </c>
      <c r="C656" s="69" t="s">
        <v>2499</v>
      </c>
      <c r="D656" s="71" t="s">
        <v>2392</v>
      </c>
      <c r="E656" s="69" t="s">
        <v>2388</v>
      </c>
      <c r="F656" s="69">
        <v>30</v>
      </c>
      <c r="G656" s="69">
        <v>30</v>
      </c>
      <c r="H656" s="69" t="s">
        <v>2486</v>
      </c>
      <c r="I656" s="69" t="s">
        <v>2463</v>
      </c>
      <c r="J656" s="69" t="s">
        <v>3214</v>
      </c>
      <c r="K656" s="69"/>
      <c r="L656" s="72" t="s">
        <v>2387</v>
      </c>
      <c r="M656" s="72" t="b">
        <f t="shared" si="10"/>
        <v>0</v>
      </c>
    </row>
    <row r="657" spans="1:13" x14ac:dyDescent="0.25">
      <c r="A657" s="69" t="s">
        <v>2179</v>
      </c>
      <c r="B657" s="70">
        <v>44000498</v>
      </c>
      <c r="C657" s="69" t="s">
        <v>2499</v>
      </c>
      <c r="D657" s="71" t="s">
        <v>2392</v>
      </c>
      <c r="E657" s="69" t="s">
        <v>2388</v>
      </c>
      <c r="F657" s="69"/>
      <c r="G657" s="69">
        <v>0</v>
      </c>
      <c r="H657" s="69" t="s">
        <v>2472</v>
      </c>
      <c r="I657" s="69" t="s">
        <v>2394</v>
      </c>
      <c r="J657" s="69" t="s">
        <v>2394</v>
      </c>
      <c r="K657" s="69"/>
      <c r="L657" s="72" t="s">
        <v>2387</v>
      </c>
      <c r="M657" s="72" t="b">
        <f t="shared" si="10"/>
        <v>0</v>
      </c>
    </row>
    <row r="658" spans="1:13" x14ac:dyDescent="0.25">
      <c r="A658" s="69" t="s">
        <v>367</v>
      </c>
      <c r="B658" s="70">
        <v>44000498</v>
      </c>
      <c r="C658" s="69" t="s">
        <v>2499</v>
      </c>
      <c r="D658" s="71" t="s">
        <v>2392</v>
      </c>
      <c r="E658" s="69" t="s">
        <v>2388</v>
      </c>
      <c r="F658" s="69">
        <v>30</v>
      </c>
      <c r="G658" s="69">
        <v>30</v>
      </c>
      <c r="H658" s="69" t="s">
        <v>2486</v>
      </c>
      <c r="I658" s="69" t="s">
        <v>2463</v>
      </c>
      <c r="J658" s="69" t="s">
        <v>3208</v>
      </c>
      <c r="K658" s="69" t="s">
        <v>3013</v>
      </c>
      <c r="L658" s="72" t="s">
        <v>2387</v>
      </c>
      <c r="M658" s="72" t="b">
        <f t="shared" si="10"/>
        <v>0</v>
      </c>
    </row>
    <row r="659" spans="1:13" x14ac:dyDescent="0.25">
      <c r="A659" s="69" t="s">
        <v>364</v>
      </c>
      <c r="B659" s="70">
        <v>44000498</v>
      </c>
      <c r="C659" s="69" t="s">
        <v>2499</v>
      </c>
      <c r="D659" s="71" t="s">
        <v>2392</v>
      </c>
      <c r="E659" s="69" t="s">
        <v>2388</v>
      </c>
      <c r="F659" s="69">
        <v>30</v>
      </c>
      <c r="G659" s="69">
        <v>60</v>
      </c>
      <c r="H659" s="69" t="s">
        <v>2472</v>
      </c>
      <c r="I659" s="69" t="s">
        <v>2463</v>
      </c>
      <c r="J659" s="69" t="s">
        <v>2444</v>
      </c>
      <c r="K659" s="69" t="s">
        <v>3013</v>
      </c>
      <c r="L659" s="72" t="s">
        <v>2387</v>
      </c>
      <c r="M659" s="72" t="b">
        <f t="shared" si="10"/>
        <v>0</v>
      </c>
    </row>
    <row r="660" spans="1:13" x14ac:dyDescent="0.25">
      <c r="A660" s="69" t="s">
        <v>2500</v>
      </c>
      <c r="B660" s="70">
        <v>44000498</v>
      </c>
      <c r="C660" s="69" t="s">
        <v>2499</v>
      </c>
      <c r="D660" s="71" t="s">
        <v>2495</v>
      </c>
      <c r="E660" s="69" t="s">
        <v>2388</v>
      </c>
      <c r="F660" s="71" t="e">
        <v>#N/A</v>
      </c>
      <c r="G660" s="71">
        <v>60</v>
      </c>
      <c r="H660" s="69" t="s">
        <v>2472</v>
      </c>
      <c r="I660" s="69" t="s">
        <v>2501</v>
      </c>
      <c r="J660" s="69" t="s">
        <v>2401</v>
      </c>
      <c r="K660" s="69" t="s">
        <v>3046</v>
      </c>
      <c r="L660" s="72" t="s">
        <v>2387</v>
      </c>
      <c r="M660" s="72" t="b">
        <f t="shared" si="10"/>
        <v>0</v>
      </c>
    </row>
    <row r="661" spans="1:13" x14ac:dyDescent="0.25">
      <c r="A661" s="69" t="s">
        <v>2502</v>
      </c>
      <c r="B661" s="70">
        <v>44000498</v>
      </c>
      <c r="C661" s="69" t="s">
        <v>2499</v>
      </c>
      <c r="D661" s="71" t="s">
        <v>2495</v>
      </c>
      <c r="E661" s="69" t="s">
        <v>2388</v>
      </c>
      <c r="F661" s="71" t="e">
        <v>#N/A</v>
      </c>
      <c r="G661" s="71">
        <v>60</v>
      </c>
      <c r="H661" s="69" t="s">
        <v>2472</v>
      </c>
      <c r="I661" s="69" t="s">
        <v>2501</v>
      </c>
      <c r="J661" s="69" t="s">
        <v>2401</v>
      </c>
      <c r="K661" s="69" t="s">
        <v>3046</v>
      </c>
      <c r="L661" s="72" t="s">
        <v>2387</v>
      </c>
      <c r="M661" s="72" t="b">
        <f t="shared" si="10"/>
        <v>0</v>
      </c>
    </row>
    <row r="662" spans="1:13" x14ac:dyDescent="0.25">
      <c r="A662" s="69" t="s">
        <v>323</v>
      </c>
      <c r="B662" s="70">
        <v>44000498</v>
      </c>
      <c r="C662" s="69" t="s">
        <v>2499</v>
      </c>
      <c r="D662" s="71" t="s">
        <v>2392</v>
      </c>
      <c r="E662" s="69" t="s">
        <v>2388</v>
      </c>
      <c r="F662" s="69">
        <v>30</v>
      </c>
      <c r="G662" s="69">
        <v>60</v>
      </c>
      <c r="H662" s="69" t="s">
        <v>2472</v>
      </c>
      <c r="I662" s="69" t="s">
        <v>2463</v>
      </c>
      <c r="J662" s="69" t="s">
        <v>2444</v>
      </c>
      <c r="K662" s="69" t="s">
        <v>3013</v>
      </c>
      <c r="L662" s="72" t="s">
        <v>2387</v>
      </c>
      <c r="M662" s="72" t="b">
        <f t="shared" si="10"/>
        <v>0</v>
      </c>
    </row>
    <row r="663" spans="1:13" x14ac:dyDescent="0.25">
      <c r="A663" s="69" t="s">
        <v>314</v>
      </c>
      <c r="B663" s="70">
        <v>44000498</v>
      </c>
      <c r="C663" s="69" t="s">
        <v>2499</v>
      </c>
      <c r="D663" s="71" t="s">
        <v>2392</v>
      </c>
      <c r="E663" s="69" t="s">
        <v>2388</v>
      </c>
      <c r="F663" s="69">
        <v>30</v>
      </c>
      <c r="G663" s="69">
        <v>30</v>
      </c>
      <c r="H663" s="69" t="s">
        <v>2486</v>
      </c>
      <c r="I663" s="69" t="s">
        <v>2463</v>
      </c>
      <c r="J663" s="69" t="s">
        <v>3208</v>
      </c>
      <c r="K663" s="69" t="s">
        <v>3013</v>
      </c>
      <c r="L663" s="72" t="s">
        <v>2387</v>
      </c>
      <c r="M663" s="72" t="b">
        <f t="shared" si="10"/>
        <v>0</v>
      </c>
    </row>
    <row r="664" spans="1:13" x14ac:dyDescent="0.25">
      <c r="A664" s="69" t="s">
        <v>1802</v>
      </c>
      <c r="B664" s="70">
        <v>44005514</v>
      </c>
      <c r="C664" s="69" t="s">
        <v>2503</v>
      </c>
      <c r="D664" s="71" t="s">
        <v>2392</v>
      </c>
      <c r="E664" s="69" t="s">
        <v>2388</v>
      </c>
      <c r="F664" s="69">
        <v>30</v>
      </c>
      <c r="G664" s="69">
        <v>90</v>
      </c>
      <c r="H664" s="69" t="s">
        <v>2399</v>
      </c>
      <c r="I664" s="69" t="s">
        <v>2428</v>
      </c>
      <c r="J664" s="69" t="s">
        <v>2427</v>
      </c>
      <c r="K664" s="69"/>
      <c r="L664" s="72" t="s">
        <v>2392</v>
      </c>
      <c r="M664" s="72" t="b">
        <f t="shared" si="10"/>
        <v>1</v>
      </c>
    </row>
    <row r="665" spans="1:13" x14ac:dyDescent="0.25">
      <c r="A665" s="69" t="s">
        <v>1548</v>
      </c>
      <c r="B665" s="70">
        <v>44000046</v>
      </c>
      <c r="C665" s="69" t="s">
        <v>1471</v>
      </c>
      <c r="D665" s="71" t="s">
        <v>2387</v>
      </c>
      <c r="E665" s="69" t="s">
        <v>2393</v>
      </c>
      <c r="F665" s="69">
        <v>30</v>
      </c>
      <c r="G665" s="69">
        <v>120</v>
      </c>
      <c r="H665" s="69" t="s">
        <v>2399</v>
      </c>
      <c r="I665" s="69" t="s">
        <v>2414</v>
      </c>
      <c r="J665" s="69" t="s">
        <v>2424</v>
      </c>
      <c r="K665" s="69"/>
      <c r="L665" s="72" t="s">
        <v>2392</v>
      </c>
      <c r="M665" s="72" t="b">
        <f t="shared" si="10"/>
        <v>0</v>
      </c>
    </row>
    <row r="666" spans="1:13" x14ac:dyDescent="0.25">
      <c r="A666" s="69" t="s">
        <v>1555</v>
      </c>
      <c r="B666" s="70">
        <v>44000046</v>
      </c>
      <c r="C666" s="69" t="s">
        <v>1471</v>
      </c>
      <c r="D666" s="71" t="s">
        <v>2387</v>
      </c>
      <c r="E666" s="69" t="s">
        <v>2393</v>
      </c>
      <c r="F666" s="69">
        <v>30</v>
      </c>
      <c r="G666" s="69">
        <v>120</v>
      </c>
      <c r="H666" s="69" t="s">
        <v>2399</v>
      </c>
      <c r="I666" s="69" t="s">
        <v>2414</v>
      </c>
      <c r="J666" s="69" t="s">
        <v>2424</v>
      </c>
      <c r="K666" s="69"/>
      <c r="L666" s="72" t="s">
        <v>2392</v>
      </c>
      <c r="M666" s="72" t="b">
        <f t="shared" si="10"/>
        <v>0</v>
      </c>
    </row>
    <row r="667" spans="1:13" x14ac:dyDescent="0.25">
      <c r="A667" s="69" t="s">
        <v>1558</v>
      </c>
      <c r="B667" s="70">
        <v>44000046</v>
      </c>
      <c r="C667" s="69" t="s">
        <v>1471</v>
      </c>
      <c r="D667" s="71" t="s">
        <v>2387</v>
      </c>
      <c r="E667" s="69" t="s">
        <v>2393</v>
      </c>
      <c r="F667" s="69">
        <v>30</v>
      </c>
      <c r="G667" s="69">
        <v>120</v>
      </c>
      <c r="H667" s="69" t="s">
        <v>2399</v>
      </c>
      <c r="I667" s="69" t="s">
        <v>2414</v>
      </c>
      <c r="J667" s="69" t="s">
        <v>2424</v>
      </c>
      <c r="K667" s="69"/>
      <c r="L667" s="72" t="s">
        <v>2392</v>
      </c>
      <c r="M667" s="72" t="b">
        <f t="shared" si="10"/>
        <v>0</v>
      </c>
    </row>
    <row r="668" spans="1:13" x14ac:dyDescent="0.25">
      <c r="A668" s="69" t="s">
        <v>2</v>
      </c>
      <c r="B668" s="70">
        <v>44003304</v>
      </c>
      <c r="C668" s="69" t="s">
        <v>1753</v>
      </c>
      <c r="D668" s="71" t="s">
        <v>2392</v>
      </c>
      <c r="E668" s="69" t="s">
        <v>2388</v>
      </c>
      <c r="F668" s="69">
        <v>30</v>
      </c>
      <c r="G668" s="69">
        <v>30</v>
      </c>
      <c r="H668" s="69" t="s">
        <v>2399</v>
      </c>
      <c r="I668" s="69" t="s">
        <v>2463</v>
      </c>
      <c r="J668" s="69" t="s">
        <v>3213</v>
      </c>
      <c r="K668" s="69"/>
      <c r="L668" s="72" t="s">
        <v>2392</v>
      </c>
      <c r="M668" s="72" t="b">
        <f t="shared" si="10"/>
        <v>1</v>
      </c>
    </row>
    <row r="669" spans="1:13" x14ac:dyDescent="0.25">
      <c r="A669" s="69" t="s">
        <v>2305</v>
      </c>
      <c r="B669" s="70">
        <v>44006959</v>
      </c>
      <c r="C669" s="69" t="s">
        <v>2504</v>
      </c>
      <c r="D669" s="71" t="s">
        <v>2961</v>
      </c>
      <c r="E669" s="69" t="s">
        <v>2388</v>
      </c>
      <c r="F669" s="69">
        <v>30</v>
      </c>
      <c r="G669" s="69">
        <v>180</v>
      </c>
      <c r="H669" s="69" t="s">
        <v>2391</v>
      </c>
      <c r="I669" s="69" t="s">
        <v>2389</v>
      </c>
      <c r="J669" s="69" t="s">
        <v>2424</v>
      </c>
      <c r="K669" s="69"/>
      <c r="L669" s="72" t="s">
        <v>2387</v>
      </c>
      <c r="M669" s="72" t="b">
        <f t="shared" si="10"/>
        <v>0</v>
      </c>
    </row>
    <row r="670" spans="1:13" x14ac:dyDescent="0.25">
      <c r="A670" s="69" t="s">
        <v>2305</v>
      </c>
      <c r="B670" s="70">
        <v>44007351</v>
      </c>
      <c r="C670" s="69" t="s">
        <v>3047</v>
      </c>
      <c r="D670" s="71" t="s">
        <v>2961</v>
      </c>
      <c r="E670" s="69" t="s">
        <v>2388</v>
      </c>
      <c r="F670" s="69">
        <v>30</v>
      </c>
      <c r="G670" s="69">
        <v>180</v>
      </c>
      <c r="H670" s="69" t="s">
        <v>2391</v>
      </c>
      <c r="I670" s="69" t="s">
        <v>2389</v>
      </c>
      <c r="J670" s="69" t="s">
        <v>2424</v>
      </c>
      <c r="K670" s="69"/>
      <c r="L670" s="72" t="s">
        <v>2387</v>
      </c>
      <c r="M670" s="72" t="b">
        <f t="shared" si="10"/>
        <v>0</v>
      </c>
    </row>
    <row r="671" spans="1:13" x14ac:dyDescent="0.25">
      <c r="A671" s="69" t="s">
        <v>1561</v>
      </c>
      <c r="B671" s="70">
        <v>44000046</v>
      </c>
      <c r="C671" s="69" t="s">
        <v>1471</v>
      </c>
      <c r="D671" s="71" t="s">
        <v>2387</v>
      </c>
      <c r="E671" s="69" t="s">
        <v>2393</v>
      </c>
      <c r="F671" s="69">
        <v>30</v>
      </c>
      <c r="G671" s="69">
        <v>120</v>
      </c>
      <c r="H671" s="69" t="s">
        <v>2399</v>
      </c>
      <c r="I671" s="69" t="s">
        <v>2414</v>
      </c>
      <c r="J671" s="69" t="s">
        <v>2424</v>
      </c>
      <c r="K671" s="69"/>
      <c r="L671" s="72" t="s">
        <v>2392</v>
      </c>
      <c r="M671" s="72" t="b">
        <f t="shared" si="10"/>
        <v>0</v>
      </c>
    </row>
    <row r="672" spans="1:13" x14ac:dyDescent="0.25">
      <c r="A672" s="69" t="s">
        <v>1604</v>
      </c>
      <c r="B672" s="70">
        <v>44000108</v>
      </c>
      <c r="C672" s="69" t="s">
        <v>943</v>
      </c>
      <c r="D672" s="71" t="s">
        <v>2392</v>
      </c>
      <c r="E672" s="69" t="s">
        <v>2393</v>
      </c>
      <c r="F672" s="69">
        <v>30</v>
      </c>
      <c r="G672" s="69">
        <v>0</v>
      </c>
      <c r="H672" s="69" t="s">
        <v>2399</v>
      </c>
      <c r="I672" s="69" t="s">
        <v>2505</v>
      </c>
      <c r="J672" s="69" t="s">
        <v>2398</v>
      </c>
      <c r="K672" s="69" t="s">
        <v>3048</v>
      </c>
      <c r="L672" s="72" t="s">
        <v>2392</v>
      </c>
      <c r="M672" s="72" t="b">
        <f t="shared" si="10"/>
        <v>1</v>
      </c>
    </row>
    <row r="673" spans="1:13" x14ac:dyDescent="0.25">
      <c r="A673" s="69" t="s">
        <v>1631</v>
      </c>
      <c r="B673" s="70">
        <v>44000046</v>
      </c>
      <c r="C673" s="69" t="s">
        <v>1471</v>
      </c>
      <c r="D673" s="71" t="s">
        <v>2387</v>
      </c>
      <c r="E673" s="69" t="s">
        <v>2393</v>
      </c>
      <c r="F673" s="69">
        <v>30</v>
      </c>
      <c r="G673" s="69">
        <v>120</v>
      </c>
      <c r="H673" s="69" t="s">
        <v>2399</v>
      </c>
      <c r="I673" s="69" t="s">
        <v>2414</v>
      </c>
      <c r="J673" s="69" t="s">
        <v>2424</v>
      </c>
      <c r="K673" s="69"/>
      <c r="L673" s="72" t="s">
        <v>2392</v>
      </c>
      <c r="M673" s="72" t="b">
        <f t="shared" si="10"/>
        <v>0</v>
      </c>
    </row>
    <row r="674" spans="1:13" x14ac:dyDescent="0.25">
      <c r="A674" s="69" t="s">
        <v>1633</v>
      </c>
      <c r="B674" s="70">
        <v>44000137</v>
      </c>
      <c r="C674" s="69" t="s">
        <v>947</v>
      </c>
      <c r="D674" s="71" t="s">
        <v>2392</v>
      </c>
      <c r="E674" s="69" t="s">
        <v>2393</v>
      </c>
      <c r="F674" s="69">
        <v>30</v>
      </c>
      <c r="G674" s="69">
        <f>30*3</f>
        <v>90</v>
      </c>
      <c r="H674" s="69" t="s">
        <v>2395</v>
      </c>
      <c r="I674" s="69" t="s">
        <v>2506</v>
      </c>
      <c r="J674" s="69" t="s">
        <v>2415</v>
      </c>
      <c r="K674" s="69"/>
      <c r="L674" s="72" t="s">
        <v>2392</v>
      </c>
      <c r="M674" s="72" t="b">
        <f t="shared" si="10"/>
        <v>1</v>
      </c>
    </row>
    <row r="675" spans="1:13" x14ac:dyDescent="0.25">
      <c r="A675" s="69" t="s">
        <v>1636</v>
      </c>
      <c r="B675" s="70">
        <v>44000137</v>
      </c>
      <c r="C675" s="69" t="s">
        <v>947</v>
      </c>
      <c r="D675" s="71" t="s">
        <v>2392</v>
      </c>
      <c r="E675" s="69" t="s">
        <v>2393</v>
      </c>
      <c r="F675" s="69">
        <v>30</v>
      </c>
      <c r="G675" s="69">
        <f>30*3</f>
        <v>90</v>
      </c>
      <c r="H675" s="69" t="s">
        <v>2395</v>
      </c>
      <c r="I675" s="69" t="s">
        <v>2506</v>
      </c>
      <c r="J675" s="69" t="s">
        <v>2415</v>
      </c>
      <c r="K675" s="69"/>
      <c r="L675" s="72" t="s">
        <v>2392</v>
      </c>
      <c r="M675" s="72" t="b">
        <f t="shared" si="10"/>
        <v>1</v>
      </c>
    </row>
    <row r="676" spans="1:13" x14ac:dyDescent="0.25">
      <c r="A676" s="69" t="s">
        <v>1639</v>
      </c>
      <c r="B676" s="70">
        <v>44000137</v>
      </c>
      <c r="C676" s="69" t="s">
        <v>947</v>
      </c>
      <c r="D676" s="71" t="s">
        <v>2392</v>
      </c>
      <c r="E676" s="69" t="s">
        <v>2393</v>
      </c>
      <c r="F676" s="69">
        <v>30</v>
      </c>
      <c r="G676" s="69">
        <f>30*3</f>
        <v>90</v>
      </c>
      <c r="H676" s="69" t="s">
        <v>2395</v>
      </c>
      <c r="I676" s="69" t="s">
        <v>2506</v>
      </c>
      <c r="J676" s="69" t="s">
        <v>2415</v>
      </c>
      <c r="K676" s="69"/>
      <c r="L676" s="72" t="s">
        <v>2392</v>
      </c>
      <c r="M676" s="72" t="b">
        <f t="shared" si="10"/>
        <v>1</v>
      </c>
    </row>
    <row r="677" spans="1:13" x14ac:dyDescent="0.25">
      <c r="A677" s="69" t="s">
        <v>1642</v>
      </c>
      <c r="B677" s="70">
        <v>44000137</v>
      </c>
      <c r="C677" s="69" t="s">
        <v>947</v>
      </c>
      <c r="D677" s="71" t="s">
        <v>2392</v>
      </c>
      <c r="E677" s="69" t="s">
        <v>2393</v>
      </c>
      <c r="F677" s="69">
        <v>30</v>
      </c>
      <c r="G677" s="69">
        <f>30*3</f>
        <v>90</v>
      </c>
      <c r="H677" s="69" t="s">
        <v>2395</v>
      </c>
      <c r="I677" s="69" t="s">
        <v>2506</v>
      </c>
      <c r="J677" s="69" t="s">
        <v>2415</v>
      </c>
      <c r="K677" s="69"/>
      <c r="L677" s="72" t="s">
        <v>2392</v>
      </c>
      <c r="M677" s="72" t="b">
        <f t="shared" si="10"/>
        <v>1</v>
      </c>
    </row>
    <row r="678" spans="1:13" x14ac:dyDescent="0.25">
      <c r="A678" s="69" t="s">
        <v>1645</v>
      </c>
      <c r="B678" s="70">
        <v>44000137</v>
      </c>
      <c r="C678" s="69" t="s">
        <v>947</v>
      </c>
      <c r="D678" s="71" t="s">
        <v>2392</v>
      </c>
      <c r="E678" s="69" t="s">
        <v>2393</v>
      </c>
      <c r="F678" s="69">
        <v>30</v>
      </c>
      <c r="G678" s="69">
        <f>30*3</f>
        <v>90</v>
      </c>
      <c r="H678" s="69" t="s">
        <v>2395</v>
      </c>
      <c r="I678" s="69" t="s">
        <v>2506</v>
      </c>
      <c r="J678" s="69" t="s">
        <v>2415</v>
      </c>
      <c r="K678" s="69"/>
      <c r="L678" s="72" t="s">
        <v>2392</v>
      </c>
      <c r="M678" s="72" t="b">
        <f t="shared" si="10"/>
        <v>1</v>
      </c>
    </row>
    <row r="679" spans="1:13" x14ac:dyDescent="0.25">
      <c r="A679" s="69" t="s">
        <v>733</v>
      </c>
      <c r="B679" s="70">
        <v>44005166</v>
      </c>
      <c r="C679" s="69" t="s">
        <v>735</v>
      </c>
      <c r="D679" s="71" t="s">
        <v>2387</v>
      </c>
      <c r="E679" s="69" t="s">
        <v>2393</v>
      </c>
      <c r="F679" s="69">
        <v>60</v>
      </c>
      <c r="G679" s="69">
        <v>180</v>
      </c>
      <c r="H679" s="69" t="s">
        <v>2399</v>
      </c>
      <c r="I679" s="69" t="s">
        <v>2456</v>
      </c>
      <c r="J679" s="69" t="s">
        <v>2424</v>
      </c>
      <c r="K679" s="69"/>
      <c r="L679" s="72" t="s">
        <v>2392</v>
      </c>
      <c r="M679" s="72" t="b">
        <f t="shared" si="10"/>
        <v>0</v>
      </c>
    </row>
    <row r="680" spans="1:13" x14ac:dyDescent="0.25">
      <c r="A680" s="69" t="s">
        <v>733</v>
      </c>
      <c r="B680" s="70" t="s">
        <v>3049</v>
      </c>
      <c r="C680" s="69" t="s">
        <v>3050</v>
      </c>
      <c r="D680" s="71" t="s">
        <v>2387</v>
      </c>
      <c r="E680" s="69" t="s">
        <v>2393</v>
      </c>
      <c r="F680" s="69">
        <v>60</v>
      </c>
      <c r="G680" s="69">
        <v>180</v>
      </c>
      <c r="H680" s="69" t="s">
        <v>2399</v>
      </c>
      <c r="I680" s="69" t="s">
        <v>2456</v>
      </c>
      <c r="J680" s="69" t="s">
        <v>2424</v>
      </c>
      <c r="K680" s="69"/>
      <c r="L680" s="72" t="s">
        <v>2392</v>
      </c>
      <c r="M680" s="72" t="b">
        <f t="shared" si="10"/>
        <v>0</v>
      </c>
    </row>
    <row r="681" spans="1:13" x14ac:dyDescent="0.25">
      <c r="A681" s="69" t="s">
        <v>2350</v>
      </c>
      <c r="B681" s="70"/>
      <c r="C681" s="69" t="s">
        <v>2495</v>
      </c>
      <c r="D681" s="71" t="s">
        <v>2387</v>
      </c>
      <c r="E681" s="69" t="s">
        <v>2393</v>
      </c>
      <c r="F681" s="69">
        <v>60</v>
      </c>
      <c r="G681" s="69">
        <v>180</v>
      </c>
      <c r="H681" s="69" t="s">
        <v>2399</v>
      </c>
      <c r="I681" s="69" t="s">
        <v>2456</v>
      </c>
      <c r="J681" s="69" t="s">
        <v>3027</v>
      </c>
      <c r="K681" s="69"/>
      <c r="L681" s="72" t="s">
        <v>2392</v>
      </c>
      <c r="M681" s="72" t="b">
        <f t="shared" si="10"/>
        <v>0</v>
      </c>
    </row>
    <row r="682" spans="1:13" x14ac:dyDescent="0.25">
      <c r="A682" s="69" t="s">
        <v>10</v>
      </c>
      <c r="B682" s="70">
        <v>44004162</v>
      </c>
      <c r="C682" s="69" t="s">
        <v>12</v>
      </c>
      <c r="D682" s="71" t="s">
        <v>2387</v>
      </c>
      <c r="E682" s="69" t="s">
        <v>2388</v>
      </c>
      <c r="F682" s="69">
        <v>30</v>
      </c>
      <c r="G682" s="69">
        <f>6*30</f>
        <v>180</v>
      </c>
      <c r="H682" s="69" t="s">
        <v>2391</v>
      </c>
      <c r="I682" s="69" t="s">
        <v>2431</v>
      </c>
      <c r="J682" s="69" t="s">
        <v>2398</v>
      </c>
      <c r="K682" s="69"/>
      <c r="L682" s="72" t="s">
        <v>2392</v>
      </c>
      <c r="M682" s="72" t="b">
        <f t="shared" si="10"/>
        <v>0</v>
      </c>
    </row>
    <row r="683" spans="1:13" x14ac:dyDescent="0.25">
      <c r="A683" s="69" t="s">
        <v>2352</v>
      </c>
      <c r="B683" s="70"/>
      <c r="C683" s="69" t="s">
        <v>2495</v>
      </c>
      <c r="D683" s="71" t="s">
        <v>2387</v>
      </c>
      <c r="E683" s="69" t="s">
        <v>2393</v>
      </c>
      <c r="F683" s="69">
        <v>60</v>
      </c>
      <c r="G683" s="69">
        <v>180</v>
      </c>
      <c r="H683" s="69" t="s">
        <v>2399</v>
      </c>
      <c r="I683" s="69" t="s">
        <v>2456</v>
      </c>
      <c r="J683" s="69" t="s">
        <v>3027</v>
      </c>
      <c r="K683" s="69"/>
      <c r="L683" s="72" t="s">
        <v>2392</v>
      </c>
      <c r="M683" s="72" t="b">
        <f t="shared" si="10"/>
        <v>0</v>
      </c>
    </row>
    <row r="684" spans="1:13" x14ac:dyDescent="0.25">
      <c r="A684" s="69" t="s">
        <v>1178</v>
      </c>
      <c r="B684" s="70">
        <v>44002375</v>
      </c>
      <c r="C684" s="69" t="s">
        <v>3051</v>
      </c>
      <c r="D684" s="71" t="s">
        <v>2392</v>
      </c>
      <c r="E684" s="69" t="s">
        <v>2388</v>
      </c>
      <c r="F684" s="69">
        <v>30</v>
      </c>
      <c r="G684" s="69">
        <v>900</v>
      </c>
      <c r="H684" s="69" t="s">
        <v>2399</v>
      </c>
      <c r="I684" s="69" t="s">
        <v>2397</v>
      </c>
      <c r="J684" s="69" t="s">
        <v>2398</v>
      </c>
      <c r="K684" s="69"/>
      <c r="L684" s="72" t="s">
        <v>2392</v>
      </c>
      <c r="M684" s="72" t="b">
        <f t="shared" si="10"/>
        <v>1</v>
      </c>
    </row>
    <row r="685" spans="1:13" x14ac:dyDescent="0.25">
      <c r="A685" s="69" t="s">
        <v>2337</v>
      </c>
      <c r="B685" s="70">
        <v>44000619</v>
      </c>
      <c r="C685" s="69" t="s">
        <v>2462</v>
      </c>
      <c r="D685" s="71" t="s">
        <v>2387</v>
      </c>
      <c r="E685" s="69" t="s">
        <v>2388</v>
      </c>
      <c r="F685" s="69">
        <v>30</v>
      </c>
      <c r="G685" s="69">
        <v>0</v>
      </c>
      <c r="H685" s="69" t="s">
        <v>2412</v>
      </c>
      <c r="I685" s="69" t="s">
        <v>2410</v>
      </c>
      <c r="J685" s="69" t="s">
        <v>2461</v>
      </c>
      <c r="K685" s="69" t="s">
        <v>3052</v>
      </c>
      <c r="L685" s="72" t="s">
        <v>2387</v>
      </c>
      <c r="M685" s="72" t="b">
        <f t="shared" si="10"/>
        <v>1</v>
      </c>
    </row>
    <row r="686" spans="1:13" x14ac:dyDescent="0.25">
      <c r="A686" s="69" t="s">
        <v>2365</v>
      </c>
      <c r="B686" s="70"/>
      <c r="C686" s="69" t="s">
        <v>2507</v>
      </c>
      <c r="D686" s="71" t="s">
        <v>2387</v>
      </c>
      <c r="E686" s="69"/>
      <c r="F686" s="69"/>
      <c r="G686" s="69">
        <v>0</v>
      </c>
      <c r="H686" s="69" t="s">
        <v>2412</v>
      </c>
      <c r="I686" s="69" t="s">
        <v>2410</v>
      </c>
      <c r="J686" s="69" t="s">
        <v>2410</v>
      </c>
      <c r="K686" s="69" t="s">
        <v>3053</v>
      </c>
      <c r="L686" s="72" t="s">
        <v>2387</v>
      </c>
      <c r="M686" s="72" t="b">
        <f t="shared" si="10"/>
        <v>1</v>
      </c>
    </row>
    <row r="687" spans="1:13" x14ac:dyDescent="0.25">
      <c r="A687" s="69" t="s">
        <v>2103</v>
      </c>
      <c r="B687" s="70"/>
      <c r="C687" s="69" t="s">
        <v>2507</v>
      </c>
      <c r="D687" s="71" t="s">
        <v>2387</v>
      </c>
      <c r="E687" s="69"/>
      <c r="F687" s="69">
        <v>30</v>
      </c>
      <c r="G687" s="69">
        <v>30</v>
      </c>
      <c r="H687" s="69" t="s">
        <v>2399</v>
      </c>
      <c r="I687" s="69" t="s">
        <v>2433</v>
      </c>
      <c r="J687" s="69" t="s">
        <v>2427</v>
      </c>
      <c r="K687" s="69"/>
      <c r="L687" s="72" t="s">
        <v>2392</v>
      </c>
      <c r="M687" s="72" t="b">
        <f t="shared" si="10"/>
        <v>0</v>
      </c>
    </row>
    <row r="688" spans="1:13" x14ac:dyDescent="0.25">
      <c r="A688" s="69" t="s">
        <v>2128</v>
      </c>
      <c r="B688" s="70">
        <v>44005651</v>
      </c>
      <c r="C688" s="69" t="s">
        <v>2508</v>
      </c>
      <c r="D688" s="71" t="s">
        <v>2961</v>
      </c>
      <c r="E688" s="69" t="s">
        <v>2388</v>
      </c>
      <c r="F688" s="69">
        <v>30</v>
      </c>
      <c r="G688" s="69">
        <v>60</v>
      </c>
      <c r="H688" s="69" t="s">
        <v>2399</v>
      </c>
      <c r="I688" s="69" t="s">
        <v>2429</v>
      </c>
      <c r="J688" s="69" t="s">
        <v>2427</v>
      </c>
      <c r="K688" s="69"/>
      <c r="L688" s="72" t="s">
        <v>2387</v>
      </c>
      <c r="M688" s="72" t="b">
        <f t="shared" si="10"/>
        <v>0</v>
      </c>
    </row>
    <row r="689" spans="1:13" x14ac:dyDescent="0.25">
      <c r="A689" s="69" t="s">
        <v>2127</v>
      </c>
      <c r="B689" s="70">
        <v>44005651</v>
      </c>
      <c r="C689" s="69" t="s">
        <v>2508</v>
      </c>
      <c r="D689" s="71" t="s">
        <v>2961</v>
      </c>
      <c r="E689" s="69" t="s">
        <v>2388</v>
      </c>
      <c r="F689" s="69">
        <v>30</v>
      </c>
      <c r="G689" s="69">
        <v>60</v>
      </c>
      <c r="H689" s="69" t="s">
        <v>2399</v>
      </c>
      <c r="I689" s="69" t="s">
        <v>2429</v>
      </c>
      <c r="J689" s="69" t="s">
        <v>2427</v>
      </c>
      <c r="K689" s="69"/>
      <c r="L689" s="72" t="s">
        <v>2387</v>
      </c>
      <c r="M689" s="72" t="b">
        <f t="shared" si="10"/>
        <v>0</v>
      </c>
    </row>
    <row r="690" spans="1:13" x14ac:dyDescent="0.25">
      <c r="A690" s="69" t="s">
        <v>2126</v>
      </c>
      <c r="B690" s="70">
        <v>44005651</v>
      </c>
      <c r="C690" s="69" t="s">
        <v>2508</v>
      </c>
      <c r="D690" s="71" t="s">
        <v>2961</v>
      </c>
      <c r="E690" s="69" t="s">
        <v>2388</v>
      </c>
      <c r="F690" s="69">
        <v>30</v>
      </c>
      <c r="G690" s="69">
        <v>60</v>
      </c>
      <c r="H690" s="69" t="s">
        <v>2399</v>
      </c>
      <c r="I690" s="69" t="s">
        <v>2429</v>
      </c>
      <c r="J690" s="69" t="s">
        <v>2427</v>
      </c>
      <c r="K690" s="69"/>
      <c r="L690" s="72" t="s">
        <v>2387</v>
      </c>
      <c r="M690" s="72" t="b">
        <f t="shared" si="10"/>
        <v>0</v>
      </c>
    </row>
    <row r="691" spans="1:13" x14ac:dyDescent="0.25">
      <c r="A691" s="69" t="s">
        <v>2104</v>
      </c>
      <c r="B691" s="70">
        <v>44005651</v>
      </c>
      <c r="C691" s="69" t="s">
        <v>2508</v>
      </c>
      <c r="D691" s="71" t="s">
        <v>2961</v>
      </c>
      <c r="E691" s="69" t="s">
        <v>2388</v>
      </c>
      <c r="F691" s="69">
        <v>30</v>
      </c>
      <c r="G691" s="69">
        <v>60</v>
      </c>
      <c r="H691" s="69" t="s">
        <v>2399</v>
      </c>
      <c r="I691" s="69" t="s">
        <v>2429</v>
      </c>
      <c r="J691" s="69" t="s">
        <v>2427</v>
      </c>
      <c r="K691" s="69"/>
      <c r="L691" s="72" t="s">
        <v>2387</v>
      </c>
      <c r="M691" s="72" t="b">
        <f t="shared" si="10"/>
        <v>0</v>
      </c>
    </row>
    <row r="692" spans="1:13" x14ac:dyDescent="0.25">
      <c r="A692" s="69" t="s">
        <v>2110</v>
      </c>
      <c r="B692" s="70">
        <v>44005651</v>
      </c>
      <c r="C692" s="69" t="s">
        <v>2508</v>
      </c>
      <c r="D692" s="71" t="s">
        <v>2961</v>
      </c>
      <c r="E692" s="69" t="s">
        <v>2388</v>
      </c>
      <c r="F692" s="69">
        <v>30</v>
      </c>
      <c r="G692" s="69">
        <v>60</v>
      </c>
      <c r="H692" s="69" t="s">
        <v>2399</v>
      </c>
      <c r="I692" s="69" t="s">
        <v>2429</v>
      </c>
      <c r="J692" s="69" t="s">
        <v>2427</v>
      </c>
      <c r="K692" s="69"/>
      <c r="L692" s="72" t="s">
        <v>2387</v>
      </c>
      <c r="M692" s="72" t="b">
        <f t="shared" si="10"/>
        <v>0</v>
      </c>
    </row>
    <row r="693" spans="1:13" x14ac:dyDescent="0.25">
      <c r="A693" s="69" t="s">
        <v>2109</v>
      </c>
      <c r="B693" s="70">
        <v>44005651</v>
      </c>
      <c r="C693" s="69" t="s">
        <v>2508</v>
      </c>
      <c r="D693" s="71" t="s">
        <v>2961</v>
      </c>
      <c r="E693" s="69" t="s">
        <v>2388</v>
      </c>
      <c r="F693" s="69">
        <v>30</v>
      </c>
      <c r="G693" s="69">
        <v>60</v>
      </c>
      <c r="H693" s="69" t="s">
        <v>2399</v>
      </c>
      <c r="I693" s="69" t="s">
        <v>2429</v>
      </c>
      <c r="J693" s="69" t="s">
        <v>2427</v>
      </c>
      <c r="K693" s="69"/>
      <c r="L693" s="72" t="s">
        <v>2387</v>
      </c>
      <c r="M693" s="72" t="b">
        <f t="shared" si="10"/>
        <v>0</v>
      </c>
    </row>
    <row r="694" spans="1:13" x14ac:dyDescent="0.25">
      <c r="A694" s="69" t="s">
        <v>2107</v>
      </c>
      <c r="B694" s="70">
        <v>44005651</v>
      </c>
      <c r="C694" s="69" t="s">
        <v>2508</v>
      </c>
      <c r="D694" s="71" t="s">
        <v>2961</v>
      </c>
      <c r="E694" s="69" t="s">
        <v>2388</v>
      </c>
      <c r="F694" s="69">
        <v>30</v>
      </c>
      <c r="G694" s="69">
        <v>60</v>
      </c>
      <c r="H694" s="69" t="s">
        <v>2399</v>
      </c>
      <c r="I694" s="69" t="s">
        <v>2429</v>
      </c>
      <c r="J694" s="69" t="s">
        <v>2427</v>
      </c>
      <c r="K694" s="69"/>
      <c r="L694" s="72" t="s">
        <v>2387</v>
      </c>
      <c r="M694" s="72" t="b">
        <f t="shared" si="10"/>
        <v>0</v>
      </c>
    </row>
    <row r="695" spans="1:13" x14ac:dyDescent="0.25">
      <c r="A695" s="69" t="s">
        <v>1745</v>
      </c>
      <c r="B695" s="70">
        <v>44005651</v>
      </c>
      <c r="C695" s="69" t="s">
        <v>1766</v>
      </c>
      <c r="D695" s="71" t="s">
        <v>2387</v>
      </c>
      <c r="E695" s="69" t="s">
        <v>2388</v>
      </c>
      <c r="F695" s="69">
        <v>30</v>
      </c>
      <c r="G695" s="69">
        <v>60</v>
      </c>
      <c r="H695" s="69" t="s">
        <v>2399</v>
      </c>
      <c r="I695" s="69" t="s">
        <v>2394</v>
      </c>
      <c r="J695" s="69" t="s">
        <v>2427</v>
      </c>
      <c r="K695" s="69" t="s">
        <v>3011</v>
      </c>
      <c r="L695" s="72" t="s">
        <v>2387</v>
      </c>
      <c r="M695" s="72" t="b">
        <f t="shared" si="10"/>
        <v>1</v>
      </c>
    </row>
    <row r="696" spans="1:13" x14ac:dyDescent="0.25">
      <c r="A696" s="69" t="s">
        <v>2105</v>
      </c>
      <c r="B696" s="70">
        <v>44005651</v>
      </c>
      <c r="C696" s="69" t="s">
        <v>2508</v>
      </c>
      <c r="D696" s="71" t="s">
        <v>2961</v>
      </c>
      <c r="E696" s="69" t="s">
        <v>2388</v>
      </c>
      <c r="F696" s="69">
        <v>30</v>
      </c>
      <c r="G696" s="69">
        <v>60</v>
      </c>
      <c r="H696" s="69" t="s">
        <v>2399</v>
      </c>
      <c r="I696" s="69" t="s">
        <v>2394</v>
      </c>
      <c r="J696" s="69" t="s">
        <v>2427</v>
      </c>
      <c r="K696" s="69" t="s">
        <v>3011</v>
      </c>
      <c r="L696" s="72" t="s">
        <v>2387</v>
      </c>
      <c r="M696" s="72" t="b">
        <f t="shared" si="10"/>
        <v>0</v>
      </c>
    </row>
    <row r="697" spans="1:13" x14ac:dyDescent="0.25">
      <c r="A697" s="69" t="s">
        <v>1743</v>
      </c>
      <c r="B697" s="70">
        <v>44005651</v>
      </c>
      <c r="C697" s="69" t="s">
        <v>1766</v>
      </c>
      <c r="D697" s="71" t="s">
        <v>2387</v>
      </c>
      <c r="E697" s="69" t="s">
        <v>2388</v>
      </c>
      <c r="F697" s="69">
        <v>30</v>
      </c>
      <c r="G697" s="69">
        <v>60</v>
      </c>
      <c r="H697" s="69" t="s">
        <v>2399</v>
      </c>
      <c r="I697" s="69" t="s">
        <v>2428</v>
      </c>
      <c r="J697" s="69" t="s">
        <v>2427</v>
      </c>
      <c r="K697" s="69" t="s">
        <v>3011</v>
      </c>
      <c r="L697" s="72" t="s">
        <v>2387</v>
      </c>
      <c r="M697" s="72" t="b">
        <f t="shared" si="10"/>
        <v>1</v>
      </c>
    </row>
    <row r="698" spans="1:13" x14ac:dyDescent="0.25">
      <c r="A698" s="69" t="s">
        <v>2106</v>
      </c>
      <c r="B698" s="70">
        <v>44005651</v>
      </c>
      <c r="C698" s="69" t="s">
        <v>2508</v>
      </c>
      <c r="D698" s="71" t="s">
        <v>2961</v>
      </c>
      <c r="E698" s="69" t="s">
        <v>2388</v>
      </c>
      <c r="F698" s="69">
        <v>30</v>
      </c>
      <c r="G698" s="69">
        <v>60</v>
      </c>
      <c r="H698" s="69" t="s">
        <v>2399</v>
      </c>
      <c r="I698" s="69" t="s">
        <v>2429</v>
      </c>
      <c r="J698" s="69" t="s">
        <v>2427</v>
      </c>
      <c r="K698" s="69"/>
      <c r="L698" s="72" t="s">
        <v>2387</v>
      </c>
      <c r="M698" s="72" t="b">
        <f t="shared" si="10"/>
        <v>0</v>
      </c>
    </row>
    <row r="699" spans="1:13" x14ac:dyDescent="0.25">
      <c r="A699" s="69" t="s">
        <v>2125</v>
      </c>
      <c r="B699" s="70"/>
      <c r="C699" s="69" t="s">
        <v>2509</v>
      </c>
      <c r="D699" s="71" t="s">
        <v>2392</v>
      </c>
      <c r="E699" s="69"/>
      <c r="F699" s="69">
        <v>30</v>
      </c>
      <c r="G699" s="69">
        <v>90</v>
      </c>
      <c r="H699" s="69" t="s">
        <v>2399</v>
      </c>
      <c r="I699" s="69" t="s">
        <v>2428</v>
      </c>
      <c r="J699" s="69" t="s">
        <v>2427</v>
      </c>
      <c r="K699" s="69"/>
      <c r="L699" s="72" t="s">
        <v>2392</v>
      </c>
      <c r="M699" s="72" t="b">
        <f t="shared" si="10"/>
        <v>1</v>
      </c>
    </row>
    <row r="700" spans="1:13" x14ac:dyDescent="0.25">
      <c r="A700" s="69" t="s">
        <v>2138</v>
      </c>
      <c r="B700" s="70"/>
      <c r="C700" s="69" t="s">
        <v>2507</v>
      </c>
      <c r="D700" s="71" t="s">
        <v>2392</v>
      </c>
      <c r="E700" s="69"/>
      <c r="F700" s="69">
        <v>30</v>
      </c>
      <c r="G700" s="69">
        <v>90</v>
      </c>
      <c r="H700" s="69" t="s">
        <v>2399</v>
      </c>
      <c r="I700" s="69" t="s">
        <v>2428</v>
      </c>
      <c r="J700" s="69" t="s">
        <v>2427</v>
      </c>
      <c r="K700" s="69"/>
      <c r="L700" s="72" t="s">
        <v>2392</v>
      </c>
      <c r="M700" s="72" t="b">
        <f t="shared" si="10"/>
        <v>1</v>
      </c>
    </row>
    <row r="701" spans="1:13" x14ac:dyDescent="0.25">
      <c r="A701" s="69" t="s">
        <v>2185</v>
      </c>
      <c r="B701" s="70"/>
      <c r="C701" s="69" t="s">
        <v>2507</v>
      </c>
      <c r="D701" s="71" t="s">
        <v>2392</v>
      </c>
      <c r="E701" s="69"/>
      <c r="F701" s="69">
        <v>30</v>
      </c>
      <c r="G701" s="69">
        <v>90</v>
      </c>
      <c r="H701" s="69" t="s">
        <v>2399</v>
      </c>
      <c r="I701" s="69" t="s">
        <v>2428</v>
      </c>
      <c r="J701" s="69" t="s">
        <v>2427</v>
      </c>
      <c r="K701" s="69"/>
      <c r="L701" s="72" t="s">
        <v>2392</v>
      </c>
      <c r="M701" s="72" t="b">
        <f t="shared" si="10"/>
        <v>1</v>
      </c>
    </row>
    <row r="702" spans="1:13" x14ac:dyDescent="0.25">
      <c r="A702" s="69" t="s">
        <v>2183</v>
      </c>
      <c r="B702" s="70"/>
      <c r="C702" s="69" t="s">
        <v>2507</v>
      </c>
      <c r="D702" s="71" t="s">
        <v>2392</v>
      </c>
      <c r="E702" s="69"/>
      <c r="F702" s="69">
        <v>30</v>
      </c>
      <c r="G702" s="69">
        <v>90</v>
      </c>
      <c r="H702" s="69" t="s">
        <v>2399</v>
      </c>
      <c r="I702" s="69" t="s">
        <v>2428</v>
      </c>
      <c r="J702" s="69" t="s">
        <v>2427</v>
      </c>
      <c r="K702" s="69"/>
      <c r="L702" s="72" t="s">
        <v>2392</v>
      </c>
      <c r="M702" s="72" t="b">
        <f t="shared" si="10"/>
        <v>1</v>
      </c>
    </row>
    <row r="703" spans="1:13" x14ac:dyDescent="0.25">
      <c r="A703" s="69" t="s">
        <v>2193</v>
      </c>
      <c r="B703" s="70"/>
      <c r="C703" s="69" t="s">
        <v>2507</v>
      </c>
      <c r="D703" s="71" t="s">
        <v>2392</v>
      </c>
      <c r="E703" s="69"/>
      <c r="F703" s="69">
        <v>30</v>
      </c>
      <c r="G703" s="69">
        <v>90</v>
      </c>
      <c r="H703" s="69" t="s">
        <v>2399</v>
      </c>
      <c r="I703" s="69" t="s">
        <v>2428</v>
      </c>
      <c r="J703" s="69" t="s">
        <v>2427</v>
      </c>
      <c r="K703" s="69"/>
      <c r="L703" s="72" t="s">
        <v>2392</v>
      </c>
      <c r="M703" s="72" t="b">
        <f t="shared" si="10"/>
        <v>1</v>
      </c>
    </row>
    <row r="704" spans="1:13" x14ac:dyDescent="0.25">
      <c r="A704" s="69" t="s">
        <v>2195</v>
      </c>
      <c r="B704" s="70"/>
      <c r="C704" s="69" t="s">
        <v>2507</v>
      </c>
      <c r="D704" s="71" t="s">
        <v>2392</v>
      </c>
      <c r="E704" s="69"/>
      <c r="F704" s="69">
        <v>30</v>
      </c>
      <c r="G704" s="69">
        <v>90</v>
      </c>
      <c r="H704" s="69" t="s">
        <v>2399</v>
      </c>
      <c r="I704" s="69" t="s">
        <v>2428</v>
      </c>
      <c r="J704" s="69" t="s">
        <v>2427</v>
      </c>
      <c r="K704" s="69"/>
      <c r="L704" s="72" t="s">
        <v>2392</v>
      </c>
      <c r="M704" s="72" t="b">
        <f t="shared" si="10"/>
        <v>1</v>
      </c>
    </row>
    <row r="705" spans="1:13" x14ac:dyDescent="0.25">
      <c r="A705" s="69" t="s">
        <v>1821</v>
      </c>
      <c r="B705" s="70">
        <v>44006932</v>
      </c>
      <c r="C705" s="69" t="s">
        <v>1766</v>
      </c>
      <c r="D705" s="71" t="s">
        <v>2392</v>
      </c>
      <c r="E705" s="69" t="s">
        <v>2388</v>
      </c>
      <c r="F705" s="69">
        <v>30</v>
      </c>
      <c r="G705" s="69">
        <v>0</v>
      </c>
      <c r="H705" s="69" t="s">
        <v>2399</v>
      </c>
      <c r="I705" s="69" t="s">
        <v>2394</v>
      </c>
      <c r="J705" s="69" t="s">
        <v>2427</v>
      </c>
      <c r="K705" s="69" t="s">
        <v>3011</v>
      </c>
      <c r="L705" s="72" t="s">
        <v>2387</v>
      </c>
      <c r="M705" s="72" t="b">
        <f t="shared" si="10"/>
        <v>0</v>
      </c>
    </row>
    <row r="706" spans="1:13" x14ac:dyDescent="0.25">
      <c r="A706" s="69" t="s">
        <v>201</v>
      </c>
      <c r="B706" s="70">
        <v>44000010</v>
      </c>
      <c r="C706" s="69" t="s">
        <v>28</v>
      </c>
      <c r="D706" s="71" t="s">
        <v>2387</v>
      </c>
      <c r="E706" s="69" t="s">
        <v>2388</v>
      </c>
      <c r="F706" s="69">
        <v>30</v>
      </c>
      <c r="G706" s="69">
        <v>60</v>
      </c>
      <c r="H706" s="69" t="s">
        <v>2399</v>
      </c>
      <c r="I706" s="69" t="s">
        <v>2471</v>
      </c>
      <c r="J706" s="69" t="s">
        <v>2415</v>
      </c>
      <c r="K706" s="69"/>
      <c r="L706" s="72" t="s">
        <v>2387</v>
      </c>
      <c r="M706" s="72" t="b">
        <f t="shared" ref="M706:M769" si="11">L706=D706</f>
        <v>1</v>
      </c>
    </row>
    <row r="707" spans="1:13" x14ac:dyDescent="0.25">
      <c r="A707" s="69" t="s">
        <v>1565</v>
      </c>
      <c r="B707" s="70" t="s">
        <v>3054</v>
      </c>
      <c r="C707" s="69" t="s">
        <v>933</v>
      </c>
      <c r="D707" s="71" t="s">
        <v>2387</v>
      </c>
      <c r="E707" s="69"/>
      <c r="F707" s="69">
        <v>30</v>
      </c>
      <c r="G707" s="69">
        <v>90</v>
      </c>
      <c r="H707" s="69" t="s">
        <v>2399</v>
      </c>
      <c r="I707" s="69" t="s">
        <v>2453</v>
      </c>
      <c r="J707" s="69" t="s">
        <v>2415</v>
      </c>
      <c r="K707" s="69" t="s">
        <v>3055</v>
      </c>
      <c r="L707" s="72" t="s">
        <v>2392</v>
      </c>
      <c r="M707" s="72" t="b">
        <f t="shared" si="11"/>
        <v>0</v>
      </c>
    </row>
    <row r="708" spans="1:13" x14ac:dyDescent="0.25">
      <c r="A708" s="69" t="s">
        <v>2316</v>
      </c>
      <c r="B708" s="70" t="s">
        <v>3056</v>
      </c>
      <c r="C708" s="69" t="s">
        <v>2445</v>
      </c>
      <c r="D708" s="71" t="s">
        <v>2392</v>
      </c>
      <c r="E708" s="69" t="s">
        <v>2388</v>
      </c>
      <c r="F708" s="69"/>
      <c r="G708" s="69"/>
      <c r="H708" s="69" t="s">
        <v>2472</v>
      </c>
      <c r="I708" s="69" t="s">
        <v>2410</v>
      </c>
      <c r="J708" s="69" t="s">
        <v>2415</v>
      </c>
      <c r="K708" s="69" t="s">
        <v>3055</v>
      </c>
      <c r="L708" s="72" t="s">
        <v>2392</v>
      </c>
      <c r="M708" s="72" t="b">
        <f t="shared" si="11"/>
        <v>1</v>
      </c>
    </row>
    <row r="709" spans="1:13" x14ac:dyDescent="0.25">
      <c r="A709" s="69" t="s">
        <v>232</v>
      </c>
      <c r="B709" s="70">
        <v>44006875</v>
      </c>
      <c r="C709" s="69" t="s">
        <v>2485</v>
      </c>
      <c r="D709" s="71" t="s">
        <v>2387</v>
      </c>
      <c r="E709" s="69" t="s">
        <v>2388</v>
      </c>
      <c r="F709" s="69">
        <v>30</v>
      </c>
      <c r="G709" s="69">
        <v>30</v>
      </c>
      <c r="H709" s="69" t="s">
        <v>2399</v>
      </c>
      <c r="I709" s="69" t="s">
        <v>2479</v>
      </c>
      <c r="J709" s="69" t="s">
        <v>2424</v>
      </c>
      <c r="K709" s="69" t="s">
        <v>3017</v>
      </c>
      <c r="L709" s="72" t="s">
        <v>2387</v>
      </c>
      <c r="M709" s="72" t="b">
        <f t="shared" si="11"/>
        <v>1</v>
      </c>
    </row>
    <row r="710" spans="1:13" x14ac:dyDescent="0.25">
      <c r="A710" s="69" t="s">
        <v>2205</v>
      </c>
      <c r="B710" s="70">
        <v>44006875</v>
      </c>
      <c r="C710" s="69" t="s">
        <v>2485</v>
      </c>
      <c r="D710" s="71" t="s">
        <v>2387</v>
      </c>
      <c r="E710" s="69" t="s">
        <v>2388</v>
      </c>
      <c r="F710" s="69">
        <v>30</v>
      </c>
      <c r="G710" s="69">
        <v>30</v>
      </c>
      <c r="H710" s="69" t="s">
        <v>2399</v>
      </c>
      <c r="I710" s="69" t="s">
        <v>2479</v>
      </c>
      <c r="J710" s="69" t="s">
        <v>2424</v>
      </c>
      <c r="K710" s="69" t="s">
        <v>3017</v>
      </c>
      <c r="L710" s="72" t="s">
        <v>2387</v>
      </c>
      <c r="M710" s="72" t="b">
        <f t="shared" si="11"/>
        <v>1</v>
      </c>
    </row>
    <row r="711" spans="1:13" x14ac:dyDescent="0.25">
      <c r="A711" s="69" t="s">
        <v>207</v>
      </c>
      <c r="B711" s="70">
        <v>44001833</v>
      </c>
      <c r="C711" s="69" t="s">
        <v>15</v>
      </c>
      <c r="D711" s="71" t="s">
        <v>2387</v>
      </c>
      <c r="E711" s="69" t="s">
        <v>2388</v>
      </c>
      <c r="F711" s="69">
        <v>30</v>
      </c>
      <c r="G711" s="69"/>
      <c r="H711" s="69" t="s">
        <v>2399</v>
      </c>
      <c r="I711" s="69" t="s">
        <v>2410</v>
      </c>
      <c r="J711" s="69" t="s">
        <v>2424</v>
      </c>
      <c r="K711" s="69"/>
      <c r="L711" s="72" t="s">
        <v>2387</v>
      </c>
      <c r="M711" s="72" t="b">
        <f t="shared" si="11"/>
        <v>1</v>
      </c>
    </row>
    <row r="712" spans="1:13" x14ac:dyDescent="0.25">
      <c r="A712" s="69" t="s">
        <v>196</v>
      </c>
      <c r="B712" s="70">
        <v>44001833</v>
      </c>
      <c r="C712" s="69" t="s">
        <v>15</v>
      </c>
      <c r="D712" s="71" t="s">
        <v>2387</v>
      </c>
      <c r="E712" s="69" t="s">
        <v>2388</v>
      </c>
      <c r="F712" s="69">
        <v>30</v>
      </c>
      <c r="G712" s="69">
        <v>60</v>
      </c>
      <c r="H712" s="69" t="s">
        <v>2399</v>
      </c>
      <c r="I712" s="69" t="s">
        <v>2479</v>
      </c>
      <c r="J712" s="69" t="s">
        <v>2424</v>
      </c>
      <c r="K712" s="69"/>
      <c r="L712" s="72" t="s">
        <v>2387</v>
      </c>
      <c r="M712" s="72" t="b">
        <f t="shared" si="11"/>
        <v>1</v>
      </c>
    </row>
    <row r="713" spans="1:13" x14ac:dyDescent="0.25">
      <c r="A713" s="69" t="s">
        <v>193</v>
      </c>
      <c r="B713" s="70">
        <v>44001833</v>
      </c>
      <c r="C713" s="69" t="s">
        <v>15</v>
      </c>
      <c r="D713" s="71" t="s">
        <v>2387</v>
      </c>
      <c r="E713" s="69" t="s">
        <v>2388</v>
      </c>
      <c r="F713" s="69">
        <v>30</v>
      </c>
      <c r="G713" s="69">
        <v>60</v>
      </c>
      <c r="H713" s="69" t="s">
        <v>2399</v>
      </c>
      <c r="I713" s="69" t="s">
        <v>2479</v>
      </c>
      <c r="J713" s="69" t="s">
        <v>2424</v>
      </c>
      <c r="K713" s="69"/>
      <c r="L713" s="72" t="s">
        <v>2387</v>
      </c>
      <c r="M713" s="72" t="b">
        <f t="shared" si="11"/>
        <v>1</v>
      </c>
    </row>
    <row r="714" spans="1:13" x14ac:dyDescent="0.25">
      <c r="A714" s="69" t="s">
        <v>190</v>
      </c>
      <c r="B714" s="70">
        <v>44001833</v>
      </c>
      <c r="C714" s="69" t="s">
        <v>15</v>
      </c>
      <c r="D714" s="71" t="s">
        <v>2387</v>
      </c>
      <c r="E714" s="69" t="s">
        <v>2388</v>
      </c>
      <c r="F714" s="69">
        <v>30</v>
      </c>
      <c r="G714" s="69">
        <v>60</v>
      </c>
      <c r="H714" s="69" t="s">
        <v>2399</v>
      </c>
      <c r="I714" s="69" t="s">
        <v>2479</v>
      </c>
      <c r="J714" s="69" t="s">
        <v>2424</v>
      </c>
      <c r="K714" s="69"/>
      <c r="L714" s="72" t="s">
        <v>2387</v>
      </c>
      <c r="M714" s="72" t="b">
        <f t="shared" si="11"/>
        <v>1</v>
      </c>
    </row>
    <row r="715" spans="1:13" x14ac:dyDescent="0.25">
      <c r="A715" s="69" t="s">
        <v>187</v>
      </c>
      <c r="B715" s="70">
        <v>44001833</v>
      </c>
      <c r="C715" s="69" t="s">
        <v>15</v>
      </c>
      <c r="D715" s="71" t="s">
        <v>2387</v>
      </c>
      <c r="E715" s="69" t="s">
        <v>2388</v>
      </c>
      <c r="F715" s="69">
        <v>30</v>
      </c>
      <c r="G715" s="69">
        <v>60</v>
      </c>
      <c r="H715" s="69" t="s">
        <v>2399</v>
      </c>
      <c r="I715" s="69" t="s">
        <v>2479</v>
      </c>
      <c r="J715" s="69" t="s">
        <v>2424</v>
      </c>
      <c r="K715" s="69"/>
      <c r="L715" s="72" t="s">
        <v>2387</v>
      </c>
      <c r="M715" s="72" t="b">
        <f t="shared" si="11"/>
        <v>1</v>
      </c>
    </row>
    <row r="716" spans="1:13" x14ac:dyDescent="0.25">
      <c r="A716" s="69" t="s">
        <v>2214</v>
      </c>
      <c r="B716" s="70">
        <v>44001833</v>
      </c>
      <c r="C716" s="69" t="s">
        <v>15</v>
      </c>
      <c r="D716" s="71" t="s">
        <v>2387</v>
      </c>
      <c r="E716" s="69" t="s">
        <v>2388</v>
      </c>
      <c r="F716" s="69">
        <v>30</v>
      </c>
      <c r="G716" s="69">
        <v>60</v>
      </c>
      <c r="H716" s="69" t="s">
        <v>2399</v>
      </c>
      <c r="I716" s="69" t="s">
        <v>2479</v>
      </c>
      <c r="J716" s="69" t="s">
        <v>2424</v>
      </c>
      <c r="K716" s="69"/>
      <c r="L716" s="72" t="s">
        <v>2387</v>
      </c>
      <c r="M716" s="72" t="b">
        <f t="shared" si="11"/>
        <v>1</v>
      </c>
    </row>
    <row r="717" spans="1:13" x14ac:dyDescent="0.25">
      <c r="A717" s="69" t="s">
        <v>2272</v>
      </c>
      <c r="B717" s="70">
        <v>44000498</v>
      </c>
      <c r="C717" s="69" t="s">
        <v>2499</v>
      </c>
      <c r="D717" s="71" t="s">
        <v>2392</v>
      </c>
      <c r="E717" s="69" t="s">
        <v>2388</v>
      </c>
      <c r="F717" s="69">
        <v>30</v>
      </c>
      <c r="G717" s="69">
        <v>30</v>
      </c>
      <c r="H717" s="69" t="s">
        <v>2486</v>
      </c>
      <c r="I717" s="69" t="s">
        <v>2463</v>
      </c>
      <c r="J717" s="69" t="s">
        <v>3214</v>
      </c>
      <c r="K717" s="69"/>
      <c r="L717" s="72" t="s">
        <v>2387</v>
      </c>
      <c r="M717" s="72" t="b">
        <f t="shared" si="11"/>
        <v>0</v>
      </c>
    </row>
    <row r="718" spans="1:13" x14ac:dyDescent="0.25">
      <c r="A718" s="69" t="s">
        <v>958</v>
      </c>
      <c r="B718" s="70">
        <v>44001733</v>
      </c>
      <c r="C718" s="69" t="s">
        <v>41</v>
      </c>
      <c r="D718" s="71" t="s">
        <v>2961</v>
      </c>
      <c r="E718" s="69" t="s">
        <v>2388</v>
      </c>
      <c r="F718" s="69">
        <v>30</v>
      </c>
      <c r="G718" s="69">
        <v>45</v>
      </c>
      <c r="H718" s="69" t="s">
        <v>2391</v>
      </c>
      <c r="I718" s="69" t="s">
        <v>2429</v>
      </c>
      <c r="J718" s="69" t="s">
        <v>2435</v>
      </c>
      <c r="K718" s="69"/>
      <c r="L718" s="72" t="s">
        <v>2387</v>
      </c>
      <c r="M718" s="72" t="b">
        <f t="shared" si="11"/>
        <v>0</v>
      </c>
    </row>
    <row r="719" spans="1:13" x14ac:dyDescent="0.25">
      <c r="A719" s="69" t="s">
        <v>2046</v>
      </c>
      <c r="B719" s="70">
        <v>44001733</v>
      </c>
      <c r="C719" s="69" t="s">
        <v>41</v>
      </c>
      <c r="D719" s="71" t="s">
        <v>2961</v>
      </c>
      <c r="E719" s="69" t="s">
        <v>2388</v>
      </c>
      <c r="F719" s="69">
        <v>30</v>
      </c>
      <c r="G719" s="69">
        <v>45</v>
      </c>
      <c r="H719" s="69" t="s">
        <v>2391</v>
      </c>
      <c r="I719" s="69" t="s">
        <v>2429</v>
      </c>
      <c r="J719" s="69" t="s">
        <v>2390</v>
      </c>
      <c r="K719" s="69"/>
      <c r="L719" s="72" t="s">
        <v>2387</v>
      </c>
      <c r="M719" s="72" t="b">
        <f t="shared" si="11"/>
        <v>0</v>
      </c>
    </row>
    <row r="720" spans="1:13" x14ac:dyDescent="0.25">
      <c r="A720" s="69" t="s">
        <v>703</v>
      </c>
      <c r="B720" s="70">
        <v>44001733</v>
      </c>
      <c r="C720" s="69" t="s">
        <v>41</v>
      </c>
      <c r="D720" s="71" t="s">
        <v>2961</v>
      </c>
      <c r="E720" s="69" t="s">
        <v>2388</v>
      </c>
      <c r="F720" s="69">
        <v>30</v>
      </c>
      <c r="G720" s="69">
        <v>45</v>
      </c>
      <c r="H720" s="69" t="s">
        <v>2391</v>
      </c>
      <c r="I720" s="69" t="s">
        <v>2429</v>
      </c>
      <c r="J720" s="69" t="s">
        <v>2424</v>
      </c>
      <c r="K720" s="69"/>
      <c r="L720" s="72" t="s">
        <v>2387</v>
      </c>
      <c r="M720" s="72" t="b">
        <f t="shared" si="11"/>
        <v>0</v>
      </c>
    </row>
    <row r="721" spans="1:13" x14ac:dyDescent="0.25">
      <c r="A721" s="69" t="s">
        <v>854</v>
      </c>
      <c r="B721" s="70"/>
      <c r="C721" s="69" t="s">
        <v>2510</v>
      </c>
      <c r="D721" s="71" t="s">
        <v>2387</v>
      </c>
      <c r="E721" s="69"/>
      <c r="F721" s="69">
        <v>30</v>
      </c>
      <c r="G721" s="69">
        <v>60</v>
      </c>
      <c r="H721" s="69" t="s">
        <v>2399</v>
      </c>
      <c r="I721" s="69" t="s">
        <v>2453</v>
      </c>
      <c r="J721" s="69" t="s">
        <v>2415</v>
      </c>
      <c r="K721" s="69" t="s">
        <v>3055</v>
      </c>
      <c r="L721" s="72" t="s">
        <v>2387</v>
      </c>
      <c r="M721" s="72" t="b">
        <f t="shared" si="11"/>
        <v>1</v>
      </c>
    </row>
    <row r="722" spans="1:13" x14ac:dyDescent="0.25">
      <c r="A722" s="69" t="s">
        <v>480</v>
      </c>
      <c r="B722" s="70">
        <v>44000010</v>
      </c>
      <c r="C722" s="69" t="s">
        <v>28</v>
      </c>
      <c r="D722" s="71" t="s">
        <v>2387</v>
      </c>
      <c r="E722" s="69" t="s">
        <v>2388</v>
      </c>
      <c r="F722" s="69">
        <v>30</v>
      </c>
      <c r="G722" s="69">
        <v>60</v>
      </c>
      <c r="H722" s="69" t="s">
        <v>2399</v>
      </c>
      <c r="I722" s="69" t="s">
        <v>2471</v>
      </c>
      <c r="J722" s="69" t="s">
        <v>2424</v>
      </c>
      <c r="K722" s="69"/>
      <c r="L722" s="72" t="s">
        <v>2387</v>
      </c>
      <c r="M722" s="72" t="b">
        <f t="shared" si="11"/>
        <v>1</v>
      </c>
    </row>
    <row r="723" spans="1:13" x14ac:dyDescent="0.25">
      <c r="A723" s="69" t="s">
        <v>2242</v>
      </c>
      <c r="B723" s="70">
        <v>44000020</v>
      </c>
      <c r="C723" s="69" t="s">
        <v>1141</v>
      </c>
      <c r="D723" s="71" t="s">
        <v>2961</v>
      </c>
      <c r="E723" s="69" t="s">
        <v>2388</v>
      </c>
      <c r="F723" s="69">
        <v>30</v>
      </c>
      <c r="G723" s="69">
        <v>0</v>
      </c>
      <c r="H723" s="69" t="s">
        <v>2412</v>
      </c>
      <c r="I723" s="69" t="s">
        <v>2410</v>
      </c>
      <c r="J723" s="69" t="s">
        <v>2424</v>
      </c>
      <c r="K723" s="69" t="s">
        <v>3057</v>
      </c>
      <c r="L723" s="72" t="s">
        <v>2392</v>
      </c>
      <c r="M723" s="72" t="b">
        <f t="shared" si="11"/>
        <v>0</v>
      </c>
    </row>
    <row r="724" spans="1:13" x14ac:dyDescent="0.25">
      <c r="A724" s="69" t="s">
        <v>1317</v>
      </c>
      <c r="B724" s="70">
        <v>44001772</v>
      </c>
      <c r="C724" s="69" t="s">
        <v>1019</v>
      </c>
      <c r="D724" s="71" t="s">
        <v>2387</v>
      </c>
      <c r="E724" s="69" t="s">
        <v>2388</v>
      </c>
      <c r="F724" s="69">
        <v>30</v>
      </c>
      <c r="G724" s="69">
        <v>90</v>
      </c>
      <c r="H724" s="69" t="s">
        <v>2399</v>
      </c>
      <c r="I724" s="69" t="s">
        <v>2400</v>
      </c>
      <c r="J724" s="69" t="s">
        <v>2398</v>
      </c>
      <c r="K724" s="69"/>
      <c r="L724" s="72" t="s">
        <v>2387</v>
      </c>
      <c r="M724" s="72" t="b">
        <f t="shared" si="11"/>
        <v>1</v>
      </c>
    </row>
    <row r="725" spans="1:13" x14ac:dyDescent="0.25">
      <c r="A725" s="69" t="s">
        <v>1274</v>
      </c>
      <c r="B725" s="70">
        <v>44000338</v>
      </c>
      <c r="C725" s="69" t="s">
        <v>1215</v>
      </c>
      <c r="D725" s="71" t="s">
        <v>2392</v>
      </c>
      <c r="E725" s="69" t="s">
        <v>2388</v>
      </c>
      <c r="F725" s="69">
        <v>30</v>
      </c>
      <c r="G725" s="69">
        <v>90</v>
      </c>
      <c r="H725" s="69" t="s">
        <v>2472</v>
      </c>
      <c r="I725" s="69" t="s">
        <v>2451</v>
      </c>
      <c r="J725" s="69" t="s">
        <v>2398</v>
      </c>
      <c r="K725" s="69"/>
      <c r="L725" s="72" t="s">
        <v>2387</v>
      </c>
      <c r="M725" s="72" t="b">
        <f t="shared" si="11"/>
        <v>0</v>
      </c>
    </row>
    <row r="726" spans="1:13" x14ac:dyDescent="0.25">
      <c r="A726" s="69" t="s">
        <v>2299</v>
      </c>
      <c r="B726" s="70"/>
      <c r="C726" s="69" t="s">
        <v>2507</v>
      </c>
      <c r="D726" s="71" t="s">
        <v>2961</v>
      </c>
      <c r="E726" s="69"/>
      <c r="F726" s="69">
        <v>30</v>
      </c>
      <c r="G726" s="69">
        <v>90</v>
      </c>
      <c r="H726" s="69" t="s">
        <v>2399</v>
      </c>
      <c r="I726" s="69" t="s">
        <v>2405</v>
      </c>
      <c r="J726" s="69" t="s">
        <v>2406</v>
      </c>
      <c r="K726" s="69"/>
      <c r="L726" s="72" t="s">
        <v>2387</v>
      </c>
      <c r="M726" s="72" t="b">
        <f t="shared" si="11"/>
        <v>0</v>
      </c>
    </row>
    <row r="727" spans="1:13" x14ac:dyDescent="0.25">
      <c r="A727" s="69" t="s">
        <v>1424</v>
      </c>
      <c r="B727" s="70">
        <v>44000338</v>
      </c>
      <c r="C727" s="69" t="s">
        <v>1215</v>
      </c>
      <c r="D727" s="71" t="s">
        <v>2392</v>
      </c>
      <c r="E727" s="69" t="s">
        <v>2388</v>
      </c>
      <c r="F727" s="69">
        <v>15</v>
      </c>
      <c r="G727" s="69">
        <v>90</v>
      </c>
      <c r="H727" s="69" t="s">
        <v>2472</v>
      </c>
      <c r="I727" s="69" t="s">
        <v>2451</v>
      </c>
      <c r="J727" s="69" t="s">
        <v>2398</v>
      </c>
      <c r="K727" s="69"/>
      <c r="L727" s="72" t="s">
        <v>2387</v>
      </c>
      <c r="M727" s="72" t="b">
        <f t="shared" si="11"/>
        <v>0</v>
      </c>
    </row>
    <row r="728" spans="1:13" x14ac:dyDescent="0.25">
      <c r="A728" s="69" t="s">
        <v>1421</v>
      </c>
      <c r="B728" s="70">
        <v>44000338</v>
      </c>
      <c r="C728" s="69" t="s">
        <v>1215</v>
      </c>
      <c r="D728" s="71" t="s">
        <v>2392</v>
      </c>
      <c r="E728" s="69" t="s">
        <v>2388</v>
      </c>
      <c r="F728" s="69">
        <v>15</v>
      </c>
      <c r="G728" s="69">
        <v>90</v>
      </c>
      <c r="H728" s="69" t="s">
        <v>2472</v>
      </c>
      <c r="I728" s="69" t="s">
        <v>2451</v>
      </c>
      <c r="J728" s="69" t="s">
        <v>2398</v>
      </c>
      <c r="K728" s="69"/>
      <c r="L728" s="72" t="s">
        <v>2387</v>
      </c>
      <c r="M728" s="72" t="b">
        <f t="shared" si="11"/>
        <v>0</v>
      </c>
    </row>
    <row r="729" spans="1:13" x14ac:dyDescent="0.25">
      <c r="A729" s="69" t="s">
        <v>1418</v>
      </c>
      <c r="B729" s="70">
        <v>44000338</v>
      </c>
      <c r="C729" s="69" t="s">
        <v>1215</v>
      </c>
      <c r="D729" s="71" t="s">
        <v>2392</v>
      </c>
      <c r="E729" s="69" t="s">
        <v>2388</v>
      </c>
      <c r="F729" s="69">
        <v>15</v>
      </c>
      <c r="G729" s="69">
        <v>90</v>
      </c>
      <c r="H729" s="69" t="s">
        <v>2472</v>
      </c>
      <c r="I729" s="69" t="s">
        <v>2451</v>
      </c>
      <c r="J729" s="69" t="s">
        <v>2398</v>
      </c>
      <c r="K729" s="69"/>
      <c r="L729" s="72" t="s">
        <v>2387</v>
      </c>
      <c r="M729" s="72" t="b">
        <f t="shared" si="11"/>
        <v>0</v>
      </c>
    </row>
    <row r="730" spans="1:13" x14ac:dyDescent="0.25">
      <c r="A730" s="69" t="s">
        <v>2153</v>
      </c>
      <c r="B730" s="70">
        <v>44000338</v>
      </c>
      <c r="C730" s="69" t="s">
        <v>1215</v>
      </c>
      <c r="D730" s="71" t="s">
        <v>2392</v>
      </c>
      <c r="E730" s="69" t="s">
        <v>2388</v>
      </c>
      <c r="F730" s="69">
        <v>15</v>
      </c>
      <c r="G730" s="69">
        <v>90</v>
      </c>
      <c r="H730" s="69" t="s">
        <v>2472</v>
      </c>
      <c r="I730" s="69" t="s">
        <v>2451</v>
      </c>
      <c r="J730" s="69" t="s">
        <v>2398</v>
      </c>
      <c r="K730" s="69"/>
      <c r="L730" s="72" t="s">
        <v>2387</v>
      </c>
      <c r="M730" s="72" t="b">
        <f t="shared" si="11"/>
        <v>0</v>
      </c>
    </row>
    <row r="731" spans="1:13" x14ac:dyDescent="0.25">
      <c r="A731" s="69" t="s">
        <v>1415</v>
      </c>
      <c r="B731" s="70">
        <v>44000338</v>
      </c>
      <c r="C731" s="69" t="s">
        <v>1215</v>
      </c>
      <c r="D731" s="71" t="s">
        <v>2392</v>
      </c>
      <c r="E731" s="69" t="s">
        <v>2388</v>
      </c>
      <c r="F731" s="69">
        <v>15</v>
      </c>
      <c r="G731" s="69">
        <v>90</v>
      </c>
      <c r="H731" s="69" t="s">
        <v>2472</v>
      </c>
      <c r="I731" s="69" t="s">
        <v>2451</v>
      </c>
      <c r="J731" s="69" t="s">
        <v>2398</v>
      </c>
      <c r="K731" s="69"/>
      <c r="L731" s="72" t="s">
        <v>2387</v>
      </c>
      <c r="M731" s="72" t="b">
        <f t="shared" si="11"/>
        <v>0</v>
      </c>
    </row>
    <row r="732" spans="1:13" x14ac:dyDescent="0.25">
      <c r="A732" s="69" t="s">
        <v>1412</v>
      </c>
      <c r="B732" s="70">
        <v>44000338</v>
      </c>
      <c r="C732" s="69" t="s">
        <v>1215</v>
      </c>
      <c r="D732" s="71" t="s">
        <v>2392</v>
      </c>
      <c r="E732" s="69" t="s">
        <v>2388</v>
      </c>
      <c r="F732" s="69">
        <v>15</v>
      </c>
      <c r="G732" s="69">
        <v>90</v>
      </c>
      <c r="H732" s="69" t="s">
        <v>2472</v>
      </c>
      <c r="I732" s="69" t="s">
        <v>2451</v>
      </c>
      <c r="J732" s="69" t="s">
        <v>2398</v>
      </c>
      <c r="K732" s="69"/>
      <c r="L732" s="72" t="s">
        <v>2387</v>
      </c>
      <c r="M732" s="72" t="b">
        <f t="shared" si="11"/>
        <v>0</v>
      </c>
    </row>
    <row r="733" spans="1:13" x14ac:dyDescent="0.25">
      <c r="A733" s="69" t="s">
        <v>1409</v>
      </c>
      <c r="B733" s="70">
        <v>44000338</v>
      </c>
      <c r="C733" s="69" t="s">
        <v>1215</v>
      </c>
      <c r="D733" s="71" t="s">
        <v>2392</v>
      </c>
      <c r="E733" s="69" t="s">
        <v>2388</v>
      </c>
      <c r="F733" s="69">
        <v>15</v>
      </c>
      <c r="G733" s="69">
        <v>90</v>
      </c>
      <c r="H733" s="69" t="s">
        <v>2472</v>
      </c>
      <c r="I733" s="69" t="s">
        <v>2451</v>
      </c>
      <c r="J733" s="69" t="s">
        <v>2398</v>
      </c>
      <c r="K733" s="69"/>
      <c r="L733" s="72" t="s">
        <v>2387</v>
      </c>
      <c r="M733" s="72" t="b">
        <f t="shared" si="11"/>
        <v>0</v>
      </c>
    </row>
    <row r="734" spans="1:13" x14ac:dyDescent="0.25">
      <c r="A734" s="69" t="s">
        <v>1406</v>
      </c>
      <c r="B734" s="70">
        <v>44000338</v>
      </c>
      <c r="C734" s="69" t="s">
        <v>1215</v>
      </c>
      <c r="D734" s="71" t="s">
        <v>2392</v>
      </c>
      <c r="E734" s="69" t="s">
        <v>2388</v>
      </c>
      <c r="F734" s="69">
        <v>15</v>
      </c>
      <c r="G734" s="69">
        <v>90</v>
      </c>
      <c r="H734" s="69" t="s">
        <v>2472</v>
      </c>
      <c r="I734" s="69" t="s">
        <v>2451</v>
      </c>
      <c r="J734" s="69" t="s">
        <v>2398</v>
      </c>
      <c r="K734" s="69"/>
      <c r="L734" s="72" t="s">
        <v>2387</v>
      </c>
      <c r="M734" s="72" t="b">
        <f t="shared" si="11"/>
        <v>0</v>
      </c>
    </row>
    <row r="735" spans="1:13" x14ac:dyDescent="0.25">
      <c r="A735" s="69" t="s">
        <v>2511</v>
      </c>
      <c r="B735" s="70">
        <v>44000338</v>
      </c>
      <c r="C735" s="69" t="s">
        <v>1215</v>
      </c>
      <c r="D735" s="71" t="s">
        <v>2495</v>
      </c>
      <c r="E735" s="69" t="s">
        <v>2388</v>
      </c>
      <c r="F735" s="69" t="e">
        <v>#N/A</v>
      </c>
      <c r="G735" s="69" t="s">
        <v>3058</v>
      </c>
      <c r="H735" s="69" t="s">
        <v>2472</v>
      </c>
      <c r="I735" s="69" t="s">
        <v>2501</v>
      </c>
      <c r="J735" s="69" t="s">
        <v>2401</v>
      </c>
      <c r="K735" s="69" t="s">
        <v>3046</v>
      </c>
      <c r="L735" s="72" t="s">
        <v>2387</v>
      </c>
      <c r="M735" s="72" t="b">
        <f t="shared" si="11"/>
        <v>0</v>
      </c>
    </row>
    <row r="736" spans="1:13" x14ac:dyDescent="0.25">
      <c r="A736" s="69" t="s">
        <v>2512</v>
      </c>
      <c r="B736" s="70">
        <v>44000338</v>
      </c>
      <c r="C736" s="69" t="s">
        <v>1215</v>
      </c>
      <c r="D736" s="71" t="s">
        <v>2495</v>
      </c>
      <c r="E736" s="69" t="s">
        <v>2388</v>
      </c>
      <c r="F736" s="69" t="e">
        <v>#N/A</v>
      </c>
      <c r="G736" s="69" t="s">
        <v>3058</v>
      </c>
      <c r="H736" s="69" t="s">
        <v>2472</v>
      </c>
      <c r="I736" s="69" t="s">
        <v>2501</v>
      </c>
      <c r="J736" s="69" t="s">
        <v>2401</v>
      </c>
      <c r="K736" s="69" t="s">
        <v>3046</v>
      </c>
      <c r="L736" s="72" t="s">
        <v>2387</v>
      </c>
      <c r="M736" s="72" t="b">
        <f t="shared" si="11"/>
        <v>0</v>
      </c>
    </row>
    <row r="737" spans="1:13" x14ac:dyDescent="0.25">
      <c r="A737" s="69" t="s">
        <v>2152</v>
      </c>
      <c r="B737" s="70">
        <v>44000338</v>
      </c>
      <c r="C737" s="69" t="s">
        <v>1215</v>
      </c>
      <c r="D737" s="71" t="s">
        <v>2392</v>
      </c>
      <c r="E737" s="69" t="s">
        <v>2388</v>
      </c>
      <c r="F737" s="69">
        <v>15</v>
      </c>
      <c r="G737" s="69">
        <v>90</v>
      </c>
      <c r="H737" s="69" t="s">
        <v>2472</v>
      </c>
      <c r="I737" s="69" t="s">
        <v>2451</v>
      </c>
      <c r="J737" s="69" t="s">
        <v>2398</v>
      </c>
      <c r="K737" s="69"/>
      <c r="L737" s="72" t="s">
        <v>2387</v>
      </c>
      <c r="M737" s="72" t="b">
        <f t="shared" si="11"/>
        <v>0</v>
      </c>
    </row>
    <row r="738" spans="1:13" x14ac:dyDescent="0.25">
      <c r="A738" s="69" t="s">
        <v>1281</v>
      </c>
      <c r="B738" s="70">
        <v>44000338</v>
      </c>
      <c r="C738" s="69" t="s">
        <v>1215</v>
      </c>
      <c r="D738" s="71" t="s">
        <v>2392</v>
      </c>
      <c r="E738" s="69" t="s">
        <v>2388</v>
      </c>
      <c r="F738" s="69">
        <v>15</v>
      </c>
      <c r="G738" s="69">
        <v>90</v>
      </c>
      <c r="H738" s="69" t="s">
        <v>2472</v>
      </c>
      <c r="I738" s="69" t="s">
        <v>2451</v>
      </c>
      <c r="J738" s="69" t="s">
        <v>2398</v>
      </c>
      <c r="K738" s="69"/>
      <c r="L738" s="72" t="s">
        <v>2387</v>
      </c>
      <c r="M738" s="72" t="b">
        <f t="shared" si="11"/>
        <v>0</v>
      </c>
    </row>
    <row r="739" spans="1:13" x14ac:dyDescent="0.25">
      <c r="A739" s="69" t="s">
        <v>1262</v>
      </c>
      <c r="B739" s="70">
        <v>44000338</v>
      </c>
      <c r="C739" s="69" t="s">
        <v>1215</v>
      </c>
      <c r="D739" s="71" t="s">
        <v>2392</v>
      </c>
      <c r="E739" s="69" t="s">
        <v>2388</v>
      </c>
      <c r="F739" s="69">
        <v>15</v>
      </c>
      <c r="G739" s="69">
        <v>90</v>
      </c>
      <c r="H739" s="69" t="s">
        <v>2472</v>
      </c>
      <c r="I739" s="69" t="s">
        <v>2451</v>
      </c>
      <c r="J739" s="69" t="s">
        <v>2398</v>
      </c>
      <c r="K739" s="69"/>
      <c r="L739" s="72" t="s">
        <v>2387</v>
      </c>
      <c r="M739" s="72" t="b">
        <f t="shared" si="11"/>
        <v>0</v>
      </c>
    </row>
    <row r="740" spans="1:13" x14ac:dyDescent="0.25">
      <c r="A740" s="69" t="s">
        <v>2151</v>
      </c>
      <c r="B740" s="70">
        <v>44000338</v>
      </c>
      <c r="C740" s="69" t="s">
        <v>1215</v>
      </c>
      <c r="D740" s="71" t="s">
        <v>2392</v>
      </c>
      <c r="E740" s="69" t="s">
        <v>2388</v>
      </c>
      <c r="F740" s="69">
        <v>15</v>
      </c>
      <c r="G740" s="69">
        <v>90</v>
      </c>
      <c r="H740" s="69" t="s">
        <v>2472</v>
      </c>
      <c r="I740" s="69" t="s">
        <v>2451</v>
      </c>
      <c r="J740" s="69" t="s">
        <v>2398</v>
      </c>
      <c r="K740" s="69"/>
      <c r="L740" s="72" t="s">
        <v>2387</v>
      </c>
      <c r="M740" s="72" t="b">
        <f t="shared" si="11"/>
        <v>0</v>
      </c>
    </row>
    <row r="741" spans="1:13" x14ac:dyDescent="0.25">
      <c r="A741" s="69" t="s">
        <v>1250</v>
      </c>
      <c r="B741" s="70">
        <v>44000338</v>
      </c>
      <c r="C741" s="69" t="s">
        <v>1215</v>
      </c>
      <c r="D741" s="71" t="s">
        <v>2392</v>
      </c>
      <c r="E741" s="69" t="s">
        <v>2388</v>
      </c>
      <c r="F741" s="69">
        <v>15</v>
      </c>
      <c r="G741" s="69">
        <v>90</v>
      </c>
      <c r="H741" s="69" t="s">
        <v>2472</v>
      </c>
      <c r="I741" s="69" t="s">
        <v>2451</v>
      </c>
      <c r="J741" s="69" t="s">
        <v>2398</v>
      </c>
      <c r="K741" s="69"/>
      <c r="L741" s="72" t="s">
        <v>2387</v>
      </c>
      <c r="M741" s="72" t="b">
        <f t="shared" si="11"/>
        <v>0</v>
      </c>
    </row>
    <row r="742" spans="1:13" x14ac:dyDescent="0.25">
      <c r="A742" s="69" t="s">
        <v>1247</v>
      </c>
      <c r="B742" s="70">
        <v>44000338</v>
      </c>
      <c r="C742" s="69" t="s">
        <v>1215</v>
      </c>
      <c r="D742" s="71" t="s">
        <v>2392</v>
      </c>
      <c r="E742" s="69" t="s">
        <v>2388</v>
      </c>
      <c r="F742" s="69">
        <v>15</v>
      </c>
      <c r="G742" s="69">
        <v>90</v>
      </c>
      <c r="H742" s="69" t="s">
        <v>2472</v>
      </c>
      <c r="I742" s="69" t="s">
        <v>2451</v>
      </c>
      <c r="J742" s="69" t="s">
        <v>2398</v>
      </c>
      <c r="K742" s="69"/>
      <c r="L742" s="72" t="s">
        <v>2387</v>
      </c>
      <c r="M742" s="72" t="b">
        <f t="shared" si="11"/>
        <v>0</v>
      </c>
    </row>
    <row r="743" spans="1:13" x14ac:dyDescent="0.25">
      <c r="A743" s="69" t="s">
        <v>1244</v>
      </c>
      <c r="B743" s="70">
        <v>44000338</v>
      </c>
      <c r="C743" s="69" t="s">
        <v>1215</v>
      </c>
      <c r="D743" s="71" t="s">
        <v>2392</v>
      </c>
      <c r="E743" s="69" t="s">
        <v>2388</v>
      </c>
      <c r="F743" s="69">
        <v>15</v>
      </c>
      <c r="G743" s="69">
        <v>90</v>
      </c>
      <c r="H743" s="69" t="s">
        <v>2472</v>
      </c>
      <c r="I743" s="69" t="s">
        <v>2451</v>
      </c>
      <c r="J743" s="69" t="s">
        <v>2398</v>
      </c>
      <c r="K743" s="69"/>
      <c r="L743" s="72" t="s">
        <v>2387</v>
      </c>
      <c r="M743" s="72" t="b">
        <f t="shared" si="11"/>
        <v>0</v>
      </c>
    </row>
    <row r="744" spans="1:13" x14ac:dyDescent="0.25">
      <c r="A744" s="69" t="s">
        <v>1241</v>
      </c>
      <c r="B744" s="70">
        <v>44000338</v>
      </c>
      <c r="C744" s="69" t="s">
        <v>1215</v>
      </c>
      <c r="D744" s="71" t="s">
        <v>2392</v>
      </c>
      <c r="E744" s="69" t="s">
        <v>2388</v>
      </c>
      <c r="F744" s="69">
        <v>15</v>
      </c>
      <c r="G744" s="69">
        <v>90</v>
      </c>
      <c r="H744" s="69" t="s">
        <v>2472</v>
      </c>
      <c r="I744" s="69" t="s">
        <v>2451</v>
      </c>
      <c r="J744" s="69" t="s">
        <v>2398</v>
      </c>
      <c r="K744" s="69"/>
      <c r="L744" s="72" t="s">
        <v>2387</v>
      </c>
      <c r="M744" s="72" t="b">
        <f t="shared" si="11"/>
        <v>0</v>
      </c>
    </row>
    <row r="745" spans="1:13" x14ac:dyDescent="0.25">
      <c r="A745" s="69" t="s">
        <v>1238</v>
      </c>
      <c r="B745" s="70">
        <v>44000338</v>
      </c>
      <c r="C745" s="69" t="s">
        <v>1215</v>
      </c>
      <c r="D745" s="71" t="s">
        <v>2392</v>
      </c>
      <c r="E745" s="69" t="s">
        <v>2388</v>
      </c>
      <c r="F745" s="69">
        <v>15</v>
      </c>
      <c r="G745" s="69">
        <v>90</v>
      </c>
      <c r="H745" s="69" t="s">
        <v>2472</v>
      </c>
      <c r="I745" s="69" t="s">
        <v>2451</v>
      </c>
      <c r="J745" s="69" t="s">
        <v>2398</v>
      </c>
      <c r="K745" s="69"/>
      <c r="L745" s="72" t="s">
        <v>2387</v>
      </c>
      <c r="M745" s="72" t="b">
        <f t="shared" si="11"/>
        <v>0</v>
      </c>
    </row>
    <row r="746" spans="1:13" x14ac:dyDescent="0.25">
      <c r="A746" s="69" t="s">
        <v>1235</v>
      </c>
      <c r="B746" s="70">
        <v>44000338</v>
      </c>
      <c r="C746" s="69" t="s">
        <v>1215</v>
      </c>
      <c r="D746" s="71" t="s">
        <v>2392</v>
      </c>
      <c r="E746" s="69" t="s">
        <v>2388</v>
      </c>
      <c r="F746" s="69">
        <v>15</v>
      </c>
      <c r="G746" s="69">
        <v>90</v>
      </c>
      <c r="H746" s="69" t="s">
        <v>2472</v>
      </c>
      <c r="I746" s="69" t="s">
        <v>2451</v>
      </c>
      <c r="J746" s="69" t="s">
        <v>2398</v>
      </c>
      <c r="K746" s="69"/>
      <c r="L746" s="72" t="s">
        <v>2387</v>
      </c>
      <c r="M746" s="72" t="b">
        <f t="shared" si="11"/>
        <v>0</v>
      </c>
    </row>
    <row r="747" spans="1:13" x14ac:dyDescent="0.25">
      <c r="A747" s="69" t="s">
        <v>1232</v>
      </c>
      <c r="B747" s="70">
        <v>44000338</v>
      </c>
      <c r="C747" s="69" t="s">
        <v>1215</v>
      </c>
      <c r="D747" s="71" t="s">
        <v>2392</v>
      </c>
      <c r="E747" s="69" t="s">
        <v>2388</v>
      </c>
      <c r="F747" s="69">
        <v>15</v>
      </c>
      <c r="G747" s="69">
        <v>90</v>
      </c>
      <c r="H747" s="69" t="s">
        <v>2472</v>
      </c>
      <c r="I747" s="69" t="s">
        <v>2451</v>
      </c>
      <c r="J747" s="69" t="s">
        <v>2398</v>
      </c>
      <c r="K747" s="69"/>
      <c r="L747" s="72" t="s">
        <v>2387</v>
      </c>
      <c r="M747" s="72" t="b">
        <f t="shared" si="11"/>
        <v>0</v>
      </c>
    </row>
    <row r="748" spans="1:13" x14ac:dyDescent="0.25">
      <c r="A748" s="69" t="s">
        <v>1229</v>
      </c>
      <c r="B748" s="70">
        <v>44000338</v>
      </c>
      <c r="C748" s="69" t="s">
        <v>1215</v>
      </c>
      <c r="D748" s="71" t="s">
        <v>2392</v>
      </c>
      <c r="E748" s="69" t="s">
        <v>2388</v>
      </c>
      <c r="F748" s="69">
        <v>15</v>
      </c>
      <c r="G748" s="69">
        <v>90</v>
      </c>
      <c r="H748" s="69" t="s">
        <v>2472</v>
      </c>
      <c r="I748" s="69" t="s">
        <v>2451</v>
      </c>
      <c r="J748" s="69" t="s">
        <v>2398</v>
      </c>
      <c r="K748" s="69"/>
      <c r="L748" s="72" t="s">
        <v>2387</v>
      </c>
      <c r="M748" s="72" t="b">
        <f t="shared" si="11"/>
        <v>0</v>
      </c>
    </row>
    <row r="749" spans="1:13" x14ac:dyDescent="0.25">
      <c r="A749" s="69" t="s">
        <v>1226</v>
      </c>
      <c r="B749" s="70">
        <v>44000338</v>
      </c>
      <c r="C749" s="69" t="s">
        <v>1215</v>
      </c>
      <c r="D749" s="71" t="s">
        <v>2392</v>
      </c>
      <c r="E749" s="69" t="s">
        <v>2388</v>
      </c>
      <c r="F749" s="69">
        <v>15</v>
      </c>
      <c r="G749" s="69">
        <v>90</v>
      </c>
      <c r="H749" s="69" t="s">
        <v>2472</v>
      </c>
      <c r="I749" s="69" t="s">
        <v>2451</v>
      </c>
      <c r="J749" s="69" t="s">
        <v>2398</v>
      </c>
      <c r="K749" s="69"/>
      <c r="L749" s="72" t="s">
        <v>2387</v>
      </c>
      <c r="M749" s="72" t="b">
        <f t="shared" si="11"/>
        <v>0</v>
      </c>
    </row>
    <row r="750" spans="1:13" x14ac:dyDescent="0.25">
      <c r="A750" s="69" t="s">
        <v>1223</v>
      </c>
      <c r="B750" s="70">
        <v>44000338</v>
      </c>
      <c r="C750" s="69" t="s">
        <v>1215</v>
      </c>
      <c r="D750" s="71" t="s">
        <v>2392</v>
      </c>
      <c r="E750" s="69" t="s">
        <v>2388</v>
      </c>
      <c r="F750" s="69">
        <v>15</v>
      </c>
      <c r="G750" s="69">
        <v>90</v>
      </c>
      <c r="H750" s="69" t="s">
        <v>2472</v>
      </c>
      <c r="I750" s="69" t="s">
        <v>2451</v>
      </c>
      <c r="J750" s="69" t="s">
        <v>2398</v>
      </c>
      <c r="K750" s="69"/>
      <c r="L750" s="72" t="s">
        <v>2387</v>
      </c>
      <c r="M750" s="72" t="b">
        <f t="shared" si="11"/>
        <v>0</v>
      </c>
    </row>
    <row r="751" spans="1:13" x14ac:dyDescent="0.25">
      <c r="A751" s="69" t="s">
        <v>1220</v>
      </c>
      <c r="B751" s="70">
        <v>44000338</v>
      </c>
      <c r="C751" s="69" t="s">
        <v>1215</v>
      </c>
      <c r="D751" s="71" t="s">
        <v>2392</v>
      </c>
      <c r="E751" s="69" t="s">
        <v>2388</v>
      </c>
      <c r="F751" s="69">
        <v>15</v>
      </c>
      <c r="G751" s="69">
        <v>90</v>
      </c>
      <c r="H751" s="69" t="s">
        <v>2472</v>
      </c>
      <c r="I751" s="69" t="s">
        <v>2451</v>
      </c>
      <c r="J751" s="69" t="s">
        <v>2398</v>
      </c>
      <c r="K751" s="69"/>
      <c r="L751" s="72" t="s">
        <v>2387</v>
      </c>
      <c r="M751" s="72" t="b">
        <f t="shared" si="11"/>
        <v>0</v>
      </c>
    </row>
    <row r="752" spans="1:13" x14ac:dyDescent="0.25">
      <c r="A752" s="69" t="s">
        <v>1217</v>
      </c>
      <c r="B752" s="70">
        <v>44000338</v>
      </c>
      <c r="C752" s="69" t="s">
        <v>1215</v>
      </c>
      <c r="D752" s="71" t="s">
        <v>2392</v>
      </c>
      <c r="E752" s="69" t="s">
        <v>2388</v>
      </c>
      <c r="F752" s="69">
        <v>15</v>
      </c>
      <c r="G752" s="69">
        <v>90</v>
      </c>
      <c r="H752" s="69" t="s">
        <v>2472</v>
      </c>
      <c r="I752" s="69" t="s">
        <v>2451</v>
      </c>
      <c r="J752" s="69" t="s">
        <v>2398</v>
      </c>
      <c r="K752" s="69"/>
      <c r="L752" s="72" t="s">
        <v>2387</v>
      </c>
      <c r="M752" s="72" t="b">
        <f t="shared" si="11"/>
        <v>0</v>
      </c>
    </row>
    <row r="753" spans="1:13" x14ac:dyDescent="0.25">
      <c r="A753" s="69" t="s">
        <v>1213</v>
      </c>
      <c r="B753" s="70">
        <v>44000338</v>
      </c>
      <c r="C753" s="69" t="s">
        <v>1215</v>
      </c>
      <c r="D753" s="71" t="s">
        <v>2392</v>
      </c>
      <c r="E753" s="69" t="s">
        <v>2388</v>
      </c>
      <c r="F753" s="69">
        <v>15</v>
      </c>
      <c r="G753" s="69">
        <v>90</v>
      </c>
      <c r="H753" s="69" t="s">
        <v>2472</v>
      </c>
      <c r="I753" s="69" t="s">
        <v>2451</v>
      </c>
      <c r="J753" s="69" t="s">
        <v>2398</v>
      </c>
      <c r="K753" s="69"/>
      <c r="L753" s="72" t="s">
        <v>2387</v>
      </c>
      <c r="M753" s="72" t="b">
        <f t="shared" si="11"/>
        <v>0</v>
      </c>
    </row>
    <row r="754" spans="1:13" x14ac:dyDescent="0.25">
      <c r="A754" s="69" t="s">
        <v>926</v>
      </c>
      <c r="B754" s="70">
        <v>44000629</v>
      </c>
      <c r="C754" s="69" t="s">
        <v>929</v>
      </c>
      <c r="D754" s="71" t="s">
        <v>2961</v>
      </c>
      <c r="E754" s="69" t="s">
        <v>2388</v>
      </c>
      <c r="F754" s="69">
        <v>30</v>
      </c>
      <c r="G754" s="69">
        <v>45</v>
      </c>
      <c r="H754" s="69" t="s">
        <v>2472</v>
      </c>
      <c r="I754" s="69" t="s">
        <v>2423</v>
      </c>
      <c r="J754" s="69" t="s">
        <v>2390</v>
      </c>
      <c r="K754" s="69"/>
      <c r="L754" s="72" t="s">
        <v>2392</v>
      </c>
      <c r="M754" s="72" t="b">
        <f t="shared" si="11"/>
        <v>0</v>
      </c>
    </row>
    <row r="755" spans="1:13" x14ac:dyDescent="0.25">
      <c r="A755" s="69" t="s">
        <v>2351</v>
      </c>
      <c r="B755" s="70"/>
      <c r="C755" s="69" t="s">
        <v>2495</v>
      </c>
      <c r="D755" s="71" t="s">
        <v>2387</v>
      </c>
      <c r="E755" s="69" t="s">
        <v>2393</v>
      </c>
      <c r="F755" s="69">
        <v>60</v>
      </c>
      <c r="G755" s="69">
        <v>180</v>
      </c>
      <c r="H755" s="69" t="s">
        <v>2399</v>
      </c>
      <c r="I755" s="69" t="s">
        <v>2456</v>
      </c>
      <c r="J755" s="69" t="s">
        <v>3027</v>
      </c>
      <c r="K755" s="69"/>
      <c r="L755" s="72" t="s">
        <v>2392</v>
      </c>
      <c r="M755" s="72" t="b">
        <f t="shared" si="11"/>
        <v>0</v>
      </c>
    </row>
    <row r="756" spans="1:13" x14ac:dyDescent="0.25">
      <c r="A756" s="69" t="s">
        <v>234</v>
      </c>
      <c r="B756" s="70">
        <v>44000353</v>
      </c>
      <c r="C756" s="69" t="s">
        <v>2513</v>
      </c>
      <c r="D756" s="71" t="s">
        <v>2392</v>
      </c>
      <c r="E756" s="69" t="s">
        <v>2388</v>
      </c>
      <c r="F756" s="69">
        <v>30</v>
      </c>
      <c r="G756" s="69">
        <v>30</v>
      </c>
      <c r="H756" s="69" t="s">
        <v>2486</v>
      </c>
      <c r="I756" s="69" t="s">
        <v>2463</v>
      </c>
      <c r="J756" s="69" t="s">
        <v>3208</v>
      </c>
      <c r="K756" s="69"/>
      <c r="L756" s="72" t="s">
        <v>2387</v>
      </c>
      <c r="M756" s="72" t="b">
        <f t="shared" si="11"/>
        <v>0</v>
      </c>
    </row>
    <row r="757" spans="1:13" x14ac:dyDescent="0.25">
      <c r="A757" s="69" t="s">
        <v>2194</v>
      </c>
      <c r="B757" s="70">
        <v>44005684</v>
      </c>
      <c r="C757" s="69" t="s">
        <v>2514</v>
      </c>
      <c r="D757" s="71" t="s">
        <v>2961</v>
      </c>
      <c r="E757" s="69" t="s">
        <v>2388</v>
      </c>
      <c r="F757" s="69">
        <v>30</v>
      </c>
      <c r="G757" s="69">
        <v>90</v>
      </c>
      <c r="H757" s="69" t="s">
        <v>2449</v>
      </c>
      <c r="I757" s="69" t="s">
        <v>2420</v>
      </c>
      <c r="J757" s="69" t="s">
        <v>2427</v>
      </c>
      <c r="K757" s="69"/>
      <c r="L757" s="72" t="s">
        <v>2392</v>
      </c>
      <c r="M757" s="72" t="b">
        <f t="shared" si="11"/>
        <v>0</v>
      </c>
    </row>
    <row r="758" spans="1:13" x14ac:dyDescent="0.25">
      <c r="A758" s="69" t="s">
        <v>1747</v>
      </c>
      <c r="B758" s="70">
        <v>44005684</v>
      </c>
      <c r="C758" s="69" t="s">
        <v>2514</v>
      </c>
      <c r="D758" s="71" t="s">
        <v>2961</v>
      </c>
      <c r="E758" s="69" t="s">
        <v>2388</v>
      </c>
      <c r="F758" s="69">
        <v>30</v>
      </c>
      <c r="G758" s="69">
        <v>90</v>
      </c>
      <c r="H758" s="69" t="s">
        <v>2449</v>
      </c>
      <c r="I758" s="69" t="s">
        <v>2420</v>
      </c>
      <c r="J758" s="69" t="s">
        <v>2427</v>
      </c>
      <c r="K758" s="69"/>
      <c r="L758" s="72" t="s">
        <v>2392</v>
      </c>
      <c r="M758" s="72" t="b">
        <f t="shared" si="11"/>
        <v>0</v>
      </c>
    </row>
    <row r="759" spans="1:13" x14ac:dyDescent="0.25">
      <c r="A759" s="69" t="s">
        <v>2035</v>
      </c>
      <c r="B759" s="70">
        <v>44002036</v>
      </c>
      <c r="C759" s="69" t="s">
        <v>2515</v>
      </c>
      <c r="D759" s="71" t="s">
        <v>2961</v>
      </c>
      <c r="E759" s="69" t="s">
        <v>2388</v>
      </c>
      <c r="F759" s="69">
        <v>30</v>
      </c>
      <c r="G759" s="69">
        <v>45</v>
      </c>
      <c r="H759" s="69" t="s">
        <v>2391</v>
      </c>
      <c r="I759" s="69" t="s">
        <v>2429</v>
      </c>
      <c r="J759" s="69" t="s">
        <v>2421</v>
      </c>
      <c r="K759" s="69"/>
      <c r="L759" s="72" t="s">
        <v>2392</v>
      </c>
      <c r="M759" s="72" t="b">
        <f t="shared" si="11"/>
        <v>0</v>
      </c>
    </row>
    <row r="760" spans="1:13" x14ac:dyDescent="0.25">
      <c r="A760" s="69" t="s">
        <v>1987</v>
      </c>
      <c r="B760" s="70">
        <v>44002036</v>
      </c>
      <c r="C760" s="69" t="s">
        <v>2515</v>
      </c>
      <c r="D760" s="71" t="s">
        <v>2961</v>
      </c>
      <c r="E760" s="69" t="s">
        <v>2388</v>
      </c>
      <c r="F760" s="69">
        <v>30</v>
      </c>
      <c r="G760" s="69">
        <v>45</v>
      </c>
      <c r="H760" s="69" t="s">
        <v>2391</v>
      </c>
      <c r="I760" s="69" t="s">
        <v>2429</v>
      </c>
      <c r="J760" s="69" t="s">
        <v>2424</v>
      </c>
      <c r="K760" s="69"/>
      <c r="L760" s="72" t="s">
        <v>2392</v>
      </c>
      <c r="M760" s="72" t="b">
        <f t="shared" si="11"/>
        <v>0</v>
      </c>
    </row>
    <row r="761" spans="1:13" x14ac:dyDescent="0.25">
      <c r="A761" s="69" t="s">
        <v>2133</v>
      </c>
      <c r="B761" s="70">
        <v>44007361</v>
      </c>
      <c r="C761" s="69" t="s">
        <v>2516</v>
      </c>
      <c r="D761" s="71" t="s">
        <v>2392</v>
      </c>
      <c r="E761" s="69" t="s">
        <v>2388</v>
      </c>
      <c r="F761" s="69">
        <v>30</v>
      </c>
      <c r="G761" s="69">
        <f>3*30</f>
        <v>90</v>
      </c>
      <c r="H761" s="69" t="s">
        <v>2399</v>
      </c>
      <c r="I761" s="69" t="s">
        <v>2428</v>
      </c>
      <c r="J761" s="69" t="s">
        <v>2427</v>
      </c>
      <c r="K761" s="69"/>
      <c r="L761" s="72" t="s">
        <v>2392</v>
      </c>
      <c r="M761" s="72" t="b">
        <f t="shared" si="11"/>
        <v>1</v>
      </c>
    </row>
    <row r="762" spans="1:13" x14ac:dyDescent="0.25">
      <c r="A762" s="69" t="s">
        <v>203</v>
      </c>
      <c r="B762" s="70">
        <v>44000010</v>
      </c>
      <c r="C762" s="69" t="s">
        <v>28</v>
      </c>
      <c r="D762" s="71" t="s">
        <v>2387</v>
      </c>
      <c r="E762" s="69" t="s">
        <v>2388</v>
      </c>
      <c r="F762" s="69">
        <v>30</v>
      </c>
      <c r="G762" s="69">
        <v>60</v>
      </c>
      <c r="H762" s="69" t="s">
        <v>2399</v>
      </c>
      <c r="I762" s="69" t="s">
        <v>2471</v>
      </c>
      <c r="J762" s="69" t="s">
        <v>2415</v>
      </c>
      <c r="K762" s="69"/>
      <c r="L762" s="72" t="s">
        <v>2387</v>
      </c>
      <c r="M762" s="72" t="b">
        <f t="shared" si="11"/>
        <v>1</v>
      </c>
    </row>
    <row r="763" spans="1:13" x14ac:dyDescent="0.25">
      <c r="A763" s="69" t="s">
        <v>311</v>
      </c>
      <c r="B763" s="70">
        <v>44001002</v>
      </c>
      <c r="C763" s="69" t="s">
        <v>2517</v>
      </c>
      <c r="D763" s="71" t="s">
        <v>2392</v>
      </c>
      <c r="E763" s="69" t="s">
        <v>2388</v>
      </c>
      <c r="F763" s="69">
        <v>30</v>
      </c>
      <c r="G763" s="69">
        <v>0</v>
      </c>
      <c r="H763" s="69" t="s">
        <v>2472</v>
      </c>
      <c r="I763" s="69" t="s">
        <v>2463</v>
      </c>
      <c r="J763" s="69" t="s">
        <v>2444</v>
      </c>
      <c r="K763" s="69" t="s">
        <v>3013</v>
      </c>
      <c r="L763" s="72" t="s">
        <v>2392</v>
      </c>
      <c r="M763" s="72" t="b">
        <f t="shared" si="11"/>
        <v>1</v>
      </c>
    </row>
    <row r="764" spans="1:13" x14ac:dyDescent="0.25">
      <c r="A764" s="69" t="s">
        <v>449</v>
      </c>
      <c r="B764" s="70">
        <v>44007325</v>
      </c>
      <c r="C764" s="69" t="s">
        <v>3059</v>
      </c>
      <c r="D764" s="71" t="s">
        <v>2387</v>
      </c>
      <c r="E764" s="69" t="s">
        <v>2388</v>
      </c>
      <c r="F764" s="69">
        <v>30</v>
      </c>
      <c r="G764" s="69">
        <v>60</v>
      </c>
      <c r="H764" s="69" t="s">
        <v>2391</v>
      </c>
      <c r="I764" s="69" t="s">
        <v>2431</v>
      </c>
      <c r="J764" s="69" t="s">
        <v>2424</v>
      </c>
      <c r="K764" s="69"/>
      <c r="L764" s="72" t="s">
        <v>2387</v>
      </c>
      <c r="M764" s="72" t="b">
        <f t="shared" si="11"/>
        <v>1</v>
      </c>
    </row>
    <row r="765" spans="1:13" x14ac:dyDescent="0.25">
      <c r="A765" s="69" t="s">
        <v>2201</v>
      </c>
      <c r="B765" s="70"/>
      <c r="C765" s="69" t="s">
        <v>2518</v>
      </c>
      <c r="D765" s="71" t="s">
        <v>2387</v>
      </c>
      <c r="E765" s="69"/>
      <c r="F765" s="69">
        <v>30</v>
      </c>
      <c r="G765" s="69"/>
      <c r="H765" s="69" t="s">
        <v>2412</v>
      </c>
      <c r="I765" s="69" t="s">
        <v>2410</v>
      </c>
      <c r="J765" s="69" t="s">
        <v>2401</v>
      </c>
      <c r="K765" s="69"/>
      <c r="L765" s="72" t="s">
        <v>2392</v>
      </c>
      <c r="M765" s="72" t="b">
        <f t="shared" si="11"/>
        <v>0</v>
      </c>
    </row>
    <row r="766" spans="1:13" x14ac:dyDescent="0.25">
      <c r="A766" s="69" t="s">
        <v>2325</v>
      </c>
      <c r="B766" s="70"/>
      <c r="C766" s="69" t="s">
        <v>2518</v>
      </c>
      <c r="D766" s="71" t="s">
        <v>2387</v>
      </c>
      <c r="E766" s="69"/>
      <c r="F766" s="69"/>
      <c r="G766" s="69"/>
      <c r="H766" s="69" t="s">
        <v>2412</v>
      </c>
      <c r="I766" s="69" t="s">
        <v>2410</v>
      </c>
      <c r="J766" s="69" t="s">
        <v>3027</v>
      </c>
      <c r="K766" s="69"/>
      <c r="L766" s="72" t="s">
        <v>2392</v>
      </c>
      <c r="M766" s="72" t="b">
        <f t="shared" si="11"/>
        <v>0</v>
      </c>
    </row>
    <row r="767" spans="1:13" x14ac:dyDescent="0.25">
      <c r="A767" s="69" t="s">
        <v>1460</v>
      </c>
      <c r="B767" s="70"/>
      <c r="C767" s="69" t="s">
        <v>2518</v>
      </c>
      <c r="D767" s="71" t="s">
        <v>2387</v>
      </c>
      <c r="E767" s="69"/>
      <c r="F767" s="69">
        <v>30</v>
      </c>
      <c r="G767" s="69">
        <v>90</v>
      </c>
      <c r="H767" s="69" t="s">
        <v>2391</v>
      </c>
      <c r="I767" s="69" t="s">
        <v>2451</v>
      </c>
      <c r="J767" s="69" t="s">
        <v>2401</v>
      </c>
      <c r="K767" s="69" t="s">
        <v>3206</v>
      </c>
      <c r="L767" s="72" t="s">
        <v>2392</v>
      </c>
      <c r="M767" s="72" t="b">
        <f t="shared" si="11"/>
        <v>0</v>
      </c>
    </row>
    <row r="768" spans="1:13" x14ac:dyDescent="0.25">
      <c r="A768" s="69" t="s">
        <v>1457</v>
      </c>
      <c r="B768" s="70"/>
      <c r="C768" s="69" t="s">
        <v>2518</v>
      </c>
      <c r="D768" s="71" t="s">
        <v>2387</v>
      </c>
      <c r="E768" s="69"/>
      <c r="F768" s="69">
        <v>30</v>
      </c>
      <c r="G768" s="69">
        <v>90</v>
      </c>
      <c r="H768" s="69" t="s">
        <v>2391</v>
      </c>
      <c r="I768" s="69" t="s">
        <v>2451</v>
      </c>
      <c r="J768" s="69" t="s">
        <v>2401</v>
      </c>
      <c r="K768" s="69" t="s">
        <v>3206</v>
      </c>
      <c r="L768" s="72" t="s">
        <v>2392</v>
      </c>
      <c r="M768" s="72" t="b">
        <f t="shared" si="11"/>
        <v>0</v>
      </c>
    </row>
    <row r="769" spans="1:13" x14ac:dyDescent="0.25">
      <c r="A769" s="69" t="s">
        <v>1451</v>
      </c>
      <c r="B769" s="70"/>
      <c r="C769" s="69" t="s">
        <v>2518</v>
      </c>
      <c r="D769" s="71" t="s">
        <v>2387</v>
      </c>
      <c r="E769" s="69"/>
      <c r="F769" s="69"/>
      <c r="G769" s="69"/>
      <c r="H769" s="69" t="s">
        <v>2412</v>
      </c>
      <c r="I769" s="69" t="s">
        <v>2410</v>
      </c>
      <c r="J769" s="69" t="s">
        <v>2401</v>
      </c>
      <c r="K769" s="69"/>
      <c r="L769" s="72" t="s">
        <v>2392</v>
      </c>
      <c r="M769" s="72" t="b">
        <f t="shared" si="11"/>
        <v>0</v>
      </c>
    </row>
    <row r="770" spans="1:13" x14ac:dyDescent="0.25">
      <c r="A770" s="69" t="s">
        <v>1448</v>
      </c>
      <c r="B770" s="70"/>
      <c r="C770" s="69" t="s">
        <v>2518</v>
      </c>
      <c r="D770" s="71" t="s">
        <v>2387</v>
      </c>
      <c r="E770" s="69"/>
      <c r="F770" s="69">
        <v>30</v>
      </c>
      <c r="G770" s="69">
        <v>0</v>
      </c>
      <c r="H770" s="69" t="s">
        <v>2412</v>
      </c>
      <c r="I770" s="69" t="s">
        <v>2410</v>
      </c>
      <c r="J770" s="69" t="s">
        <v>2401</v>
      </c>
      <c r="K770" s="69"/>
      <c r="L770" s="72" t="s">
        <v>2392</v>
      </c>
      <c r="M770" s="72" t="b">
        <f t="shared" ref="M770:M833" si="12">L770=D770</f>
        <v>0</v>
      </c>
    </row>
    <row r="771" spans="1:13" x14ac:dyDescent="0.25">
      <c r="A771" s="69" t="s">
        <v>2291</v>
      </c>
      <c r="B771" s="70"/>
      <c r="C771" s="69" t="s">
        <v>2518</v>
      </c>
      <c r="D771" s="71" t="s">
        <v>2387</v>
      </c>
      <c r="E771" s="69"/>
      <c r="F771" s="69">
        <v>30</v>
      </c>
      <c r="G771" s="69">
        <v>0</v>
      </c>
      <c r="H771" s="69" t="s">
        <v>2412</v>
      </c>
      <c r="I771" s="69" t="s">
        <v>2410</v>
      </c>
      <c r="J771" s="69" t="s">
        <v>2401</v>
      </c>
      <c r="K771" s="69"/>
      <c r="L771" s="72" t="s">
        <v>2392</v>
      </c>
      <c r="M771" s="72" t="b">
        <f t="shared" si="12"/>
        <v>0</v>
      </c>
    </row>
    <row r="772" spans="1:13" x14ac:dyDescent="0.25">
      <c r="A772" s="69" t="s">
        <v>1444</v>
      </c>
      <c r="B772" s="70"/>
      <c r="C772" s="69" t="s">
        <v>2518</v>
      </c>
      <c r="D772" s="71" t="s">
        <v>2387</v>
      </c>
      <c r="E772" s="69"/>
      <c r="F772" s="69">
        <v>30</v>
      </c>
      <c r="G772" s="69">
        <v>90</v>
      </c>
      <c r="H772" s="69" t="s">
        <v>2391</v>
      </c>
      <c r="I772" s="69" t="s">
        <v>2451</v>
      </c>
      <c r="J772" s="69" t="s">
        <v>2401</v>
      </c>
      <c r="K772" s="69" t="s">
        <v>3215</v>
      </c>
      <c r="L772" s="72" t="s">
        <v>2392</v>
      </c>
      <c r="M772" s="72" t="b">
        <f t="shared" si="12"/>
        <v>0</v>
      </c>
    </row>
    <row r="773" spans="1:13" x14ac:dyDescent="0.25">
      <c r="A773" s="69" t="s">
        <v>1438</v>
      </c>
      <c r="B773" s="70"/>
      <c r="C773" s="69" t="s">
        <v>2518</v>
      </c>
      <c r="D773" s="71" t="s">
        <v>2387</v>
      </c>
      <c r="E773" s="69"/>
      <c r="F773" s="69"/>
      <c r="G773" s="69"/>
      <c r="H773" s="69" t="s">
        <v>2412</v>
      </c>
      <c r="I773" s="69" t="s">
        <v>2410</v>
      </c>
      <c r="J773" s="69" t="s">
        <v>3027</v>
      </c>
      <c r="K773" s="69"/>
      <c r="L773" s="72" t="s">
        <v>2392</v>
      </c>
      <c r="M773" s="72" t="b">
        <f t="shared" si="12"/>
        <v>0</v>
      </c>
    </row>
    <row r="774" spans="1:13" x14ac:dyDescent="0.25">
      <c r="A774" s="69" t="s">
        <v>370</v>
      </c>
      <c r="B774" s="70"/>
      <c r="C774" s="69" t="s">
        <v>2518</v>
      </c>
      <c r="D774" s="71" t="s">
        <v>2392</v>
      </c>
      <c r="E774" s="69"/>
      <c r="F774" s="69">
        <v>30</v>
      </c>
      <c r="G774" s="69">
        <v>0</v>
      </c>
      <c r="H774" s="69" t="s">
        <v>2472</v>
      </c>
      <c r="I774" s="69" t="s">
        <v>2463</v>
      </c>
      <c r="J774" s="69" t="s">
        <v>2444</v>
      </c>
      <c r="K774" s="69" t="s">
        <v>3013</v>
      </c>
      <c r="L774" s="72" t="s">
        <v>2392</v>
      </c>
      <c r="M774" s="72" t="b">
        <f t="shared" si="12"/>
        <v>1</v>
      </c>
    </row>
    <row r="775" spans="1:13" x14ac:dyDescent="0.25">
      <c r="A775" s="69" t="s">
        <v>337</v>
      </c>
      <c r="B775" s="70"/>
      <c r="C775" s="69" t="s">
        <v>2518</v>
      </c>
      <c r="D775" s="71" t="s">
        <v>2392</v>
      </c>
      <c r="E775" s="69"/>
      <c r="F775" s="69">
        <v>30</v>
      </c>
      <c r="G775" s="69">
        <v>30</v>
      </c>
      <c r="H775" s="69" t="s">
        <v>2472</v>
      </c>
      <c r="I775" s="69" t="s">
        <v>2410</v>
      </c>
      <c r="J775" s="69" t="s">
        <v>2444</v>
      </c>
      <c r="K775" s="69" t="s">
        <v>3211</v>
      </c>
      <c r="L775" s="72" t="s">
        <v>2392</v>
      </c>
      <c r="M775" s="72" t="b">
        <f t="shared" si="12"/>
        <v>1</v>
      </c>
    </row>
    <row r="776" spans="1:13" x14ac:dyDescent="0.25">
      <c r="A776" s="69" t="s">
        <v>2040</v>
      </c>
      <c r="B776" s="70">
        <v>44007136</v>
      </c>
      <c r="C776" s="69" t="s">
        <v>2944</v>
      </c>
      <c r="D776" s="71" t="s">
        <v>2387</v>
      </c>
      <c r="E776" s="69" t="s">
        <v>2388</v>
      </c>
      <c r="F776" s="69">
        <v>30</v>
      </c>
      <c r="G776" s="69">
        <v>90</v>
      </c>
      <c r="H776" s="69" t="s">
        <v>2391</v>
      </c>
      <c r="I776" s="69" t="s">
        <v>2431</v>
      </c>
      <c r="J776" s="69" t="s">
        <v>2427</v>
      </c>
      <c r="K776" s="69"/>
      <c r="L776" s="72" t="s">
        <v>2387</v>
      </c>
      <c r="M776" s="72" t="b">
        <f t="shared" si="12"/>
        <v>1</v>
      </c>
    </row>
    <row r="777" spans="1:13" x14ac:dyDescent="0.25">
      <c r="A777" s="69" t="s">
        <v>1848</v>
      </c>
      <c r="B777" s="70">
        <v>44001573</v>
      </c>
      <c r="C777" s="69" t="s">
        <v>2519</v>
      </c>
      <c r="D777" s="71" t="s">
        <v>2392</v>
      </c>
      <c r="E777" s="69" t="s">
        <v>2388</v>
      </c>
      <c r="F777" s="69">
        <v>30</v>
      </c>
      <c r="G777" s="69">
        <v>30</v>
      </c>
      <c r="H777" s="69" t="s">
        <v>2399</v>
      </c>
      <c r="I777" s="69" t="s">
        <v>2463</v>
      </c>
      <c r="J777" s="69" t="s">
        <v>3213</v>
      </c>
      <c r="K777" s="69" t="s">
        <v>3013</v>
      </c>
      <c r="L777" s="72" t="s">
        <v>2392</v>
      </c>
      <c r="M777" s="72" t="b">
        <f t="shared" si="12"/>
        <v>1</v>
      </c>
    </row>
    <row r="778" spans="1:13" x14ac:dyDescent="0.25">
      <c r="A778" s="69" t="s">
        <v>1756</v>
      </c>
      <c r="B778" s="70">
        <v>44001573</v>
      </c>
      <c r="C778" s="69" t="s">
        <v>2519</v>
      </c>
      <c r="D778" s="71" t="s">
        <v>2392</v>
      </c>
      <c r="E778" s="69" t="s">
        <v>2388</v>
      </c>
      <c r="F778" s="69">
        <v>30</v>
      </c>
      <c r="G778" s="69">
        <v>30</v>
      </c>
      <c r="H778" s="69" t="s">
        <v>2399</v>
      </c>
      <c r="I778" s="69" t="s">
        <v>2463</v>
      </c>
      <c r="J778" s="69" t="s">
        <v>3213</v>
      </c>
      <c r="K778" s="69" t="s">
        <v>3013</v>
      </c>
      <c r="L778" s="72" t="s">
        <v>2392</v>
      </c>
      <c r="M778" s="72" t="b">
        <f t="shared" si="12"/>
        <v>1</v>
      </c>
    </row>
    <row r="779" spans="1:13" x14ac:dyDescent="0.25">
      <c r="A779" s="69" t="s">
        <v>2187</v>
      </c>
      <c r="B779" s="70"/>
      <c r="C779" s="69"/>
      <c r="D779" s="71" t="s">
        <v>2387</v>
      </c>
      <c r="E779" s="69" t="s">
        <v>2393</v>
      </c>
      <c r="F779" s="69">
        <v>60</v>
      </c>
      <c r="G779" s="69">
        <v>180</v>
      </c>
      <c r="H779" s="69" t="s">
        <v>2399</v>
      </c>
      <c r="I779" s="69" t="s">
        <v>2456</v>
      </c>
      <c r="J779" s="69" t="s">
        <v>2401</v>
      </c>
      <c r="K779" s="69"/>
      <c r="L779" s="72" t="s">
        <v>2392</v>
      </c>
      <c r="M779" s="72" t="b">
        <f t="shared" si="12"/>
        <v>0</v>
      </c>
    </row>
    <row r="780" spans="1:13" x14ac:dyDescent="0.25">
      <c r="A780" s="69" t="s">
        <v>2338</v>
      </c>
      <c r="B780" s="70"/>
      <c r="C780" s="69" t="s">
        <v>2495</v>
      </c>
      <c r="D780" s="71" t="s">
        <v>2387</v>
      </c>
      <c r="E780" s="69" t="s">
        <v>2393</v>
      </c>
      <c r="F780" s="69">
        <v>60</v>
      </c>
      <c r="G780" s="69">
        <v>180</v>
      </c>
      <c r="H780" s="69" t="s">
        <v>2399</v>
      </c>
      <c r="I780" s="69" t="s">
        <v>2456</v>
      </c>
      <c r="J780" s="69" t="s">
        <v>3027</v>
      </c>
      <c r="K780" s="69"/>
      <c r="L780" s="72" t="s">
        <v>2392</v>
      </c>
      <c r="M780" s="72" t="b">
        <f t="shared" si="12"/>
        <v>0</v>
      </c>
    </row>
    <row r="781" spans="1:13" x14ac:dyDescent="0.25">
      <c r="A781" s="69" t="s">
        <v>2081</v>
      </c>
      <c r="B781" s="70"/>
      <c r="C781" s="69"/>
      <c r="D781" s="71" t="s">
        <v>2387</v>
      </c>
      <c r="E781" s="69" t="s">
        <v>2393</v>
      </c>
      <c r="F781" s="69">
        <v>60</v>
      </c>
      <c r="G781" s="69">
        <v>180</v>
      </c>
      <c r="H781" s="69" t="s">
        <v>2399</v>
      </c>
      <c r="I781" s="69" t="s">
        <v>2456</v>
      </c>
      <c r="J781" s="69" t="s">
        <v>2401</v>
      </c>
      <c r="K781" s="69"/>
      <c r="L781" s="72" t="s">
        <v>2392</v>
      </c>
      <c r="M781" s="72" t="b">
        <f t="shared" si="12"/>
        <v>0</v>
      </c>
    </row>
    <row r="782" spans="1:13" x14ac:dyDescent="0.25">
      <c r="A782" s="69" t="s">
        <v>2084</v>
      </c>
      <c r="B782" s="70"/>
      <c r="C782" s="69"/>
      <c r="D782" s="71" t="s">
        <v>2387</v>
      </c>
      <c r="E782" s="69" t="s">
        <v>2393</v>
      </c>
      <c r="F782" s="69">
        <v>60</v>
      </c>
      <c r="G782" s="69">
        <v>180</v>
      </c>
      <c r="H782" s="69" t="s">
        <v>2399</v>
      </c>
      <c r="I782" s="69" t="s">
        <v>2456</v>
      </c>
      <c r="J782" s="69" t="s">
        <v>2401</v>
      </c>
      <c r="K782" s="69"/>
      <c r="L782" s="72" t="s">
        <v>2392</v>
      </c>
      <c r="M782" s="72" t="b">
        <f t="shared" si="12"/>
        <v>0</v>
      </c>
    </row>
    <row r="783" spans="1:13" x14ac:dyDescent="0.25">
      <c r="A783" s="69" t="s">
        <v>2357</v>
      </c>
      <c r="B783" s="70" t="s">
        <v>3060</v>
      </c>
      <c r="C783" s="69" t="s">
        <v>2475</v>
      </c>
      <c r="D783" s="71" t="s">
        <v>2387</v>
      </c>
      <c r="E783" s="69" t="s">
        <v>2393</v>
      </c>
      <c r="F783" s="69">
        <v>60</v>
      </c>
      <c r="G783" s="69">
        <v>180</v>
      </c>
      <c r="H783" s="69" t="s">
        <v>2399</v>
      </c>
      <c r="I783" s="69" t="s">
        <v>2456</v>
      </c>
      <c r="J783" s="69" t="s">
        <v>3027</v>
      </c>
      <c r="K783" s="69"/>
      <c r="L783" s="72" t="s">
        <v>2387</v>
      </c>
      <c r="M783" s="72" t="b">
        <f t="shared" si="12"/>
        <v>1</v>
      </c>
    </row>
    <row r="784" spans="1:13" x14ac:dyDescent="0.25">
      <c r="A784" s="69" t="s">
        <v>2159</v>
      </c>
      <c r="B784" s="70"/>
      <c r="C784" s="69"/>
      <c r="D784" s="71" t="s">
        <v>2387</v>
      </c>
      <c r="E784" s="69" t="s">
        <v>2393</v>
      </c>
      <c r="F784" s="69">
        <v>60</v>
      </c>
      <c r="G784" s="69">
        <v>180</v>
      </c>
      <c r="H784" s="69" t="s">
        <v>2399</v>
      </c>
      <c r="I784" s="69" t="s">
        <v>2456</v>
      </c>
      <c r="J784" s="69" t="s">
        <v>2401</v>
      </c>
      <c r="K784" s="69"/>
      <c r="L784" s="72" t="s">
        <v>2392</v>
      </c>
      <c r="M784" s="72" t="b">
        <f t="shared" si="12"/>
        <v>0</v>
      </c>
    </row>
    <row r="785" spans="1:13" x14ac:dyDescent="0.25">
      <c r="A785" s="69" t="s">
        <v>2160</v>
      </c>
      <c r="B785" s="70"/>
      <c r="C785" s="69"/>
      <c r="D785" s="71" t="s">
        <v>2387</v>
      </c>
      <c r="E785" s="69" t="s">
        <v>2393</v>
      </c>
      <c r="F785" s="69">
        <v>60</v>
      </c>
      <c r="G785" s="69">
        <v>180</v>
      </c>
      <c r="H785" s="69" t="s">
        <v>2399</v>
      </c>
      <c r="I785" s="69" t="s">
        <v>2456</v>
      </c>
      <c r="J785" s="69" t="s">
        <v>2401</v>
      </c>
      <c r="K785" s="69"/>
      <c r="L785" s="72" t="s">
        <v>2392</v>
      </c>
      <c r="M785" s="72" t="b">
        <f t="shared" si="12"/>
        <v>0</v>
      </c>
    </row>
    <row r="786" spans="1:13" x14ac:dyDescent="0.25">
      <c r="A786" s="69" t="s">
        <v>2164</v>
      </c>
      <c r="B786" s="70"/>
      <c r="C786" s="69"/>
      <c r="D786" s="71" t="s">
        <v>2387</v>
      </c>
      <c r="E786" s="69" t="s">
        <v>2393</v>
      </c>
      <c r="F786" s="69">
        <v>60</v>
      </c>
      <c r="G786" s="69">
        <v>180</v>
      </c>
      <c r="H786" s="69" t="s">
        <v>2399</v>
      </c>
      <c r="I786" s="69" t="s">
        <v>2456</v>
      </c>
      <c r="J786" s="69" t="s">
        <v>2401</v>
      </c>
      <c r="K786" s="69"/>
      <c r="L786" s="72" t="s">
        <v>2392</v>
      </c>
      <c r="M786" s="72" t="b">
        <f t="shared" si="12"/>
        <v>0</v>
      </c>
    </row>
    <row r="787" spans="1:13" x14ac:dyDescent="0.25">
      <c r="A787" s="69" t="s">
        <v>850</v>
      </c>
      <c r="B787" s="70">
        <v>44007235</v>
      </c>
      <c r="C787" s="69" t="s">
        <v>857</v>
      </c>
      <c r="D787" s="71" t="s">
        <v>2392</v>
      </c>
      <c r="E787" s="69" t="s">
        <v>2388</v>
      </c>
      <c r="F787" s="79">
        <v>30</v>
      </c>
      <c r="G787" s="79">
        <v>90</v>
      </c>
      <c r="H787" s="69" t="s">
        <v>2395</v>
      </c>
      <c r="I787" s="69" t="s">
        <v>2453</v>
      </c>
      <c r="J787" s="69" t="s">
        <v>2415</v>
      </c>
      <c r="K787" s="69"/>
      <c r="L787" s="72" t="s">
        <v>2387</v>
      </c>
      <c r="M787" s="72" t="b">
        <f t="shared" si="12"/>
        <v>0</v>
      </c>
    </row>
    <row r="788" spans="1:13" x14ac:dyDescent="0.25">
      <c r="A788" s="69" t="s">
        <v>1655</v>
      </c>
      <c r="B788" s="70">
        <v>44000651</v>
      </c>
      <c r="C788" s="69" t="s">
        <v>2520</v>
      </c>
      <c r="D788" s="71" t="s">
        <v>2961</v>
      </c>
      <c r="E788" s="69" t="s">
        <v>2388</v>
      </c>
      <c r="F788" s="69">
        <v>30</v>
      </c>
      <c r="G788" s="69">
        <v>90</v>
      </c>
      <c r="H788" s="69" t="s">
        <v>2449</v>
      </c>
      <c r="I788" s="69" t="s">
        <v>2420</v>
      </c>
      <c r="J788" s="69" t="s">
        <v>2424</v>
      </c>
      <c r="K788" s="69"/>
      <c r="L788" s="72" t="s">
        <v>2392</v>
      </c>
      <c r="M788" s="72" t="b">
        <f t="shared" si="12"/>
        <v>0</v>
      </c>
    </row>
    <row r="789" spans="1:13" x14ac:dyDescent="0.25">
      <c r="A789" s="69" t="s">
        <v>524</v>
      </c>
      <c r="B789" s="70">
        <v>44000651</v>
      </c>
      <c r="C789" s="69" t="s">
        <v>2520</v>
      </c>
      <c r="D789" s="71" t="s">
        <v>2961</v>
      </c>
      <c r="E789" s="69" t="s">
        <v>2388</v>
      </c>
      <c r="F789" s="69">
        <v>30</v>
      </c>
      <c r="G789" s="69">
        <v>30</v>
      </c>
      <c r="H789" s="69" t="s">
        <v>2395</v>
      </c>
      <c r="I789" s="69" t="s">
        <v>2420</v>
      </c>
      <c r="J789" s="69" t="s">
        <v>2424</v>
      </c>
      <c r="K789" s="69"/>
      <c r="L789" s="72" t="s">
        <v>2392</v>
      </c>
      <c r="M789" s="72" t="b">
        <f t="shared" si="12"/>
        <v>0</v>
      </c>
    </row>
    <row r="790" spans="1:13" x14ac:dyDescent="0.25">
      <c r="A790" s="69" t="s">
        <v>2161</v>
      </c>
      <c r="B790" s="70">
        <v>44000651</v>
      </c>
      <c r="C790" s="69" t="s">
        <v>2520</v>
      </c>
      <c r="D790" s="71" t="s">
        <v>2392</v>
      </c>
      <c r="E790" s="69" t="s">
        <v>2388</v>
      </c>
      <c r="F790" s="69">
        <v>30</v>
      </c>
      <c r="G790" s="69">
        <v>0</v>
      </c>
      <c r="H790" s="69" t="s">
        <v>2395</v>
      </c>
      <c r="I790" s="69" t="s">
        <v>2394</v>
      </c>
      <c r="J790" s="69" t="s">
        <v>2394</v>
      </c>
      <c r="K790" s="69"/>
      <c r="L790" s="72" t="s">
        <v>2392</v>
      </c>
      <c r="M790" s="72" t="b">
        <f t="shared" si="12"/>
        <v>1</v>
      </c>
    </row>
    <row r="791" spans="1:13" x14ac:dyDescent="0.25">
      <c r="A791" s="69" t="s">
        <v>2173</v>
      </c>
      <c r="B791" s="70" t="s">
        <v>3060</v>
      </c>
      <c r="C791" s="69" t="s">
        <v>2475</v>
      </c>
      <c r="D791" s="71" t="s">
        <v>2387</v>
      </c>
      <c r="E791" s="69" t="s">
        <v>2393</v>
      </c>
      <c r="F791" s="69">
        <v>60</v>
      </c>
      <c r="G791" s="69">
        <v>180</v>
      </c>
      <c r="H791" s="69" t="s">
        <v>2399</v>
      </c>
      <c r="I791" s="69" t="s">
        <v>2456</v>
      </c>
      <c r="J791" s="69" t="s">
        <v>2394</v>
      </c>
      <c r="K791" s="69"/>
      <c r="L791" s="72" t="s">
        <v>2387</v>
      </c>
      <c r="M791" s="72" t="b">
        <f t="shared" si="12"/>
        <v>1</v>
      </c>
    </row>
    <row r="792" spans="1:13" x14ac:dyDescent="0.25">
      <c r="A792" s="69" t="s">
        <v>1995</v>
      </c>
      <c r="B792" s="70">
        <v>44001740</v>
      </c>
      <c r="C792" s="69" t="s">
        <v>714</v>
      </c>
      <c r="D792" s="71" t="s">
        <v>2961</v>
      </c>
      <c r="E792" s="69" t="s">
        <v>2388</v>
      </c>
      <c r="F792" s="69">
        <v>30</v>
      </c>
      <c r="G792" s="69">
        <v>90</v>
      </c>
      <c r="H792" s="69" t="s">
        <v>2391</v>
      </c>
      <c r="I792" s="69" t="s">
        <v>2431</v>
      </c>
      <c r="J792" s="69" t="s">
        <v>2416</v>
      </c>
      <c r="K792" s="69"/>
      <c r="L792" s="72" t="s">
        <v>2387</v>
      </c>
      <c r="M792" s="72" t="b">
        <f t="shared" si="12"/>
        <v>0</v>
      </c>
    </row>
    <row r="793" spans="1:13" x14ac:dyDescent="0.25">
      <c r="A793" s="69" t="s">
        <v>2047</v>
      </c>
      <c r="B793" s="70">
        <v>44001740</v>
      </c>
      <c r="C793" s="69" t="s">
        <v>714</v>
      </c>
      <c r="D793" s="71" t="s">
        <v>2961</v>
      </c>
      <c r="E793" s="69" t="s">
        <v>2388</v>
      </c>
      <c r="F793" s="69">
        <v>30</v>
      </c>
      <c r="G793" s="69">
        <v>30</v>
      </c>
      <c r="H793" s="69" t="s">
        <v>2391</v>
      </c>
      <c r="I793" s="69" t="s">
        <v>2442</v>
      </c>
      <c r="J793" s="69" t="s">
        <v>2390</v>
      </c>
      <c r="K793" s="69"/>
      <c r="L793" s="72" t="s">
        <v>2387</v>
      </c>
      <c r="M793" s="72" t="b">
        <f t="shared" si="12"/>
        <v>0</v>
      </c>
    </row>
    <row r="794" spans="1:13" x14ac:dyDescent="0.25">
      <c r="A794" s="69" t="s">
        <v>1999</v>
      </c>
      <c r="B794" s="70">
        <v>44001740</v>
      </c>
      <c r="C794" s="69" t="s">
        <v>714</v>
      </c>
      <c r="D794" s="71" t="s">
        <v>2961</v>
      </c>
      <c r="E794" s="69" t="s">
        <v>2388</v>
      </c>
      <c r="F794" s="69">
        <v>30</v>
      </c>
      <c r="G794" s="69">
        <v>90</v>
      </c>
      <c r="H794" s="69" t="s">
        <v>2391</v>
      </c>
      <c r="I794" s="69" t="s">
        <v>2431</v>
      </c>
      <c r="J794" s="69" t="s">
        <v>2416</v>
      </c>
      <c r="K794" s="69"/>
      <c r="L794" s="72" t="s">
        <v>2387</v>
      </c>
      <c r="M794" s="72" t="b">
        <f t="shared" si="12"/>
        <v>0</v>
      </c>
    </row>
    <row r="795" spans="1:13" x14ac:dyDescent="0.25">
      <c r="A795" s="69" t="s">
        <v>131</v>
      </c>
      <c r="B795" s="70">
        <v>44001740</v>
      </c>
      <c r="C795" s="69" t="s">
        <v>714</v>
      </c>
      <c r="D795" s="71" t="s">
        <v>2961</v>
      </c>
      <c r="E795" s="69" t="s">
        <v>2388</v>
      </c>
      <c r="F795" s="69">
        <v>30</v>
      </c>
      <c r="G795" s="69">
        <v>60</v>
      </c>
      <c r="H795" s="69" t="s">
        <v>2391</v>
      </c>
      <c r="I795" s="69" t="s">
        <v>2431</v>
      </c>
      <c r="J795" s="69" t="s">
        <v>2408</v>
      </c>
      <c r="K795" s="69"/>
      <c r="L795" s="72" t="s">
        <v>2387</v>
      </c>
      <c r="M795" s="72" t="b">
        <f t="shared" si="12"/>
        <v>0</v>
      </c>
    </row>
    <row r="796" spans="1:13" x14ac:dyDescent="0.25">
      <c r="A796" s="69" t="s">
        <v>1735</v>
      </c>
      <c r="B796" s="70">
        <v>44001740</v>
      </c>
      <c r="C796" s="69" t="s">
        <v>714</v>
      </c>
      <c r="D796" s="71" t="s">
        <v>2961</v>
      </c>
      <c r="E796" s="69" t="s">
        <v>2388</v>
      </c>
      <c r="F796" s="69">
        <v>30</v>
      </c>
      <c r="G796" s="69">
        <v>30</v>
      </c>
      <c r="H796" s="69" t="s">
        <v>2391</v>
      </c>
      <c r="I796" s="69" t="s">
        <v>2441</v>
      </c>
      <c r="J796" s="69" t="s">
        <v>2390</v>
      </c>
      <c r="K796" s="69"/>
      <c r="L796" s="72" t="s">
        <v>2387</v>
      </c>
      <c r="M796" s="72" t="b">
        <f t="shared" si="12"/>
        <v>0</v>
      </c>
    </row>
    <row r="797" spans="1:13" x14ac:dyDescent="0.25">
      <c r="A797" s="69" t="s">
        <v>1732</v>
      </c>
      <c r="B797" s="70">
        <v>44001740</v>
      </c>
      <c r="C797" s="69" t="s">
        <v>714</v>
      </c>
      <c r="D797" s="71" t="s">
        <v>2961</v>
      </c>
      <c r="E797" s="69" t="s">
        <v>2388</v>
      </c>
      <c r="F797" s="69">
        <v>30</v>
      </c>
      <c r="G797" s="69">
        <v>30</v>
      </c>
      <c r="H797" s="69" t="s">
        <v>2391</v>
      </c>
      <c r="I797" s="69" t="s">
        <v>2441</v>
      </c>
      <c r="J797" s="69" t="s">
        <v>2390</v>
      </c>
      <c r="K797" s="69"/>
      <c r="L797" s="72" t="s">
        <v>2387</v>
      </c>
      <c r="M797" s="72" t="b">
        <f t="shared" si="12"/>
        <v>0</v>
      </c>
    </row>
    <row r="798" spans="1:13" x14ac:dyDescent="0.25">
      <c r="A798" s="69" t="s">
        <v>725</v>
      </c>
      <c r="B798" s="70">
        <v>44001740</v>
      </c>
      <c r="C798" s="69" t="s">
        <v>714</v>
      </c>
      <c r="D798" s="71" t="s">
        <v>2961</v>
      </c>
      <c r="E798" s="69" t="s">
        <v>2388</v>
      </c>
      <c r="F798" s="69">
        <v>30</v>
      </c>
      <c r="G798" s="69">
        <v>90</v>
      </c>
      <c r="H798" s="69" t="s">
        <v>2391</v>
      </c>
      <c r="I798" s="69" t="s">
        <v>2431</v>
      </c>
      <c r="J798" s="69" t="s">
        <v>2521</v>
      </c>
      <c r="K798" s="69"/>
      <c r="L798" s="72" t="s">
        <v>2387</v>
      </c>
      <c r="M798" s="72" t="b">
        <f t="shared" si="12"/>
        <v>0</v>
      </c>
    </row>
    <row r="799" spans="1:13" x14ac:dyDescent="0.25">
      <c r="A799" s="69" t="s">
        <v>2010</v>
      </c>
      <c r="B799" s="70">
        <v>44001740</v>
      </c>
      <c r="C799" s="69" t="s">
        <v>714</v>
      </c>
      <c r="D799" s="71" t="s">
        <v>2961</v>
      </c>
      <c r="E799" s="69" t="s">
        <v>2388</v>
      </c>
      <c r="F799" s="69">
        <v>30</v>
      </c>
      <c r="G799" s="69">
        <v>30</v>
      </c>
      <c r="H799" s="69" t="s">
        <v>2391</v>
      </c>
      <c r="I799" s="69" t="s">
        <v>2442</v>
      </c>
      <c r="J799" s="69" t="s">
        <v>2390</v>
      </c>
      <c r="K799" s="69"/>
      <c r="L799" s="72" t="s">
        <v>2387</v>
      </c>
      <c r="M799" s="72" t="b">
        <f t="shared" si="12"/>
        <v>0</v>
      </c>
    </row>
    <row r="800" spans="1:13" x14ac:dyDescent="0.25">
      <c r="A800" s="69" t="s">
        <v>723</v>
      </c>
      <c r="B800" s="70">
        <v>44001740</v>
      </c>
      <c r="C800" s="69" t="s">
        <v>714</v>
      </c>
      <c r="D800" s="71" t="s">
        <v>2961</v>
      </c>
      <c r="E800" s="69" t="s">
        <v>2388</v>
      </c>
      <c r="F800" s="69">
        <v>30</v>
      </c>
      <c r="G800" s="69">
        <v>30</v>
      </c>
      <c r="H800" s="69" t="s">
        <v>2391</v>
      </c>
      <c r="I800" s="69" t="s">
        <v>2442</v>
      </c>
      <c r="J800" s="69" t="s">
        <v>2390</v>
      </c>
      <c r="K800" s="69"/>
      <c r="L800" s="72" t="s">
        <v>2387</v>
      </c>
      <c r="M800" s="72" t="b">
        <f t="shared" si="12"/>
        <v>0</v>
      </c>
    </row>
    <row r="801" spans="1:13" x14ac:dyDescent="0.25">
      <c r="A801" s="69" t="s">
        <v>721</v>
      </c>
      <c r="B801" s="70">
        <v>44001740</v>
      </c>
      <c r="C801" s="69" t="s">
        <v>714</v>
      </c>
      <c r="D801" s="71" t="s">
        <v>2961</v>
      </c>
      <c r="E801" s="69" t="s">
        <v>2388</v>
      </c>
      <c r="F801" s="69">
        <v>30</v>
      </c>
      <c r="G801" s="69">
        <v>30</v>
      </c>
      <c r="H801" s="69" t="s">
        <v>2391</v>
      </c>
      <c r="I801" s="69" t="s">
        <v>2442</v>
      </c>
      <c r="J801" s="69" t="s">
        <v>2390</v>
      </c>
      <c r="K801" s="69"/>
      <c r="L801" s="72" t="s">
        <v>2387</v>
      </c>
      <c r="M801" s="72" t="b">
        <f t="shared" si="12"/>
        <v>0</v>
      </c>
    </row>
    <row r="802" spans="1:13" x14ac:dyDescent="0.25">
      <c r="A802" s="69" t="s">
        <v>718</v>
      </c>
      <c r="B802" s="70">
        <v>44001740</v>
      </c>
      <c r="C802" s="69" t="s">
        <v>714</v>
      </c>
      <c r="D802" s="71" t="s">
        <v>2961</v>
      </c>
      <c r="E802" s="69" t="s">
        <v>2388</v>
      </c>
      <c r="F802" s="69">
        <v>30</v>
      </c>
      <c r="G802" s="69">
        <v>30</v>
      </c>
      <c r="H802" s="69" t="s">
        <v>2391</v>
      </c>
      <c r="I802" s="69" t="s">
        <v>2442</v>
      </c>
      <c r="J802" s="69" t="s">
        <v>2390</v>
      </c>
      <c r="K802" s="69"/>
      <c r="L802" s="72" t="s">
        <v>2387</v>
      </c>
      <c r="M802" s="72" t="b">
        <f t="shared" si="12"/>
        <v>0</v>
      </c>
    </row>
    <row r="803" spans="1:13" x14ac:dyDescent="0.25">
      <c r="A803" s="69" t="s">
        <v>715</v>
      </c>
      <c r="B803" s="70">
        <v>44001740</v>
      </c>
      <c r="C803" s="69" t="s">
        <v>714</v>
      </c>
      <c r="D803" s="71" t="s">
        <v>2961</v>
      </c>
      <c r="E803" s="69" t="s">
        <v>2388</v>
      </c>
      <c r="F803" s="69">
        <v>30</v>
      </c>
      <c r="G803" s="69">
        <v>30</v>
      </c>
      <c r="H803" s="69" t="s">
        <v>2391</v>
      </c>
      <c r="I803" s="69" t="s">
        <v>2442</v>
      </c>
      <c r="J803" s="69" t="s">
        <v>2390</v>
      </c>
      <c r="K803" s="69"/>
      <c r="L803" s="72" t="s">
        <v>2387</v>
      </c>
      <c r="M803" s="72" t="b">
        <f t="shared" si="12"/>
        <v>0</v>
      </c>
    </row>
    <row r="804" spans="1:13" x14ac:dyDescent="0.25">
      <c r="A804" s="69" t="s">
        <v>1524</v>
      </c>
      <c r="B804" s="70">
        <v>44001740</v>
      </c>
      <c r="C804" s="69" t="s">
        <v>714</v>
      </c>
      <c r="D804" s="71" t="s">
        <v>2961</v>
      </c>
      <c r="E804" s="69" t="s">
        <v>2388</v>
      </c>
      <c r="F804" s="69">
        <v>30</v>
      </c>
      <c r="G804" s="69">
        <v>90</v>
      </c>
      <c r="H804" s="69" t="s">
        <v>2391</v>
      </c>
      <c r="I804" s="69" t="s">
        <v>2431</v>
      </c>
      <c r="J804" s="69" t="s">
        <v>2416</v>
      </c>
      <c r="K804" s="69"/>
      <c r="L804" s="72" t="s">
        <v>2387</v>
      </c>
      <c r="M804" s="72" t="b">
        <f t="shared" si="12"/>
        <v>0</v>
      </c>
    </row>
    <row r="805" spans="1:13" x14ac:dyDescent="0.25">
      <c r="A805" s="69" t="s">
        <v>1842</v>
      </c>
      <c r="B805" s="70">
        <v>44001135</v>
      </c>
      <c r="C805" s="69" t="s">
        <v>1844</v>
      </c>
      <c r="D805" s="71" t="s">
        <v>2392</v>
      </c>
      <c r="E805" s="69" t="s">
        <v>2388</v>
      </c>
      <c r="F805" s="69">
        <v>30</v>
      </c>
      <c r="G805" s="69">
        <v>30</v>
      </c>
      <c r="H805" s="69" t="s">
        <v>2412</v>
      </c>
      <c r="I805" s="69" t="s">
        <v>2410</v>
      </c>
      <c r="J805" s="69" t="s">
        <v>2444</v>
      </c>
      <c r="K805" s="69" t="s">
        <v>3205</v>
      </c>
      <c r="L805" s="72" t="s">
        <v>2392</v>
      </c>
      <c r="M805" s="72" t="b">
        <f t="shared" si="12"/>
        <v>1</v>
      </c>
    </row>
    <row r="806" spans="1:13" x14ac:dyDescent="0.25">
      <c r="A806" s="69" t="s">
        <v>2174</v>
      </c>
      <c r="B806" s="70" t="s">
        <v>3060</v>
      </c>
      <c r="C806" s="69" t="s">
        <v>2475</v>
      </c>
      <c r="D806" s="71" t="s">
        <v>2387</v>
      </c>
      <c r="E806" s="69" t="s">
        <v>2393</v>
      </c>
      <c r="F806" s="69">
        <v>60</v>
      </c>
      <c r="G806" s="69">
        <v>180</v>
      </c>
      <c r="H806" s="69" t="s">
        <v>2449</v>
      </c>
      <c r="I806" s="69" t="s">
        <v>2456</v>
      </c>
      <c r="J806" s="69" t="s">
        <v>2394</v>
      </c>
      <c r="K806" s="69"/>
      <c r="L806" s="72" t="s">
        <v>2387</v>
      </c>
      <c r="M806" s="72" t="b">
        <f t="shared" si="12"/>
        <v>1</v>
      </c>
    </row>
    <row r="807" spans="1:13" x14ac:dyDescent="0.25">
      <c r="A807" s="69" t="s">
        <v>1568</v>
      </c>
      <c r="B807" s="70">
        <v>44001730</v>
      </c>
      <c r="C807" s="69" t="s">
        <v>2522</v>
      </c>
      <c r="D807" s="71" t="s">
        <v>2387</v>
      </c>
      <c r="E807" s="69" t="s">
        <v>2388</v>
      </c>
      <c r="F807" s="69">
        <v>30</v>
      </c>
      <c r="G807" s="69">
        <v>90</v>
      </c>
      <c r="H807" s="69" t="s">
        <v>2399</v>
      </c>
      <c r="I807" s="69" t="s">
        <v>2414</v>
      </c>
      <c r="J807" s="69" t="s">
        <v>2415</v>
      </c>
      <c r="K807" s="69"/>
      <c r="L807" s="72" t="s">
        <v>2387</v>
      </c>
      <c r="M807" s="72" t="b">
        <f t="shared" si="12"/>
        <v>1</v>
      </c>
    </row>
    <row r="808" spans="1:13" x14ac:dyDescent="0.25">
      <c r="A808" s="69" t="s">
        <v>1530</v>
      </c>
      <c r="B808" s="70">
        <v>44001730</v>
      </c>
      <c r="C808" s="69" t="s">
        <v>2522</v>
      </c>
      <c r="D808" s="71" t="s">
        <v>2387</v>
      </c>
      <c r="E808" s="69" t="s">
        <v>2388</v>
      </c>
      <c r="F808" s="69">
        <v>30</v>
      </c>
      <c r="G808" s="69">
        <v>90</v>
      </c>
      <c r="H808" s="69" t="s">
        <v>2399</v>
      </c>
      <c r="I808" s="69" t="s">
        <v>2414</v>
      </c>
      <c r="J808" s="69" t="s">
        <v>2415</v>
      </c>
      <c r="K808" s="69"/>
      <c r="L808" s="72" t="s">
        <v>2387</v>
      </c>
      <c r="M808" s="72" t="b">
        <f t="shared" si="12"/>
        <v>1</v>
      </c>
    </row>
    <row r="809" spans="1:13" x14ac:dyDescent="0.25">
      <c r="A809" s="69" t="s">
        <v>1517</v>
      </c>
      <c r="B809" s="70">
        <v>44001730</v>
      </c>
      <c r="C809" s="69" t="s">
        <v>2522</v>
      </c>
      <c r="D809" s="71" t="s">
        <v>2387</v>
      </c>
      <c r="E809" s="69" t="s">
        <v>2388</v>
      </c>
      <c r="F809" s="69">
        <v>30</v>
      </c>
      <c r="G809" s="69">
        <v>90</v>
      </c>
      <c r="H809" s="69" t="s">
        <v>2399</v>
      </c>
      <c r="I809" s="69" t="s">
        <v>2414</v>
      </c>
      <c r="J809" s="69" t="s">
        <v>2415</v>
      </c>
      <c r="K809" s="69"/>
      <c r="L809" s="72" t="s">
        <v>2387</v>
      </c>
      <c r="M809" s="72" t="b">
        <f t="shared" si="12"/>
        <v>1</v>
      </c>
    </row>
    <row r="810" spans="1:13" x14ac:dyDescent="0.25">
      <c r="A810" s="69" t="s">
        <v>2306</v>
      </c>
      <c r="B810" s="70" t="s">
        <v>3060</v>
      </c>
      <c r="C810" s="69" t="s">
        <v>2475</v>
      </c>
      <c r="D810" s="71" t="s">
        <v>2387</v>
      </c>
      <c r="E810" s="69" t="s">
        <v>2393</v>
      </c>
      <c r="F810" s="69">
        <v>60</v>
      </c>
      <c r="G810" s="69">
        <v>180</v>
      </c>
      <c r="H810" s="69" t="s">
        <v>2399</v>
      </c>
      <c r="I810" s="69" t="s">
        <v>2456</v>
      </c>
      <c r="J810" s="69" t="s">
        <v>2424</v>
      </c>
      <c r="K810" s="69"/>
      <c r="L810" s="72" t="s">
        <v>2387</v>
      </c>
      <c r="M810" s="72" t="b">
        <f t="shared" si="12"/>
        <v>1</v>
      </c>
    </row>
    <row r="811" spans="1:13" x14ac:dyDescent="0.25">
      <c r="A811" s="69" t="s">
        <v>2031</v>
      </c>
      <c r="B811" s="70" t="s">
        <v>3061</v>
      </c>
      <c r="C811" s="69" t="s">
        <v>2523</v>
      </c>
      <c r="D811" s="71" t="s">
        <v>2387</v>
      </c>
      <c r="E811" s="69" t="s">
        <v>2388</v>
      </c>
      <c r="F811" s="69">
        <v>30</v>
      </c>
      <c r="G811" s="69">
        <v>30</v>
      </c>
      <c r="H811" s="69" t="s">
        <v>2391</v>
      </c>
      <c r="I811" s="69" t="s">
        <v>2431</v>
      </c>
      <c r="J811" s="69" t="s">
        <v>2424</v>
      </c>
      <c r="K811" s="69"/>
      <c r="L811" s="72" t="s">
        <v>2392</v>
      </c>
      <c r="M811" s="72" t="b">
        <f t="shared" si="12"/>
        <v>0</v>
      </c>
    </row>
    <row r="812" spans="1:13" x14ac:dyDescent="0.25">
      <c r="A812" s="69" t="s">
        <v>2118</v>
      </c>
      <c r="B812" s="70">
        <v>44006932</v>
      </c>
      <c r="C812" s="69" t="s">
        <v>1766</v>
      </c>
      <c r="D812" s="71" t="s">
        <v>2392</v>
      </c>
      <c r="E812" s="69" t="s">
        <v>2388</v>
      </c>
      <c r="F812" s="69">
        <v>30</v>
      </c>
      <c r="G812" s="69">
        <v>90</v>
      </c>
      <c r="H812" s="69" t="s">
        <v>2399</v>
      </c>
      <c r="I812" s="69" t="s">
        <v>2428</v>
      </c>
      <c r="J812" s="69" t="s">
        <v>2427</v>
      </c>
      <c r="K812" s="69"/>
      <c r="L812" s="72" t="s">
        <v>2387</v>
      </c>
      <c r="M812" s="72" t="b">
        <f t="shared" si="12"/>
        <v>0</v>
      </c>
    </row>
    <row r="813" spans="1:13" x14ac:dyDescent="0.25">
      <c r="A813" s="69" t="s">
        <v>2120</v>
      </c>
      <c r="B813" s="70">
        <v>44006932</v>
      </c>
      <c r="C813" s="69" t="s">
        <v>1766</v>
      </c>
      <c r="D813" s="71" t="s">
        <v>2387</v>
      </c>
      <c r="E813" s="69" t="s">
        <v>2388</v>
      </c>
      <c r="F813" s="69">
        <v>30</v>
      </c>
      <c r="G813" s="69">
        <v>90</v>
      </c>
      <c r="H813" s="69" t="s">
        <v>2399</v>
      </c>
      <c r="I813" s="69" t="s">
        <v>2426</v>
      </c>
      <c r="J813" s="69" t="s">
        <v>2427</v>
      </c>
      <c r="K813" s="69"/>
      <c r="L813" s="72" t="s">
        <v>2387</v>
      </c>
      <c r="M813" s="72" t="b">
        <f t="shared" si="12"/>
        <v>1</v>
      </c>
    </row>
    <row r="814" spans="1:13" x14ac:dyDescent="0.25">
      <c r="A814" s="69" t="s">
        <v>2119</v>
      </c>
      <c r="B814" s="70">
        <v>44006932</v>
      </c>
      <c r="C814" s="69" t="s">
        <v>1766</v>
      </c>
      <c r="D814" s="71" t="s">
        <v>2392</v>
      </c>
      <c r="E814" s="69" t="s">
        <v>2388</v>
      </c>
      <c r="F814" s="69">
        <v>30</v>
      </c>
      <c r="G814" s="69">
        <v>90</v>
      </c>
      <c r="H814" s="69" t="s">
        <v>2399</v>
      </c>
      <c r="I814" s="69" t="s">
        <v>2428</v>
      </c>
      <c r="J814" s="69" t="s">
        <v>2427</v>
      </c>
      <c r="K814" s="69"/>
      <c r="L814" s="72" t="s">
        <v>2387</v>
      </c>
      <c r="M814" s="72" t="b">
        <f t="shared" si="12"/>
        <v>0</v>
      </c>
    </row>
    <row r="815" spans="1:13" x14ac:dyDescent="0.25">
      <c r="A815" s="69" t="s">
        <v>205</v>
      </c>
      <c r="B815" s="70">
        <v>44000010</v>
      </c>
      <c r="C815" s="69" t="s">
        <v>28</v>
      </c>
      <c r="D815" s="71" t="s">
        <v>2387</v>
      </c>
      <c r="E815" s="69" t="s">
        <v>2388</v>
      </c>
      <c r="F815" s="69">
        <v>30</v>
      </c>
      <c r="G815" s="69">
        <v>60</v>
      </c>
      <c r="H815" s="69" t="s">
        <v>2399</v>
      </c>
      <c r="I815" s="69" t="s">
        <v>2471</v>
      </c>
      <c r="J815" s="69" t="s">
        <v>2424</v>
      </c>
      <c r="K815" s="69"/>
      <c r="L815" s="72" t="s">
        <v>2387</v>
      </c>
      <c r="M815" s="72" t="b">
        <f t="shared" si="12"/>
        <v>1</v>
      </c>
    </row>
    <row r="816" spans="1:13" x14ac:dyDescent="0.25">
      <c r="A816" s="69" t="s">
        <v>2117</v>
      </c>
      <c r="B816" s="70">
        <v>44006932</v>
      </c>
      <c r="C816" s="69" t="s">
        <v>1766</v>
      </c>
      <c r="D816" s="71" t="s">
        <v>2392</v>
      </c>
      <c r="E816" s="69" t="s">
        <v>2388</v>
      </c>
      <c r="F816" s="69">
        <v>30</v>
      </c>
      <c r="G816" s="69">
        <v>0</v>
      </c>
      <c r="H816" s="69" t="s">
        <v>2399</v>
      </c>
      <c r="I816" s="69" t="s">
        <v>2394</v>
      </c>
      <c r="J816" s="69" t="s">
        <v>2427</v>
      </c>
      <c r="K816" s="69" t="s">
        <v>3011</v>
      </c>
      <c r="L816" s="72" t="s">
        <v>2387</v>
      </c>
      <c r="M816" s="72" t="b">
        <f t="shared" si="12"/>
        <v>0</v>
      </c>
    </row>
    <row r="817" spans="1:13" x14ac:dyDescent="0.25">
      <c r="A817" s="69" t="s">
        <v>2181</v>
      </c>
      <c r="B817" s="70">
        <v>44006932</v>
      </c>
      <c r="C817" s="69" t="s">
        <v>1766</v>
      </c>
      <c r="D817" s="71" t="s">
        <v>2392</v>
      </c>
      <c r="E817" s="69" t="s">
        <v>2388</v>
      </c>
      <c r="F817" s="69">
        <v>30</v>
      </c>
      <c r="G817" s="69">
        <v>0</v>
      </c>
      <c r="H817" s="69" t="s">
        <v>2399</v>
      </c>
      <c r="I817" s="69" t="s">
        <v>2394</v>
      </c>
      <c r="J817" s="69" t="s">
        <v>2427</v>
      </c>
      <c r="K817" s="69" t="s">
        <v>3011</v>
      </c>
      <c r="L817" s="72" t="s">
        <v>2387</v>
      </c>
      <c r="M817" s="72" t="b">
        <f t="shared" si="12"/>
        <v>0</v>
      </c>
    </row>
    <row r="818" spans="1:13" x14ac:dyDescent="0.25">
      <c r="A818" s="69" t="s">
        <v>2132</v>
      </c>
      <c r="B818" s="70">
        <v>44006932</v>
      </c>
      <c r="C818" s="69" t="s">
        <v>1766</v>
      </c>
      <c r="D818" s="71" t="s">
        <v>2392</v>
      </c>
      <c r="E818" s="69" t="s">
        <v>2388</v>
      </c>
      <c r="F818" s="69">
        <v>30</v>
      </c>
      <c r="G818" s="69">
        <v>0</v>
      </c>
      <c r="H818" s="69" t="s">
        <v>2399</v>
      </c>
      <c r="I818" s="69" t="s">
        <v>2394</v>
      </c>
      <c r="J818" s="69" t="s">
        <v>2427</v>
      </c>
      <c r="K818" s="69" t="s">
        <v>3011</v>
      </c>
      <c r="L818" s="72" t="s">
        <v>2387</v>
      </c>
      <c r="M818" s="72" t="b">
        <f t="shared" si="12"/>
        <v>0</v>
      </c>
    </row>
    <row r="819" spans="1:13" x14ac:dyDescent="0.25">
      <c r="A819" s="69" t="s">
        <v>1818</v>
      </c>
      <c r="B819" s="70">
        <v>44006932</v>
      </c>
      <c r="C819" s="69" t="s">
        <v>1766</v>
      </c>
      <c r="D819" s="71" t="s">
        <v>2392</v>
      </c>
      <c r="E819" s="69" t="s">
        <v>2388</v>
      </c>
      <c r="F819" s="69">
        <v>30</v>
      </c>
      <c r="G819" s="69">
        <v>90</v>
      </c>
      <c r="H819" s="69" t="s">
        <v>2399</v>
      </c>
      <c r="I819" s="69" t="s">
        <v>2428</v>
      </c>
      <c r="J819" s="69" t="s">
        <v>2427</v>
      </c>
      <c r="K819" s="69" t="s">
        <v>3017</v>
      </c>
      <c r="L819" s="72" t="s">
        <v>2387</v>
      </c>
      <c r="M819" s="72" t="b">
        <f t="shared" si="12"/>
        <v>0</v>
      </c>
    </row>
    <row r="820" spans="1:13" x14ac:dyDescent="0.25">
      <c r="A820" s="69" t="s">
        <v>2175</v>
      </c>
      <c r="B820" s="70" t="s">
        <v>3060</v>
      </c>
      <c r="C820" s="69" t="s">
        <v>2475</v>
      </c>
      <c r="D820" s="71" t="s">
        <v>2387</v>
      </c>
      <c r="E820" s="69" t="s">
        <v>2393</v>
      </c>
      <c r="F820" s="69">
        <v>60</v>
      </c>
      <c r="G820" s="69">
        <v>180</v>
      </c>
      <c r="H820" s="69" t="s">
        <v>2399</v>
      </c>
      <c r="I820" s="69" t="s">
        <v>2456</v>
      </c>
      <c r="J820" s="69" t="s">
        <v>2394</v>
      </c>
      <c r="K820" s="69"/>
      <c r="L820" s="72" t="s">
        <v>2387</v>
      </c>
      <c r="M820" s="72" t="b">
        <f t="shared" si="12"/>
        <v>1</v>
      </c>
    </row>
    <row r="821" spans="1:13" x14ac:dyDescent="0.25">
      <c r="A821" s="69" t="s">
        <v>2303</v>
      </c>
      <c r="B821" s="70" t="s">
        <v>3060</v>
      </c>
      <c r="C821" s="69" t="s">
        <v>2475</v>
      </c>
      <c r="D821" s="71" t="s">
        <v>2387</v>
      </c>
      <c r="E821" s="69" t="s">
        <v>2393</v>
      </c>
      <c r="F821" s="69">
        <v>60</v>
      </c>
      <c r="G821" s="69">
        <v>180</v>
      </c>
      <c r="H821" s="69" t="s">
        <v>2399</v>
      </c>
      <c r="I821" s="69" t="s">
        <v>2456</v>
      </c>
      <c r="J821" s="69" t="s">
        <v>2424</v>
      </c>
      <c r="K821" s="69"/>
      <c r="L821" s="72" t="s">
        <v>2387</v>
      </c>
      <c r="M821" s="72" t="b">
        <f t="shared" si="12"/>
        <v>1</v>
      </c>
    </row>
    <row r="822" spans="1:13" x14ac:dyDescent="0.25">
      <c r="A822" s="69" t="s">
        <v>2176</v>
      </c>
      <c r="B822" s="70" t="s">
        <v>3060</v>
      </c>
      <c r="C822" s="69" t="s">
        <v>2475</v>
      </c>
      <c r="D822" s="71" t="s">
        <v>2387</v>
      </c>
      <c r="E822" s="69" t="s">
        <v>2393</v>
      </c>
      <c r="F822" s="69">
        <v>60</v>
      </c>
      <c r="G822" s="69">
        <v>180</v>
      </c>
      <c r="H822" s="69" t="s">
        <v>2399</v>
      </c>
      <c r="I822" s="69" t="s">
        <v>2456</v>
      </c>
      <c r="J822" s="69" t="s">
        <v>2394</v>
      </c>
      <c r="K822" s="69"/>
      <c r="L822" s="72" t="s">
        <v>2387</v>
      </c>
      <c r="M822" s="72" t="b">
        <f t="shared" si="12"/>
        <v>1</v>
      </c>
    </row>
    <row r="823" spans="1:13" x14ac:dyDescent="0.25">
      <c r="A823" s="75" t="s">
        <v>2216</v>
      </c>
      <c r="B823" s="70">
        <v>44000038</v>
      </c>
      <c r="C823" s="69" t="s">
        <v>749</v>
      </c>
      <c r="D823" s="71" t="s">
        <v>2387</v>
      </c>
      <c r="E823" s="69" t="s">
        <v>2393</v>
      </c>
      <c r="F823" s="69">
        <v>60</v>
      </c>
      <c r="G823" s="69">
        <v>180</v>
      </c>
      <c r="H823" s="69" t="s">
        <v>2399</v>
      </c>
      <c r="I823" s="69" t="s">
        <v>2456</v>
      </c>
      <c r="J823" s="69" t="s">
        <v>2424</v>
      </c>
      <c r="K823" s="69"/>
      <c r="L823" s="72" t="s">
        <v>2387</v>
      </c>
      <c r="M823" s="72" t="b">
        <f t="shared" si="12"/>
        <v>1</v>
      </c>
    </row>
    <row r="824" spans="1:13" x14ac:dyDescent="0.25">
      <c r="A824" s="69" t="s">
        <v>2215</v>
      </c>
      <c r="B824" s="70">
        <v>44000038</v>
      </c>
      <c r="C824" s="69" t="s">
        <v>749</v>
      </c>
      <c r="D824" s="71" t="s">
        <v>2387</v>
      </c>
      <c r="E824" s="69" t="s">
        <v>2393</v>
      </c>
      <c r="F824" s="69">
        <v>60</v>
      </c>
      <c r="G824" s="69">
        <v>180</v>
      </c>
      <c r="H824" s="69" t="s">
        <v>2399</v>
      </c>
      <c r="I824" s="69" t="s">
        <v>2456</v>
      </c>
      <c r="J824" s="69" t="s">
        <v>2424</v>
      </c>
      <c r="K824" s="69"/>
      <c r="L824" s="72" t="s">
        <v>2387</v>
      </c>
      <c r="M824" s="72" t="b">
        <f t="shared" si="12"/>
        <v>1</v>
      </c>
    </row>
    <row r="825" spans="1:13" x14ac:dyDescent="0.25">
      <c r="A825" s="69" t="s">
        <v>2220</v>
      </c>
      <c r="B825" s="70">
        <v>44000038</v>
      </c>
      <c r="C825" s="69" t="s">
        <v>749</v>
      </c>
      <c r="D825" s="71" t="s">
        <v>2387</v>
      </c>
      <c r="E825" s="69" t="s">
        <v>2393</v>
      </c>
      <c r="F825" s="69">
        <v>60</v>
      </c>
      <c r="G825" s="69">
        <v>180</v>
      </c>
      <c r="H825" s="69" t="s">
        <v>2399</v>
      </c>
      <c r="I825" s="69" t="s">
        <v>2456</v>
      </c>
      <c r="J825" s="69" t="s">
        <v>2424</v>
      </c>
      <c r="K825" s="69"/>
      <c r="L825" s="72" t="s">
        <v>2387</v>
      </c>
      <c r="M825" s="72" t="b">
        <f t="shared" si="12"/>
        <v>1</v>
      </c>
    </row>
    <row r="826" spans="1:13" x14ac:dyDescent="0.25">
      <c r="A826" s="69" t="s">
        <v>13</v>
      </c>
      <c r="B826" s="70">
        <v>44001833</v>
      </c>
      <c r="C826" s="69" t="s">
        <v>15</v>
      </c>
      <c r="D826" s="71" t="s">
        <v>2387</v>
      </c>
      <c r="E826" s="69" t="s">
        <v>2388</v>
      </c>
      <c r="F826" s="69">
        <v>30</v>
      </c>
      <c r="G826" s="69">
        <v>60</v>
      </c>
      <c r="H826" s="69" t="s">
        <v>2399</v>
      </c>
      <c r="I826" s="69" t="s">
        <v>2479</v>
      </c>
      <c r="J826" s="69" t="s">
        <v>2424</v>
      </c>
      <c r="K826" s="69"/>
      <c r="L826" s="72" t="s">
        <v>2387</v>
      </c>
      <c r="M826" s="72" t="b">
        <f t="shared" si="12"/>
        <v>1</v>
      </c>
    </row>
    <row r="827" spans="1:13" x14ac:dyDescent="0.25">
      <c r="A827" s="69" t="s">
        <v>1400</v>
      </c>
      <c r="B827" s="70"/>
      <c r="C827" s="69"/>
      <c r="D827" s="71" t="s">
        <v>2392</v>
      </c>
      <c r="E827" s="69" t="s">
        <v>2388</v>
      </c>
      <c r="F827" s="69">
        <v>30</v>
      </c>
      <c r="G827" s="69">
        <v>0</v>
      </c>
      <c r="H827" s="69" t="s">
        <v>2412</v>
      </c>
      <c r="I827" s="69" t="s">
        <v>2410</v>
      </c>
      <c r="J827" s="69" t="s">
        <v>2410</v>
      </c>
      <c r="K827" s="69"/>
      <c r="L827" s="72" t="s">
        <v>2392</v>
      </c>
      <c r="M827" s="72" t="b">
        <f t="shared" si="12"/>
        <v>1</v>
      </c>
    </row>
    <row r="828" spans="1:13" x14ac:dyDescent="0.25">
      <c r="A828" s="69" t="s">
        <v>2121</v>
      </c>
      <c r="B828" s="70" t="s">
        <v>3062</v>
      </c>
      <c r="C828" s="69" t="s">
        <v>990</v>
      </c>
      <c r="D828" s="71" t="s">
        <v>2392</v>
      </c>
      <c r="E828" s="69" t="s">
        <v>2388</v>
      </c>
      <c r="F828" s="69"/>
      <c r="G828" s="69">
        <v>0</v>
      </c>
      <c r="H828" s="69" t="s">
        <v>2412</v>
      </c>
      <c r="I828" s="69" t="s">
        <v>2410</v>
      </c>
      <c r="J828" s="69" t="s">
        <v>2408</v>
      </c>
      <c r="K828" s="69" t="s">
        <v>3009</v>
      </c>
      <c r="L828" s="72" t="s">
        <v>2387</v>
      </c>
      <c r="M828" s="72" t="b">
        <f t="shared" si="12"/>
        <v>0</v>
      </c>
    </row>
    <row r="829" spans="1:13" x14ac:dyDescent="0.25">
      <c r="A829" s="69" t="s">
        <v>2292</v>
      </c>
      <c r="B829" s="70">
        <v>44007186</v>
      </c>
      <c r="C829" s="69" t="s">
        <v>702</v>
      </c>
      <c r="D829" s="71" t="s">
        <v>2387</v>
      </c>
      <c r="E829" s="69" t="s">
        <v>2388</v>
      </c>
      <c r="F829" s="69"/>
      <c r="G829" s="69">
        <v>0</v>
      </c>
      <c r="H829" s="69" t="s">
        <v>2391</v>
      </c>
      <c r="I829" s="69" t="s">
        <v>2394</v>
      </c>
      <c r="J829" s="69" t="s">
        <v>2394</v>
      </c>
      <c r="K829" s="69" t="s">
        <v>3063</v>
      </c>
      <c r="L829" s="72" t="s">
        <v>2392</v>
      </c>
      <c r="M829" s="72" t="b">
        <f t="shared" si="12"/>
        <v>0</v>
      </c>
    </row>
    <row r="830" spans="1:13" x14ac:dyDescent="0.25">
      <c r="A830" s="69" t="s">
        <v>1102</v>
      </c>
      <c r="B830" s="70" t="s">
        <v>3064</v>
      </c>
      <c r="C830" s="69" t="s">
        <v>148</v>
      </c>
      <c r="D830" s="71" t="s">
        <v>2392</v>
      </c>
      <c r="E830" s="69" t="s">
        <v>2388</v>
      </c>
      <c r="F830" s="69">
        <v>30</v>
      </c>
      <c r="G830" s="69">
        <v>30</v>
      </c>
      <c r="H830" s="69" t="s">
        <v>2486</v>
      </c>
      <c r="I830" s="69" t="s">
        <v>2463</v>
      </c>
      <c r="J830" s="69" t="s">
        <v>3214</v>
      </c>
      <c r="K830" s="69"/>
      <c r="L830" s="72" t="s">
        <v>2387</v>
      </c>
      <c r="M830" s="72" t="b">
        <f t="shared" si="12"/>
        <v>0</v>
      </c>
    </row>
    <row r="831" spans="1:13" x14ac:dyDescent="0.25">
      <c r="A831" s="69" t="s">
        <v>1991</v>
      </c>
      <c r="B831" s="70">
        <v>44000032</v>
      </c>
      <c r="C831" s="69" t="s">
        <v>2524</v>
      </c>
      <c r="D831" s="71" t="s">
        <v>2387</v>
      </c>
      <c r="E831" s="69" t="s">
        <v>2393</v>
      </c>
      <c r="F831" s="69">
        <v>30</v>
      </c>
      <c r="G831" s="69">
        <v>180</v>
      </c>
      <c r="H831" s="69" t="s">
        <v>2391</v>
      </c>
      <c r="I831" s="69" t="s">
        <v>2431</v>
      </c>
      <c r="J831" s="69" t="s">
        <v>2416</v>
      </c>
      <c r="K831" s="69"/>
      <c r="L831" s="72" t="s">
        <v>2392</v>
      </c>
      <c r="M831" s="72" t="b">
        <f t="shared" si="12"/>
        <v>0</v>
      </c>
    </row>
    <row r="832" spans="1:13" x14ac:dyDescent="0.25">
      <c r="A832" s="69" t="s">
        <v>2012</v>
      </c>
      <c r="B832" s="70">
        <v>44000032</v>
      </c>
      <c r="C832" s="69" t="s">
        <v>2524</v>
      </c>
      <c r="D832" s="71" t="s">
        <v>2387</v>
      </c>
      <c r="E832" s="69" t="s">
        <v>2393</v>
      </c>
      <c r="F832" s="69">
        <v>30</v>
      </c>
      <c r="G832" s="69">
        <v>180</v>
      </c>
      <c r="H832" s="69" t="s">
        <v>2391</v>
      </c>
      <c r="I832" s="69" t="s">
        <v>2431</v>
      </c>
      <c r="J832" s="69" t="s">
        <v>2416</v>
      </c>
      <c r="K832" s="69"/>
      <c r="L832" s="72" t="s">
        <v>2392</v>
      </c>
      <c r="M832" s="72" t="b">
        <f t="shared" si="12"/>
        <v>0</v>
      </c>
    </row>
    <row r="833" spans="1:13" x14ac:dyDescent="0.25">
      <c r="A833" s="69" t="s">
        <v>1100</v>
      </c>
      <c r="B833" s="70" t="s">
        <v>3065</v>
      </c>
      <c r="C833" s="69" t="s">
        <v>2525</v>
      </c>
      <c r="D833" s="71" t="s">
        <v>2961</v>
      </c>
      <c r="E833" s="69" t="s">
        <v>2388</v>
      </c>
      <c r="F833" s="69">
        <v>30</v>
      </c>
      <c r="G833" s="69">
        <v>180</v>
      </c>
      <c r="H833" s="69" t="s">
        <v>2391</v>
      </c>
      <c r="I833" s="69" t="s">
        <v>2389</v>
      </c>
      <c r="J833" s="69" t="s">
        <v>2424</v>
      </c>
      <c r="K833" s="69" t="s">
        <v>3066</v>
      </c>
      <c r="L833" s="72" t="s">
        <v>2387</v>
      </c>
      <c r="M833" s="72" t="b">
        <f t="shared" si="12"/>
        <v>0</v>
      </c>
    </row>
    <row r="834" spans="1:13" x14ac:dyDescent="0.25">
      <c r="A834" s="69" t="s">
        <v>1857</v>
      </c>
      <c r="B834" s="70">
        <v>44003238</v>
      </c>
      <c r="C834" s="69" t="s">
        <v>1859</v>
      </c>
      <c r="D834" s="71" t="s">
        <v>2387</v>
      </c>
      <c r="E834" s="69" t="s">
        <v>2393</v>
      </c>
      <c r="F834" s="69">
        <v>30</v>
      </c>
      <c r="G834" s="69">
        <v>180</v>
      </c>
      <c r="H834" s="69" t="s">
        <v>2391</v>
      </c>
      <c r="I834" s="69" t="s">
        <v>2446</v>
      </c>
      <c r="J834" s="69" t="s">
        <v>2408</v>
      </c>
      <c r="K834" s="69" t="s">
        <v>3067</v>
      </c>
      <c r="L834" s="72" t="s">
        <v>2392</v>
      </c>
      <c r="M834" s="72" t="b">
        <f t="shared" ref="M834:M857" si="13">L834=D834</f>
        <v>0</v>
      </c>
    </row>
    <row r="835" spans="1:13" x14ac:dyDescent="0.25">
      <c r="A835" s="69" t="s">
        <v>1648</v>
      </c>
      <c r="B835" s="70" t="s">
        <v>3068</v>
      </c>
      <c r="C835" s="69" t="s">
        <v>1650</v>
      </c>
      <c r="D835" s="71" t="s">
        <v>2961</v>
      </c>
      <c r="E835" s="69" t="s">
        <v>2388</v>
      </c>
      <c r="F835" s="69">
        <v>30</v>
      </c>
      <c r="G835" s="69">
        <v>90</v>
      </c>
      <c r="H835" s="69" t="s">
        <v>2449</v>
      </c>
      <c r="I835" s="69" t="s">
        <v>2420</v>
      </c>
      <c r="J835" s="69" t="s">
        <v>2424</v>
      </c>
      <c r="K835" s="69"/>
      <c r="L835" s="72" t="s">
        <v>2392</v>
      </c>
      <c r="M835" s="72" t="b">
        <f t="shared" si="13"/>
        <v>0</v>
      </c>
    </row>
    <row r="836" spans="1:13" x14ac:dyDescent="0.25">
      <c r="A836" s="69" t="s">
        <v>524</v>
      </c>
      <c r="B836" s="70" t="s">
        <v>3069</v>
      </c>
      <c r="C836" s="69" t="s">
        <v>1653</v>
      </c>
      <c r="D836" s="71" t="s">
        <v>2961</v>
      </c>
      <c r="E836" s="69" t="s">
        <v>2388</v>
      </c>
      <c r="F836" s="69">
        <v>30</v>
      </c>
      <c r="G836" s="69">
        <v>30</v>
      </c>
      <c r="H836" s="69" t="s">
        <v>2395</v>
      </c>
      <c r="I836" s="69" t="s">
        <v>2420</v>
      </c>
      <c r="J836" s="69" t="s">
        <v>2424</v>
      </c>
      <c r="K836" s="69"/>
      <c r="L836" s="72" t="s">
        <v>2392</v>
      </c>
      <c r="M836" s="72" t="b">
        <f t="shared" si="13"/>
        <v>0</v>
      </c>
    </row>
    <row r="837" spans="1:13" x14ac:dyDescent="0.25">
      <c r="A837" s="80" t="s">
        <v>2050</v>
      </c>
      <c r="B837" s="70" t="s">
        <v>3070</v>
      </c>
      <c r="C837" s="69" t="s">
        <v>2526</v>
      </c>
      <c r="D837" s="71" t="s">
        <v>2387</v>
      </c>
      <c r="E837" s="69" t="s">
        <v>2388</v>
      </c>
      <c r="F837" s="69">
        <v>30</v>
      </c>
      <c r="G837" s="69">
        <v>45</v>
      </c>
      <c r="H837" s="69" t="s">
        <v>2391</v>
      </c>
      <c r="I837" s="69" t="s">
        <v>2431</v>
      </c>
      <c r="J837" s="69" t="s">
        <v>2461</v>
      </c>
      <c r="K837" s="69"/>
      <c r="L837" s="72" t="s">
        <v>2387</v>
      </c>
      <c r="M837" s="72" t="b">
        <f t="shared" si="13"/>
        <v>1</v>
      </c>
    </row>
    <row r="838" spans="1:13" x14ac:dyDescent="0.25">
      <c r="A838" s="69" t="s">
        <v>2527</v>
      </c>
      <c r="B838" s="70" t="s">
        <v>3071</v>
      </c>
      <c r="C838" s="69" t="s">
        <v>2528</v>
      </c>
      <c r="D838" s="71" t="s">
        <v>2495</v>
      </c>
      <c r="E838" s="69" t="s">
        <v>2388</v>
      </c>
      <c r="F838" s="69" t="e">
        <v>#N/A</v>
      </c>
      <c r="G838" s="69" t="s">
        <v>3058</v>
      </c>
      <c r="H838" s="69" t="s">
        <v>2395</v>
      </c>
      <c r="I838" s="69" t="s">
        <v>2501</v>
      </c>
      <c r="J838" s="69" t="s">
        <v>2401</v>
      </c>
      <c r="K838" s="69" t="s">
        <v>3046</v>
      </c>
      <c r="L838" s="72" t="s">
        <v>2387</v>
      </c>
      <c r="M838" s="72" t="b">
        <f t="shared" si="13"/>
        <v>0</v>
      </c>
    </row>
    <row r="839" spans="1:13" x14ac:dyDescent="0.25">
      <c r="A839" s="69" t="s">
        <v>2529</v>
      </c>
      <c r="B839" s="70" t="s">
        <v>3071</v>
      </c>
      <c r="C839" s="69" t="s">
        <v>2528</v>
      </c>
      <c r="D839" s="71" t="s">
        <v>2495</v>
      </c>
      <c r="E839" s="69" t="s">
        <v>2388</v>
      </c>
      <c r="F839" s="69" t="e">
        <v>#N/A</v>
      </c>
      <c r="G839" s="69" t="s">
        <v>3058</v>
      </c>
      <c r="H839" s="69" t="s">
        <v>2395</v>
      </c>
      <c r="I839" s="69" t="s">
        <v>2501</v>
      </c>
      <c r="J839" s="69" t="s">
        <v>2401</v>
      </c>
      <c r="K839" s="69" t="s">
        <v>3046</v>
      </c>
      <c r="L839" s="72" t="s">
        <v>2387</v>
      </c>
      <c r="M839" s="72" t="b">
        <f t="shared" si="13"/>
        <v>0</v>
      </c>
    </row>
    <row r="840" spans="1:13" x14ac:dyDescent="0.25">
      <c r="A840" s="69" t="s">
        <v>2530</v>
      </c>
      <c r="B840" s="70" t="s">
        <v>3071</v>
      </c>
      <c r="C840" s="69" t="s">
        <v>2528</v>
      </c>
      <c r="D840" s="71" t="s">
        <v>2495</v>
      </c>
      <c r="E840" s="69" t="s">
        <v>2388</v>
      </c>
      <c r="F840" s="69" t="e">
        <v>#N/A</v>
      </c>
      <c r="G840" s="69" t="s">
        <v>3058</v>
      </c>
      <c r="H840" s="69" t="s">
        <v>2395</v>
      </c>
      <c r="I840" s="69" t="s">
        <v>2501</v>
      </c>
      <c r="J840" s="69" t="s">
        <v>2401</v>
      </c>
      <c r="K840" s="69" t="s">
        <v>3046</v>
      </c>
      <c r="L840" s="72" t="s">
        <v>2387</v>
      </c>
      <c r="M840" s="72" t="b">
        <f t="shared" si="13"/>
        <v>0</v>
      </c>
    </row>
    <row r="841" spans="1:13" x14ac:dyDescent="0.25">
      <c r="A841" s="69" t="s">
        <v>2531</v>
      </c>
      <c r="B841" s="70" t="s">
        <v>3071</v>
      </c>
      <c r="C841" s="69" t="s">
        <v>2528</v>
      </c>
      <c r="D841" s="71" t="s">
        <v>2495</v>
      </c>
      <c r="E841" s="69" t="s">
        <v>2388</v>
      </c>
      <c r="F841" s="69" t="e">
        <v>#N/A</v>
      </c>
      <c r="G841" s="69" t="s">
        <v>3058</v>
      </c>
      <c r="H841" s="69" t="s">
        <v>2395</v>
      </c>
      <c r="I841" s="69" t="s">
        <v>2501</v>
      </c>
      <c r="J841" s="69" t="s">
        <v>2401</v>
      </c>
      <c r="K841" s="69" t="s">
        <v>3046</v>
      </c>
      <c r="L841" s="72" t="s">
        <v>2387</v>
      </c>
      <c r="M841" s="72" t="b">
        <f t="shared" si="13"/>
        <v>0</v>
      </c>
    </row>
    <row r="842" spans="1:13" x14ac:dyDescent="0.25">
      <c r="A842" s="69" t="s">
        <v>2532</v>
      </c>
      <c r="B842" s="70"/>
      <c r="C842" s="69" t="s">
        <v>2507</v>
      </c>
      <c r="D842" s="71" t="s">
        <v>2387</v>
      </c>
      <c r="E842" s="69" t="s">
        <v>2388</v>
      </c>
      <c r="F842" s="69">
        <v>30</v>
      </c>
      <c r="G842" s="69">
        <v>0</v>
      </c>
      <c r="H842" s="69" t="s">
        <v>2412</v>
      </c>
      <c r="I842" s="69" t="s">
        <v>2410</v>
      </c>
      <c r="J842" s="69"/>
      <c r="K842" s="69" t="s">
        <v>3072</v>
      </c>
      <c r="L842" s="72" t="s">
        <v>2387</v>
      </c>
      <c r="M842" s="72" t="b">
        <f t="shared" si="13"/>
        <v>1</v>
      </c>
    </row>
    <row r="843" spans="1:13" x14ac:dyDescent="0.25">
      <c r="A843" s="69" t="s">
        <v>1317</v>
      </c>
      <c r="B843" s="70" t="s">
        <v>3073</v>
      </c>
      <c r="C843" s="69" t="s">
        <v>1312</v>
      </c>
      <c r="D843" s="71" t="s">
        <v>2387</v>
      </c>
      <c r="E843" s="69" t="s">
        <v>2388</v>
      </c>
      <c r="F843" s="69">
        <v>30</v>
      </c>
      <c r="G843" s="69">
        <v>90</v>
      </c>
      <c r="H843" s="69" t="s">
        <v>2399</v>
      </c>
      <c r="I843" s="69" t="s">
        <v>2400</v>
      </c>
      <c r="J843" s="69" t="s">
        <v>2398</v>
      </c>
      <c r="K843" s="69"/>
      <c r="L843" s="72" t="s">
        <v>2387</v>
      </c>
      <c r="M843" s="72" t="b">
        <f t="shared" si="13"/>
        <v>1</v>
      </c>
    </row>
    <row r="844" spans="1:13" x14ac:dyDescent="0.25">
      <c r="A844" s="69" t="s">
        <v>1735</v>
      </c>
      <c r="B844" s="70" t="s">
        <v>3074</v>
      </c>
      <c r="C844" s="69" t="s">
        <v>3075</v>
      </c>
      <c r="D844" s="71" t="s">
        <v>2961</v>
      </c>
      <c r="E844" s="69" t="s">
        <v>2388</v>
      </c>
      <c r="F844" s="69">
        <v>30</v>
      </c>
      <c r="G844" s="69">
        <v>30</v>
      </c>
      <c r="H844" s="69" t="s">
        <v>2391</v>
      </c>
      <c r="I844" s="69" t="s">
        <v>2441</v>
      </c>
      <c r="J844" s="69" t="s">
        <v>2390</v>
      </c>
      <c r="K844" s="69"/>
      <c r="L844" s="72" t="s">
        <v>2387</v>
      </c>
      <c r="M844" s="72" t="b">
        <f t="shared" si="13"/>
        <v>0</v>
      </c>
    </row>
    <row r="845" spans="1:13" x14ac:dyDescent="0.25">
      <c r="A845" s="69" t="s">
        <v>2007</v>
      </c>
      <c r="B845" s="70" t="s">
        <v>3076</v>
      </c>
      <c r="C845" s="69" t="s">
        <v>3077</v>
      </c>
      <c r="D845" s="71" t="s">
        <v>2387</v>
      </c>
      <c r="E845" s="69" t="s">
        <v>2388</v>
      </c>
      <c r="F845" s="69">
        <v>30</v>
      </c>
      <c r="G845" s="69">
        <v>30</v>
      </c>
      <c r="H845" s="69" t="s">
        <v>2391</v>
      </c>
      <c r="I845" s="69" t="s">
        <v>2431</v>
      </c>
      <c r="J845" s="69" t="s">
        <v>2432</v>
      </c>
      <c r="K845" s="69"/>
      <c r="L845" s="72" t="s">
        <v>2387</v>
      </c>
      <c r="M845" s="72" t="b">
        <f t="shared" si="13"/>
        <v>1</v>
      </c>
    </row>
    <row r="846" spans="1:13" x14ac:dyDescent="0.25">
      <c r="A846" s="69" t="s">
        <v>1094</v>
      </c>
      <c r="B846" s="70">
        <v>44000010</v>
      </c>
      <c r="C846" s="69" t="s">
        <v>28</v>
      </c>
      <c r="D846" s="71" t="s">
        <v>2387</v>
      </c>
      <c r="E846" s="69" t="s">
        <v>2388</v>
      </c>
      <c r="F846" s="69">
        <v>30</v>
      </c>
      <c r="G846" s="69">
        <v>60</v>
      </c>
      <c r="H846" s="69" t="s">
        <v>2399</v>
      </c>
      <c r="I846" s="69" t="s">
        <v>2471</v>
      </c>
      <c r="J846" s="69" t="s">
        <v>2415</v>
      </c>
      <c r="K846" s="69" t="s">
        <v>3078</v>
      </c>
      <c r="L846" s="72" t="s">
        <v>2387</v>
      </c>
      <c r="M846" s="72" t="b">
        <f t="shared" si="13"/>
        <v>1</v>
      </c>
    </row>
    <row r="847" spans="1:13" x14ac:dyDescent="0.25">
      <c r="A847" s="69" t="s">
        <v>1097</v>
      </c>
      <c r="B847" s="70">
        <v>44000010</v>
      </c>
      <c r="C847" s="69" t="s">
        <v>28</v>
      </c>
      <c r="D847" s="71" t="s">
        <v>2387</v>
      </c>
      <c r="E847" s="69" t="s">
        <v>2388</v>
      </c>
      <c r="F847" s="69">
        <v>30</v>
      </c>
      <c r="G847" s="69">
        <v>60</v>
      </c>
      <c r="H847" s="69" t="s">
        <v>2399</v>
      </c>
      <c r="I847" s="69" t="s">
        <v>2471</v>
      </c>
      <c r="J847" s="69" t="s">
        <v>2415</v>
      </c>
      <c r="K847" s="69" t="s">
        <v>3078</v>
      </c>
      <c r="L847" s="72" t="s">
        <v>2387</v>
      </c>
      <c r="M847" s="72" t="b">
        <f t="shared" si="13"/>
        <v>1</v>
      </c>
    </row>
    <row r="848" spans="1:13" x14ac:dyDescent="0.25">
      <c r="A848" s="69" t="s">
        <v>237</v>
      </c>
      <c r="B848" s="70">
        <v>44000010</v>
      </c>
      <c r="C848" s="69" t="s">
        <v>28</v>
      </c>
      <c r="D848" s="71" t="s">
        <v>2387</v>
      </c>
      <c r="E848" s="69" t="s">
        <v>2388</v>
      </c>
      <c r="F848" s="69">
        <v>30</v>
      </c>
      <c r="G848" s="69">
        <v>60</v>
      </c>
      <c r="H848" s="69" t="s">
        <v>2399</v>
      </c>
      <c r="I848" s="69" t="s">
        <v>2471</v>
      </c>
      <c r="J848" s="69" t="s">
        <v>2415</v>
      </c>
      <c r="K848" s="69" t="s">
        <v>3078</v>
      </c>
      <c r="L848" s="72" t="s">
        <v>2387</v>
      </c>
      <c r="M848" s="72" t="b">
        <f t="shared" si="13"/>
        <v>1</v>
      </c>
    </row>
    <row r="849" spans="1:13" x14ac:dyDescent="0.25">
      <c r="A849" s="69" t="s">
        <v>1086</v>
      </c>
      <c r="B849" s="70">
        <v>44000629</v>
      </c>
      <c r="C849" s="69" t="s">
        <v>929</v>
      </c>
      <c r="D849" s="71" t="s">
        <v>2961</v>
      </c>
      <c r="E849" s="69" t="s">
        <v>2388</v>
      </c>
      <c r="F849" s="69">
        <v>30</v>
      </c>
      <c r="G849" s="69">
        <v>45</v>
      </c>
      <c r="H849" s="69" t="s">
        <v>2395</v>
      </c>
      <c r="I849" s="69" t="s">
        <v>2423</v>
      </c>
      <c r="J849" s="69" t="s">
        <v>2390</v>
      </c>
      <c r="K849" s="69"/>
      <c r="L849" s="72" t="s">
        <v>2392</v>
      </c>
      <c r="M849" s="72" t="b">
        <f t="shared" si="13"/>
        <v>0</v>
      </c>
    </row>
    <row r="850" spans="1:13" x14ac:dyDescent="0.25">
      <c r="A850" s="69" t="s">
        <v>1861</v>
      </c>
      <c r="B850" s="70">
        <v>44003238</v>
      </c>
      <c r="C850" s="69" t="s">
        <v>1859</v>
      </c>
      <c r="D850" s="71" t="s">
        <v>2387</v>
      </c>
      <c r="E850" s="69" t="s">
        <v>2393</v>
      </c>
      <c r="F850" s="69">
        <v>30</v>
      </c>
      <c r="G850" s="69">
        <v>180</v>
      </c>
      <c r="H850" s="69" t="s">
        <v>2391</v>
      </c>
      <c r="I850" s="69" t="s">
        <v>2446</v>
      </c>
      <c r="J850" s="69" t="s">
        <v>2408</v>
      </c>
      <c r="K850" s="69"/>
      <c r="L850" s="72" t="s">
        <v>2392</v>
      </c>
      <c r="M850" s="72" t="b">
        <f t="shared" si="13"/>
        <v>0</v>
      </c>
    </row>
    <row r="851" spans="1:13" x14ac:dyDescent="0.25">
      <c r="A851" s="69" t="s">
        <v>1670</v>
      </c>
      <c r="B851" s="70" t="s">
        <v>3079</v>
      </c>
      <c r="C851" s="69" t="s">
        <v>1834</v>
      </c>
      <c r="D851" s="71" t="s">
        <v>2387</v>
      </c>
      <c r="E851" s="69" t="s">
        <v>2388</v>
      </c>
      <c r="F851" s="69">
        <v>30</v>
      </c>
      <c r="G851" s="69"/>
      <c r="H851" s="69" t="s">
        <v>2391</v>
      </c>
      <c r="I851" s="69" t="s">
        <v>2407</v>
      </c>
      <c r="J851" s="69" t="s">
        <v>2408</v>
      </c>
      <c r="K851" s="69"/>
      <c r="L851" s="72" t="s">
        <v>2387</v>
      </c>
      <c r="M851" s="72" t="b">
        <f t="shared" si="13"/>
        <v>1</v>
      </c>
    </row>
    <row r="852" spans="1:13" x14ac:dyDescent="0.25">
      <c r="A852" s="69" t="s">
        <v>2026</v>
      </c>
      <c r="B852" s="70" t="s">
        <v>3080</v>
      </c>
      <c r="C852" s="69" t="s">
        <v>2438</v>
      </c>
      <c r="D852" s="71" t="s">
        <v>2961</v>
      </c>
      <c r="E852" s="69" t="s">
        <v>2388</v>
      </c>
      <c r="F852" s="69">
        <v>30</v>
      </c>
      <c r="G852" s="69">
        <v>45</v>
      </c>
      <c r="H852" s="69" t="s">
        <v>2395</v>
      </c>
      <c r="I852" s="69" t="s">
        <v>2423</v>
      </c>
      <c r="J852" s="69" t="s">
        <v>2390</v>
      </c>
      <c r="K852" s="69"/>
      <c r="L852" s="72" t="s">
        <v>2392</v>
      </c>
      <c r="M852" s="72" t="b">
        <f t="shared" si="13"/>
        <v>0</v>
      </c>
    </row>
    <row r="853" spans="1:13" x14ac:dyDescent="0.25">
      <c r="A853" s="69" t="s">
        <v>2026</v>
      </c>
      <c r="B853" s="70">
        <v>44003108</v>
      </c>
      <c r="C853" s="69" t="s">
        <v>86</v>
      </c>
      <c r="D853" s="71" t="s">
        <v>2961</v>
      </c>
      <c r="E853" s="69" t="s">
        <v>2388</v>
      </c>
      <c r="F853" s="69">
        <v>30</v>
      </c>
      <c r="G853" s="69">
        <v>60</v>
      </c>
      <c r="H853" s="69" t="s">
        <v>2395</v>
      </c>
      <c r="I853" s="69" t="s">
        <v>2423</v>
      </c>
      <c r="J853" s="69" t="s">
        <v>2390</v>
      </c>
      <c r="K853" s="69"/>
      <c r="L853" s="72" t="s">
        <v>2392</v>
      </c>
      <c r="M853" s="72" t="b">
        <f t="shared" si="13"/>
        <v>0</v>
      </c>
    </row>
    <row r="854" spans="1:13" x14ac:dyDescent="0.25">
      <c r="A854" s="69" t="s">
        <v>1933</v>
      </c>
      <c r="B854" s="70">
        <v>44003892</v>
      </c>
      <c r="C854" s="69" t="s">
        <v>177</v>
      </c>
      <c r="D854" s="71" t="s">
        <v>2387</v>
      </c>
      <c r="E854" s="69" t="s">
        <v>2388</v>
      </c>
      <c r="F854" s="69">
        <v>30</v>
      </c>
      <c r="G854" s="69">
        <v>30</v>
      </c>
      <c r="H854" s="69" t="s">
        <v>2391</v>
      </c>
      <c r="I854" s="69" t="s">
        <v>2433</v>
      </c>
      <c r="J854" s="69" t="s">
        <v>2435</v>
      </c>
      <c r="K854" s="69"/>
      <c r="L854" s="72" t="s">
        <v>2387</v>
      </c>
      <c r="M854" s="72" t="b">
        <f t="shared" si="13"/>
        <v>1</v>
      </c>
    </row>
    <row r="855" spans="1:13" x14ac:dyDescent="0.25">
      <c r="A855" s="69" t="s">
        <v>240</v>
      </c>
      <c r="B855" s="70">
        <v>44000010</v>
      </c>
      <c r="C855" s="69" t="s">
        <v>28</v>
      </c>
      <c r="D855" s="71" t="s">
        <v>2387</v>
      </c>
      <c r="E855" s="69" t="s">
        <v>2388</v>
      </c>
      <c r="F855" s="69">
        <v>30</v>
      </c>
      <c r="G855" s="69">
        <v>60</v>
      </c>
      <c r="H855" s="69" t="s">
        <v>2399</v>
      </c>
      <c r="I855" s="69" t="s">
        <v>2471</v>
      </c>
      <c r="J855" s="69" t="s">
        <v>2415</v>
      </c>
      <c r="K855" s="69"/>
      <c r="L855" s="72" t="s">
        <v>2387</v>
      </c>
      <c r="M855" s="72" t="b">
        <f t="shared" si="13"/>
        <v>1</v>
      </c>
    </row>
    <row r="856" spans="1:13" x14ac:dyDescent="0.25">
      <c r="A856" s="69" t="s">
        <v>1864</v>
      </c>
      <c r="B856" s="70">
        <v>44003238</v>
      </c>
      <c r="C856" s="69" t="s">
        <v>1859</v>
      </c>
      <c r="D856" s="71" t="s">
        <v>2387</v>
      </c>
      <c r="E856" s="69" t="s">
        <v>2393</v>
      </c>
      <c r="F856" s="69">
        <v>30</v>
      </c>
      <c r="G856" s="69">
        <v>180</v>
      </c>
      <c r="H856" s="69" t="s">
        <v>2391</v>
      </c>
      <c r="I856" s="69" t="s">
        <v>2446</v>
      </c>
      <c r="J856" s="69" t="s">
        <v>2408</v>
      </c>
      <c r="K856" s="69"/>
      <c r="L856" s="72" t="s">
        <v>2392</v>
      </c>
      <c r="M856" s="72" t="b">
        <f t="shared" si="13"/>
        <v>0</v>
      </c>
    </row>
    <row r="857" spans="1:13" x14ac:dyDescent="0.25">
      <c r="A857" s="69" t="s">
        <v>873</v>
      </c>
      <c r="B857" s="70">
        <v>44000052</v>
      </c>
      <c r="C857" s="69" t="s">
        <v>2533</v>
      </c>
      <c r="D857" s="71" t="s">
        <v>2392</v>
      </c>
      <c r="E857" s="69" t="s">
        <v>2393</v>
      </c>
      <c r="F857" s="69">
        <v>30</v>
      </c>
      <c r="G857" s="69">
        <v>0</v>
      </c>
      <c r="H857" s="69" t="s">
        <v>2472</v>
      </c>
      <c r="I857" s="69" t="s">
        <v>2463</v>
      </c>
      <c r="J857" s="69" t="s">
        <v>2444</v>
      </c>
      <c r="K857" s="69" t="s">
        <v>3013</v>
      </c>
      <c r="L857" s="72" t="s">
        <v>2392</v>
      </c>
      <c r="M857" s="72" t="b">
        <f t="shared" si="13"/>
        <v>1</v>
      </c>
    </row>
    <row r="858" spans="1:13" x14ac:dyDescent="0.25">
      <c r="A858" s="69" t="s">
        <v>893</v>
      </c>
      <c r="B858" s="70" t="s">
        <v>3081</v>
      </c>
      <c r="C858" s="69" t="s">
        <v>2534</v>
      </c>
      <c r="D858" s="71" t="s">
        <v>2392</v>
      </c>
      <c r="E858" s="69" t="s">
        <v>2393</v>
      </c>
      <c r="F858" s="69"/>
      <c r="G858" s="69"/>
      <c r="H858" s="69" t="s">
        <v>2399</v>
      </c>
      <c r="I858" s="69" t="s">
        <v>2394</v>
      </c>
      <c r="J858" s="69"/>
      <c r="K858" s="69" t="s">
        <v>3082</v>
      </c>
    </row>
    <row r="859" spans="1:13" x14ac:dyDescent="0.25">
      <c r="A859" s="69" t="s">
        <v>893</v>
      </c>
      <c r="B859" s="70" t="s">
        <v>3083</v>
      </c>
      <c r="C859" s="69" t="s">
        <v>896</v>
      </c>
      <c r="D859" s="71" t="s">
        <v>2392</v>
      </c>
      <c r="E859" s="69" t="s">
        <v>2393</v>
      </c>
      <c r="F859" s="69"/>
      <c r="G859" s="69"/>
      <c r="H859" s="69" t="s">
        <v>2399</v>
      </c>
      <c r="I859" s="69" t="s">
        <v>2394</v>
      </c>
      <c r="J859" s="69"/>
      <c r="K859" s="69" t="s">
        <v>3082</v>
      </c>
    </row>
    <row r="860" spans="1:13" x14ac:dyDescent="0.25">
      <c r="A860" s="69" t="s">
        <v>2203</v>
      </c>
      <c r="B860" s="70">
        <v>44000122</v>
      </c>
      <c r="C860" s="69" t="s">
        <v>903</v>
      </c>
      <c r="D860" s="71" t="s">
        <v>2392</v>
      </c>
      <c r="E860" s="69" t="s">
        <v>2393</v>
      </c>
      <c r="F860" s="69">
        <v>30</v>
      </c>
      <c r="G860" s="69">
        <v>0</v>
      </c>
      <c r="H860" s="69" t="s">
        <v>2412</v>
      </c>
      <c r="I860" s="69" t="s">
        <v>2410</v>
      </c>
      <c r="J860" s="69" t="s">
        <v>2535</v>
      </c>
      <c r="K860" s="69"/>
      <c r="L860" s="72" t="s">
        <v>2392</v>
      </c>
      <c r="M860" s="72" t="b">
        <f t="shared" ref="M860:M900" si="14">L860=D860</f>
        <v>1</v>
      </c>
    </row>
    <row r="861" spans="1:13" x14ac:dyDescent="0.25">
      <c r="A861" s="69" t="s">
        <v>1341</v>
      </c>
      <c r="B861" s="70">
        <v>44001772</v>
      </c>
      <c r="C861" s="69" t="s">
        <v>1019</v>
      </c>
      <c r="D861" s="71" t="s">
        <v>2387</v>
      </c>
      <c r="E861" s="69" t="s">
        <v>2388</v>
      </c>
      <c r="F861" s="69">
        <v>30</v>
      </c>
      <c r="G861" s="69">
        <v>90</v>
      </c>
      <c r="H861" s="69" t="s">
        <v>2399</v>
      </c>
      <c r="I861" s="69" t="s">
        <v>2400</v>
      </c>
      <c r="J861" s="69" t="s">
        <v>2398</v>
      </c>
      <c r="K861" s="69"/>
      <c r="L861" s="72" t="s">
        <v>2387</v>
      </c>
      <c r="M861" s="72" t="b">
        <f t="shared" si="14"/>
        <v>1</v>
      </c>
    </row>
    <row r="862" spans="1:13" x14ac:dyDescent="0.25">
      <c r="A862" s="69" t="s">
        <v>877</v>
      </c>
      <c r="B862" s="70">
        <v>44001730</v>
      </c>
      <c r="C862" s="69" t="s">
        <v>2522</v>
      </c>
      <c r="D862" s="71" t="s">
        <v>2387</v>
      </c>
      <c r="E862" s="69" t="s">
        <v>2388</v>
      </c>
      <c r="F862" s="69">
        <v>30</v>
      </c>
      <c r="G862" s="69">
        <v>45</v>
      </c>
      <c r="H862" s="69" t="s">
        <v>2399</v>
      </c>
      <c r="I862" s="69" t="s">
        <v>2414</v>
      </c>
      <c r="J862" s="69" t="s">
        <v>2416</v>
      </c>
      <c r="K862" s="69" t="s">
        <v>3084</v>
      </c>
      <c r="L862" s="72" t="s">
        <v>2387</v>
      </c>
      <c r="M862" s="72" t="b">
        <f t="shared" si="14"/>
        <v>1</v>
      </c>
    </row>
    <row r="863" spans="1:13" x14ac:dyDescent="0.25">
      <c r="A863" s="69" t="s">
        <v>2536</v>
      </c>
      <c r="B863" s="70">
        <v>44001730</v>
      </c>
      <c r="C863" s="69" t="s">
        <v>2522</v>
      </c>
      <c r="D863" s="71" t="s">
        <v>2387</v>
      </c>
      <c r="E863" s="69" t="s">
        <v>2388</v>
      </c>
      <c r="F863" s="69">
        <v>30</v>
      </c>
      <c r="G863" s="69">
        <v>45</v>
      </c>
      <c r="H863" s="69" t="s">
        <v>2412</v>
      </c>
      <c r="I863" s="69" t="s">
        <v>2410</v>
      </c>
      <c r="J863" s="69" t="s">
        <v>2401</v>
      </c>
      <c r="K863" s="69" t="s">
        <v>3085</v>
      </c>
      <c r="L863" s="72" t="s">
        <v>2387</v>
      </c>
      <c r="M863" s="72" t="b">
        <f t="shared" si="14"/>
        <v>1</v>
      </c>
    </row>
    <row r="864" spans="1:13" x14ac:dyDescent="0.25">
      <c r="A864" s="69" t="s">
        <v>887</v>
      </c>
      <c r="B864" s="70">
        <v>44001730</v>
      </c>
      <c r="C864" s="69" t="s">
        <v>2522</v>
      </c>
      <c r="D864" s="71" t="s">
        <v>2387</v>
      </c>
      <c r="E864" s="69" t="s">
        <v>2388</v>
      </c>
      <c r="F864" s="69">
        <v>30</v>
      </c>
      <c r="G864" s="69">
        <v>45</v>
      </c>
      <c r="H864" s="69" t="s">
        <v>2399</v>
      </c>
      <c r="I864" s="69" t="s">
        <v>2414</v>
      </c>
      <c r="J864" s="69" t="s">
        <v>2416</v>
      </c>
      <c r="K864" s="69" t="s">
        <v>3084</v>
      </c>
      <c r="L864" s="72" t="s">
        <v>2387</v>
      </c>
      <c r="M864" s="72" t="b">
        <f t="shared" si="14"/>
        <v>1</v>
      </c>
    </row>
    <row r="865" spans="1:13" x14ac:dyDescent="0.25">
      <c r="A865" s="69" t="s">
        <v>2132</v>
      </c>
      <c r="B865" s="70" t="s">
        <v>3086</v>
      </c>
      <c r="C865" s="69" t="s">
        <v>1766</v>
      </c>
      <c r="D865" s="71" t="s">
        <v>2392</v>
      </c>
      <c r="E865" s="69" t="s">
        <v>2388</v>
      </c>
      <c r="F865" s="69">
        <v>30</v>
      </c>
      <c r="G865" s="69">
        <v>0</v>
      </c>
      <c r="H865" s="69" t="s">
        <v>2399</v>
      </c>
      <c r="I865" s="69" t="s">
        <v>2394</v>
      </c>
      <c r="J865" s="69" t="s">
        <v>2427</v>
      </c>
      <c r="K865" s="69" t="s">
        <v>3011</v>
      </c>
      <c r="L865" s="72" t="s">
        <v>2387</v>
      </c>
      <c r="M865" s="72" t="b">
        <f t="shared" si="14"/>
        <v>0</v>
      </c>
    </row>
    <row r="866" spans="1:13" x14ac:dyDescent="0.25">
      <c r="A866" s="69" t="s">
        <v>2267</v>
      </c>
      <c r="B866" s="70">
        <v>44000311</v>
      </c>
      <c r="C866" s="69" t="s">
        <v>3016</v>
      </c>
      <c r="D866" s="71" t="s">
        <v>2387</v>
      </c>
      <c r="E866" s="69" t="s">
        <v>2388</v>
      </c>
      <c r="F866" s="69">
        <v>30</v>
      </c>
      <c r="G866" s="69">
        <v>45</v>
      </c>
      <c r="H866" s="69" t="s">
        <v>2399</v>
      </c>
      <c r="I866" s="69" t="s">
        <v>2414</v>
      </c>
      <c r="J866" s="69" t="s">
        <v>2415</v>
      </c>
      <c r="K866" s="69"/>
      <c r="L866" s="72" t="s">
        <v>2387</v>
      </c>
      <c r="M866" s="72" t="b">
        <f t="shared" si="14"/>
        <v>1</v>
      </c>
    </row>
    <row r="867" spans="1:13" x14ac:dyDescent="0.25">
      <c r="A867" s="69" t="s">
        <v>2266</v>
      </c>
      <c r="B867" s="70">
        <v>44000311</v>
      </c>
      <c r="C867" s="69" t="s">
        <v>3016</v>
      </c>
      <c r="D867" s="71" t="s">
        <v>2387</v>
      </c>
      <c r="E867" s="69" t="s">
        <v>2388</v>
      </c>
      <c r="F867" s="69">
        <v>30</v>
      </c>
      <c r="G867" s="69">
        <v>45</v>
      </c>
      <c r="H867" s="69" t="s">
        <v>2399</v>
      </c>
      <c r="I867" s="69" t="s">
        <v>2414</v>
      </c>
      <c r="J867" s="69" t="s">
        <v>2415</v>
      </c>
      <c r="K867" s="69"/>
      <c r="L867" s="72" t="s">
        <v>2387</v>
      </c>
      <c r="M867" s="72" t="b">
        <f t="shared" si="14"/>
        <v>1</v>
      </c>
    </row>
    <row r="868" spans="1:13" x14ac:dyDescent="0.25">
      <c r="A868" s="69" t="s">
        <v>2361</v>
      </c>
      <c r="B868" s="70">
        <v>44001833</v>
      </c>
      <c r="C868" s="69" t="s">
        <v>15</v>
      </c>
      <c r="D868" s="71" t="s">
        <v>2387</v>
      </c>
      <c r="E868" s="69" t="s">
        <v>2388</v>
      </c>
      <c r="F868" s="69">
        <v>30</v>
      </c>
      <c r="G868" s="69">
        <v>60</v>
      </c>
      <c r="H868" s="69" t="s">
        <v>2412</v>
      </c>
      <c r="I868" s="69" t="s">
        <v>2479</v>
      </c>
      <c r="J868" s="69" t="s">
        <v>3027</v>
      </c>
      <c r="K868" s="69" t="s">
        <v>3026</v>
      </c>
      <c r="L868" s="72" t="s">
        <v>2387</v>
      </c>
      <c r="M868" s="72" t="b">
        <f t="shared" si="14"/>
        <v>1</v>
      </c>
    </row>
    <row r="869" spans="1:13" x14ac:dyDescent="0.25">
      <c r="A869" s="69" t="s">
        <v>243</v>
      </c>
      <c r="B869" s="70">
        <v>44001833</v>
      </c>
      <c r="C869" s="69" t="s">
        <v>15</v>
      </c>
      <c r="D869" s="71" t="s">
        <v>2387</v>
      </c>
      <c r="E869" s="69" t="s">
        <v>2388</v>
      </c>
      <c r="F869" s="69">
        <v>30</v>
      </c>
      <c r="G869" s="69">
        <v>60</v>
      </c>
      <c r="H869" s="69" t="s">
        <v>2399</v>
      </c>
      <c r="I869" s="69" t="s">
        <v>2479</v>
      </c>
      <c r="J869" s="69" t="s">
        <v>2424</v>
      </c>
      <c r="K869" s="69" t="s">
        <v>3087</v>
      </c>
      <c r="L869" s="72" t="s">
        <v>2387</v>
      </c>
      <c r="M869" s="72" t="b">
        <f t="shared" si="14"/>
        <v>1</v>
      </c>
    </row>
    <row r="870" spans="1:13" x14ac:dyDescent="0.25">
      <c r="A870" s="69" t="s">
        <v>1936</v>
      </c>
      <c r="B870" s="70"/>
      <c r="C870" s="69"/>
      <c r="D870" s="71" t="s">
        <v>2387</v>
      </c>
      <c r="E870" s="69" t="s">
        <v>2388</v>
      </c>
      <c r="F870" s="69">
        <v>30</v>
      </c>
      <c r="G870" s="69"/>
      <c r="H870" s="69" t="s">
        <v>2391</v>
      </c>
      <c r="I870" s="69" t="s">
        <v>2407</v>
      </c>
      <c r="J870" s="69" t="s">
        <v>2408</v>
      </c>
      <c r="K870" s="69" t="s">
        <v>1937</v>
      </c>
      <c r="L870" s="72" t="s">
        <v>2392</v>
      </c>
      <c r="M870" s="72" t="b">
        <f t="shared" si="14"/>
        <v>0</v>
      </c>
    </row>
    <row r="871" spans="1:13" x14ac:dyDescent="0.25">
      <c r="A871" s="69" t="s">
        <v>246</v>
      </c>
      <c r="B871" s="70">
        <v>44001833</v>
      </c>
      <c r="C871" s="69" t="s">
        <v>15</v>
      </c>
      <c r="D871" s="71" t="s">
        <v>2387</v>
      </c>
      <c r="E871" s="69" t="s">
        <v>2388</v>
      </c>
      <c r="F871" s="69">
        <v>30</v>
      </c>
      <c r="G871" s="69">
        <v>60</v>
      </c>
      <c r="H871" s="69" t="s">
        <v>2399</v>
      </c>
      <c r="I871" s="69" t="s">
        <v>2479</v>
      </c>
      <c r="J871" s="69" t="s">
        <v>2424</v>
      </c>
      <c r="K871" s="69" t="s">
        <v>247</v>
      </c>
      <c r="L871" s="72" t="s">
        <v>2387</v>
      </c>
      <c r="M871" s="72" t="b">
        <f t="shared" si="14"/>
        <v>1</v>
      </c>
    </row>
    <row r="872" spans="1:13" x14ac:dyDescent="0.25">
      <c r="A872" s="69" t="s">
        <v>1939</v>
      </c>
      <c r="B872" s="70" t="s">
        <v>3088</v>
      </c>
      <c r="C872" s="69" t="s">
        <v>1941</v>
      </c>
      <c r="D872" s="71" t="s">
        <v>2387</v>
      </c>
      <c r="E872" s="69" t="s">
        <v>2388</v>
      </c>
      <c r="F872" s="69">
        <v>30</v>
      </c>
      <c r="G872" s="69">
        <v>30</v>
      </c>
      <c r="H872" s="69" t="s">
        <v>2399</v>
      </c>
      <c r="I872" s="69" t="s">
        <v>2433</v>
      </c>
      <c r="J872" s="69" t="s">
        <v>2427</v>
      </c>
      <c r="K872" s="69" t="s">
        <v>1940</v>
      </c>
      <c r="L872" s="72" t="s">
        <v>2387</v>
      </c>
      <c r="M872" s="72" t="b">
        <f t="shared" si="14"/>
        <v>1</v>
      </c>
    </row>
    <row r="873" spans="1:13" x14ac:dyDescent="0.25">
      <c r="A873" s="69" t="s">
        <v>861</v>
      </c>
      <c r="B873" s="70">
        <v>44000038</v>
      </c>
      <c r="C873" s="69" t="s">
        <v>749</v>
      </c>
      <c r="D873" s="71" t="s">
        <v>2387</v>
      </c>
      <c r="E873" s="69" t="s">
        <v>2476</v>
      </c>
      <c r="F873" s="69">
        <v>60</v>
      </c>
      <c r="G873" s="69">
        <v>180</v>
      </c>
      <c r="H873" s="69" t="s">
        <v>2399</v>
      </c>
      <c r="I873" s="69" t="s">
        <v>2456</v>
      </c>
      <c r="J873" s="69" t="s">
        <v>2424</v>
      </c>
      <c r="K873" s="69" t="s">
        <v>3025</v>
      </c>
      <c r="L873" s="72" t="s">
        <v>2387</v>
      </c>
      <c r="M873" s="72" t="b">
        <f t="shared" si="14"/>
        <v>1</v>
      </c>
    </row>
    <row r="874" spans="1:13" x14ac:dyDescent="0.25">
      <c r="A874" s="69" t="s">
        <v>864</v>
      </c>
      <c r="B874" s="70">
        <v>44000038</v>
      </c>
      <c r="C874" s="69" t="s">
        <v>749</v>
      </c>
      <c r="D874" s="71" t="s">
        <v>2387</v>
      </c>
      <c r="E874" s="69" t="s">
        <v>2476</v>
      </c>
      <c r="F874" s="69">
        <v>60</v>
      </c>
      <c r="G874" s="69">
        <v>180</v>
      </c>
      <c r="H874" s="69" t="s">
        <v>2399</v>
      </c>
      <c r="I874" s="69" t="s">
        <v>2456</v>
      </c>
      <c r="J874" s="69" t="s">
        <v>2424</v>
      </c>
      <c r="K874" s="69" t="s">
        <v>3025</v>
      </c>
      <c r="L874" s="72" t="s">
        <v>2387</v>
      </c>
      <c r="M874" s="72" t="b">
        <f t="shared" si="14"/>
        <v>1</v>
      </c>
    </row>
    <row r="875" spans="1:13" x14ac:dyDescent="0.25">
      <c r="A875" s="69" t="s">
        <v>2222</v>
      </c>
      <c r="B875" s="70">
        <v>44000038</v>
      </c>
      <c r="C875" s="69" t="s">
        <v>749</v>
      </c>
      <c r="D875" s="71" t="s">
        <v>2387</v>
      </c>
      <c r="E875" s="69" t="s">
        <v>2476</v>
      </c>
      <c r="F875" s="69">
        <v>60</v>
      </c>
      <c r="G875" s="69">
        <v>180</v>
      </c>
      <c r="H875" s="69" t="s">
        <v>2399</v>
      </c>
      <c r="I875" s="69" t="s">
        <v>2456</v>
      </c>
      <c r="J875" s="69" t="s">
        <v>2424</v>
      </c>
      <c r="K875" s="69" t="s">
        <v>3025</v>
      </c>
      <c r="L875" s="72" t="s">
        <v>2387</v>
      </c>
      <c r="M875" s="72" t="b">
        <f t="shared" si="14"/>
        <v>1</v>
      </c>
    </row>
    <row r="876" spans="1:13" x14ac:dyDescent="0.25">
      <c r="A876" s="69" t="s">
        <v>2285</v>
      </c>
      <c r="B876" s="70">
        <v>44000038</v>
      </c>
      <c r="C876" s="69" t="s">
        <v>749</v>
      </c>
      <c r="D876" s="71" t="s">
        <v>2387</v>
      </c>
      <c r="E876" s="69" t="s">
        <v>2476</v>
      </c>
      <c r="F876" s="69">
        <v>60</v>
      </c>
      <c r="G876" s="69">
        <v>180</v>
      </c>
      <c r="H876" s="69" t="s">
        <v>2399</v>
      </c>
      <c r="I876" s="69" t="s">
        <v>2456</v>
      </c>
      <c r="J876" s="69" t="s">
        <v>2424</v>
      </c>
      <c r="K876" s="69" t="s">
        <v>3025</v>
      </c>
      <c r="L876" s="72" t="s">
        <v>2387</v>
      </c>
      <c r="M876" s="72" t="b">
        <f t="shared" si="14"/>
        <v>1</v>
      </c>
    </row>
    <row r="877" spans="1:13" x14ac:dyDescent="0.25">
      <c r="A877" s="69" t="s">
        <v>867</v>
      </c>
      <c r="B877" s="70">
        <v>44000038</v>
      </c>
      <c r="C877" s="69" t="s">
        <v>749</v>
      </c>
      <c r="D877" s="71" t="s">
        <v>2387</v>
      </c>
      <c r="E877" s="69" t="s">
        <v>2476</v>
      </c>
      <c r="F877" s="69">
        <v>60</v>
      </c>
      <c r="G877" s="69">
        <v>180</v>
      </c>
      <c r="H877" s="69" t="s">
        <v>2399</v>
      </c>
      <c r="I877" s="69" t="s">
        <v>2456</v>
      </c>
      <c r="J877" s="69" t="s">
        <v>2424</v>
      </c>
      <c r="K877" s="69" t="s">
        <v>3025</v>
      </c>
      <c r="L877" s="72" t="s">
        <v>2387</v>
      </c>
      <c r="M877" s="72" t="b">
        <f t="shared" si="14"/>
        <v>1</v>
      </c>
    </row>
    <row r="878" spans="1:13" x14ac:dyDescent="0.25">
      <c r="A878" s="69" t="s">
        <v>858</v>
      </c>
      <c r="B878" s="70">
        <v>44000038</v>
      </c>
      <c r="C878" s="69" t="s">
        <v>749</v>
      </c>
      <c r="D878" s="71" t="s">
        <v>2387</v>
      </c>
      <c r="E878" s="69" t="s">
        <v>2476</v>
      </c>
      <c r="F878" s="69">
        <v>60</v>
      </c>
      <c r="G878" s="69">
        <v>180</v>
      </c>
      <c r="H878" s="69" t="s">
        <v>2399</v>
      </c>
      <c r="I878" s="69" t="s">
        <v>2456</v>
      </c>
      <c r="J878" s="69" t="s">
        <v>2424</v>
      </c>
      <c r="K878" s="69" t="s">
        <v>3025</v>
      </c>
      <c r="L878" s="72" t="s">
        <v>2387</v>
      </c>
      <c r="M878" s="72" t="b">
        <f t="shared" si="14"/>
        <v>1</v>
      </c>
    </row>
    <row r="879" spans="1:13" x14ac:dyDescent="0.25">
      <c r="A879" s="69" t="s">
        <v>881</v>
      </c>
      <c r="B879" s="70">
        <v>44001730</v>
      </c>
      <c r="C879" s="69" t="s">
        <v>2522</v>
      </c>
      <c r="D879" s="71" t="s">
        <v>2387</v>
      </c>
      <c r="E879" s="69" t="s">
        <v>2388</v>
      </c>
      <c r="F879" s="69">
        <v>30</v>
      </c>
      <c r="G879" s="69">
        <v>45</v>
      </c>
      <c r="H879" s="69" t="s">
        <v>2399</v>
      </c>
      <c r="I879" s="69" t="s">
        <v>2414</v>
      </c>
      <c r="J879" s="69" t="s">
        <v>2416</v>
      </c>
      <c r="K879" s="69" t="s">
        <v>882</v>
      </c>
      <c r="L879" s="72" t="s">
        <v>2387</v>
      </c>
      <c r="M879" s="72" t="b">
        <f t="shared" si="14"/>
        <v>1</v>
      </c>
    </row>
    <row r="880" spans="1:13" x14ac:dyDescent="0.25">
      <c r="A880" s="69" t="s">
        <v>730</v>
      </c>
      <c r="B880" s="70">
        <v>44001839</v>
      </c>
      <c r="C880" s="69" t="s">
        <v>2440</v>
      </c>
      <c r="D880" s="71" t="s">
        <v>2961</v>
      </c>
      <c r="E880" s="69" t="s">
        <v>2388</v>
      </c>
      <c r="F880" s="69">
        <v>30</v>
      </c>
      <c r="G880" s="69">
        <v>30</v>
      </c>
      <c r="H880" s="69" t="s">
        <v>2391</v>
      </c>
      <c r="I880" s="69" t="s">
        <v>2442</v>
      </c>
      <c r="J880" s="69" t="s">
        <v>2390</v>
      </c>
      <c r="K880" s="69" t="s">
        <v>731</v>
      </c>
      <c r="L880" s="72" t="s">
        <v>2387</v>
      </c>
      <c r="M880" s="72" t="b">
        <f t="shared" si="14"/>
        <v>0</v>
      </c>
    </row>
    <row r="881" spans="1:13" x14ac:dyDescent="0.25">
      <c r="A881" s="69" t="s">
        <v>850</v>
      </c>
      <c r="B881" s="70" t="s">
        <v>3089</v>
      </c>
      <c r="C881" s="69" t="s">
        <v>852</v>
      </c>
      <c r="D881" s="71" t="s">
        <v>2392</v>
      </c>
      <c r="E881" s="69" t="s">
        <v>2388</v>
      </c>
      <c r="F881" s="69">
        <v>30</v>
      </c>
      <c r="G881" s="69">
        <v>90</v>
      </c>
      <c r="H881" s="69" t="s">
        <v>2395</v>
      </c>
      <c r="I881" s="69" t="s">
        <v>2453</v>
      </c>
      <c r="J881" s="69" t="s">
        <v>2415</v>
      </c>
      <c r="K881" s="69"/>
      <c r="L881" s="72" t="s">
        <v>2387</v>
      </c>
      <c r="M881" s="72" t="b">
        <f t="shared" si="14"/>
        <v>0</v>
      </c>
    </row>
    <row r="882" spans="1:13" x14ac:dyDescent="0.25">
      <c r="A882" s="69" t="s">
        <v>2537</v>
      </c>
      <c r="B882" s="70">
        <v>44000010</v>
      </c>
      <c r="C882" s="69" t="s">
        <v>28</v>
      </c>
      <c r="D882" s="71" t="s">
        <v>2387</v>
      </c>
      <c r="E882" s="69" t="s">
        <v>2388</v>
      </c>
      <c r="F882" s="69">
        <v>30</v>
      </c>
      <c r="G882" s="69">
        <v>90</v>
      </c>
      <c r="H882" s="69" t="s">
        <v>2412</v>
      </c>
      <c r="I882" s="69" t="s">
        <v>2410</v>
      </c>
      <c r="J882" s="69" t="s">
        <v>2401</v>
      </c>
      <c r="K882" s="69"/>
      <c r="L882" s="72" t="s">
        <v>2387</v>
      </c>
      <c r="M882" s="72" t="b">
        <f t="shared" si="14"/>
        <v>1</v>
      </c>
    </row>
    <row r="883" spans="1:13" x14ac:dyDescent="0.25">
      <c r="A883" s="69" t="s">
        <v>2332</v>
      </c>
      <c r="B883" s="70" t="s">
        <v>3090</v>
      </c>
      <c r="C883" s="69" t="s">
        <v>2546</v>
      </c>
      <c r="D883" s="71" t="s">
        <v>2961</v>
      </c>
      <c r="E883" s="69" t="s">
        <v>2388</v>
      </c>
      <c r="F883" s="69">
        <v>30</v>
      </c>
      <c r="G883" s="69">
        <v>45</v>
      </c>
      <c r="H883" s="69" t="s">
        <v>2395</v>
      </c>
      <c r="I883" s="69" t="s">
        <v>2431</v>
      </c>
      <c r="J883" s="69" t="s">
        <v>3027</v>
      </c>
      <c r="K883" s="69"/>
      <c r="L883" s="72" t="s">
        <v>2392</v>
      </c>
      <c r="M883" s="72" t="b">
        <f t="shared" si="14"/>
        <v>0</v>
      </c>
    </row>
    <row r="884" spans="1:13" x14ac:dyDescent="0.25">
      <c r="A884" s="69" t="s">
        <v>2043</v>
      </c>
      <c r="B884" s="70" t="s">
        <v>3090</v>
      </c>
      <c r="C884" s="69" t="s">
        <v>2546</v>
      </c>
      <c r="D884" s="71" t="s">
        <v>2961</v>
      </c>
      <c r="E884" s="69" t="s">
        <v>2388</v>
      </c>
      <c r="F884" s="69">
        <v>30</v>
      </c>
      <c r="G884" s="69">
        <v>45</v>
      </c>
      <c r="H884" s="69" t="s">
        <v>2391</v>
      </c>
      <c r="I884" s="69" t="s">
        <v>2431</v>
      </c>
      <c r="J884" s="69" t="s">
        <v>2398</v>
      </c>
      <c r="K884" s="69" t="s">
        <v>3091</v>
      </c>
      <c r="L884" s="72" t="s">
        <v>2392</v>
      </c>
      <c r="M884" s="72" t="b">
        <f t="shared" si="14"/>
        <v>0</v>
      </c>
    </row>
    <row r="885" spans="1:13" x14ac:dyDescent="0.25">
      <c r="A885" s="69" t="s">
        <v>996</v>
      </c>
      <c r="B885" s="70" t="s">
        <v>3090</v>
      </c>
      <c r="C885" s="69" t="s">
        <v>2546</v>
      </c>
      <c r="D885" s="71" t="s">
        <v>2961</v>
      </c>
      <c r="E885" s="69" t="s">
        <v>2388</v>
      </c>
      <c r="F885" s="69">
        <v>30</v>
      </c>
      <c r="G885" s="69">
        <v>45</v>
      </c>
      <c r="H885" s="69" t="s">
        <v>2391</v>
      </c>
      <c r="I885" s="69" t="s">
        <v>2431</v>
      </c>
      <c r="J885" s="69" t="s">
        <v>2415</v>
      </c>
      <c r="K885" s="69" t="s">
        <v>3091</v>
      </c>
      <c r="L885" s="72" t="s">
        <v>2392</v>
      </c>
      <c r="M885" s="72" t="b">
        <f t="shared" si="14"/>
        <v>0</v>
      </c>
    </row>
    <row r="886" spans="1:13" x14ac:dyDescent="0.25">
      <c r="A886" s="69" t="s">
        <v>1718</v>
      </c>
      <c r="B886" s="70" t="s">
        <v>3090</v>
      </c>
      <c r="C886" s="69" t="s">
        <v>2546</v>
      </c>
      <c r="D886" s="71" t="s">
        <v>2961</v>
      </c>
      <c r="E886" s="69" t="s">
        <v>2388</v>
      </c>
      <c r="F886" s="69">
        <v>30</v>
      </c>
      <c r="G886" s="69">
        <v>45</v>
      </c>
      <c r="H886" s="69" t="s">
        <v>2391</v>
      </c>
      <c r="I886" s="69" t="s">
        <v>2431</v>
      </c>
      <c r="J886" s="69" t="s">
        <v>2398</v>
      </c>
      <c r="K886" s="69" t="s">
        <v>3091</v>
      </c>
      <c r="L886" s="72" t="s">
        <v>2392</v>
      </c>
      <c r="M886" s="72" t="b">
        <f t="shared" si="14"/>
        <v>0</v>
      </c>
    </row>
    <row r="887" spans="1:13" x14ac:dyDescent="0.25">
      <c r="A887" s="69" t="s">
        <v>2048</v>
      </c>
      <c r="B887" s="70" t="s">
        <v>3090</v>
      </c>
      <c r="C887" s="69" t="s">
        <v>2546</v>
      </c>
      <c r="D887" s="71" t="s">
        <v>2961</v>
      </c>
      <c r="E887" s="69" t="s">
        <v>2388</v>
      </c>
      <c r="F887" s="69">
        <v>30</v>
      </c>
      <c r="G887" s="69">
        <v>45</v>
      </c>
      <c r="H887" s="69" t="s">
        <v>2391</v>
      </c>
      <c r="I887" s="69" t="s">
        <v>2431</v>
      </c>
      <c r="J887" s="69" t="s">
        <v>2398</v>
      </c>
      <c r="K887" s="69" t="s">
        <v>3091</v>
      </c>
      <c r="L887" s="72" t="s">
        <v>2392</v>
      </c>
      <c r="M887" s="72" t="b">
        <f t="shared" si="14"/>
        <v>0</v>
      </c>
    </row>
    <row r="888" spans="1:13" x14ac:dyDescent="0.25">
      <c r="A888" s="69" t="s">
        <v>2238</v>
      </c>
      <c r="B888" s="70">
        <v>44001833</v>
      </c>
      <c r="C888" s="69" t="s">
        <v>15</v>
      </c>
      <c r="D888" s="71" t="s">
        <v>2387</v>
      </c>
      <c r="E888" s="69" t="s">
        <v>2388</v>
      </c>
      <c r="F888" s="69">
        <v>30</v>
      </c>
      <c r="G888" s="69">
        <v>60</v>
      </c>
      <c r="H888" s="69" t="s">
        <v>2399</v>
      </c>
      <c r="I888" s="69" t="s">
        <v>2479</v>
      </c>
      <c r="J888" s="69" t="s">
        <v>2424</v>
      </c>
      <c r="K888" s="69"/>
      <c r="L888" s="72" t="s">
        <v>2387</v>
      </c>
      <c r="M888" s="72" t="b">
        <f t="shared" si="14"/>
        <v>1</v>
      </c>
    </row>
    <row r="889" spans="1:13" x14ac:dyDescent="0.25">
      <c r="A889" s="69" t="s">
        <v>2227</v>
      </c>
      <c r="B889" s="70">
        <v>44001833</v>
      </c>
      <c r="C889" s="69" t="s">
        <v>15</v>
      </c>
      <c r="D889" s="71" t="s">
        <v>2387</v>
      </c>
      <c r="E889" s="69" t="s">
        <v>2388</v>
      </c>
      <c r="F889" s="69">
        <v>30</v>
      </c>
      <c r="G889" s="69">
        <v>60</v>
      </c>
      <c r="H889" s="69" t="s">
        <v>2399</v>
      </c>
      <c r="I889" s="69" t="s">
        <v>2479</v>
      </c>
      <c r="J889" s="69" t="s">
        <v>2424</v>
      </c>
      <c r="K889" s="69"/>
      <c r="L889" s="72" t="s">
        <v>2387</v>
      </c>
      <c r="M889" s="72" t="b">
        <f t="shared" si="14"/>
        <v>1</v>
      </c>
    </row>
    <row r="890" spans="1:13" x14ac:dyDescent="0.25">
      <c r="A890" s="69" t="s">
        <v>1025</v>
      </c>
      <c r="B890" s="70" t="s">
        <v>3092</v>
      </c>
      <c r="C890" s="69" t="s">
        <v>1781</v>
      </c>
      <c r="D890" s="71" t="s">
        <v>2961</v>
      </c>
      <c r="E890" s="69" t="s">
        <v>2388</v>
      </c>
      <c r="F890" s="69">
        <v>30</v>
      </c>
      <c r="G890" s="69">
        <v>90</v>
      </c>
      <c r="H890" s="69" t="s">
        <v>2449</v>
      </c>
      <c r="I890" s="69" t="s">
        <v>2420</v>
      </c>
      <c r="J890" s="69" t="s">
        <v>2427</v>
      </c>
      <c r="K890" s="69">
        <v>72933153000100</v>
      </c>
      <c r="L890" s="72" t="s">
        <v>2387</v>
      </c>
      <c r="M890" s="72" t="b">
        <f t="shared" si="14"/>
        <v>0</v>
      </c>
    </row>
    <row r="891" spans="1:13" x14ac:dyDescent="0.25">
      <c r="A891" s="69" t="s">
        <v>900</v>
      </c>
      <c r="B891" s="70">
        <v>44000122</v>
      </c>
      <c r="C891" s="69" t="s">
        <v>903</v>
      </c>
      <c r="D891" s="71" t="s">
        <v>2392</v>
      </c>
      <c r="E891" s="69" t="s">
        <v>2393</v>
      </c>
      <c r="F891" s="69">
        <v>30</v>
      </c>
      <c r="G891" s="69">
        <v>900</v>
      </c>
      <c r="H891" s="69" t="s">
        <v>2399</v>
      </c>
      <c r="I891" s="69" t="s">
        <v>2403</v>
      </c>
      <c r="J891" s="69" t="s">
        <v>2398</v>
      </c>
      <c r="K891" s="69"/>
      <c r="L891" s="72" t="s">
        <v>2392</v>
      </c>
      <c r="M891" s="72" t="b">
        <f t="shared" si="14"/>
        <v>1</v>
      </c>
    </row>
    <row r="892" spans="1:13" x14ac:dyDescent="0.25">
      <c r="A892" s="69" t="s">
        <v>249</v>
      </c>
      <c r="B892" s="70">
        <v>44001833</v>
      </c>
      <c r="C892" s="69" t="s">
        <v>15</v>
      </c>
      <c r="D892" s="71" t="s">
        <v>2387</v>
      </c>
      <c r="E892" s="69" t="s">
        <v>2388</v>
      </c>
      <c r="F892" s="69">
        <v>30</v>
      </c>
      <c r="G892" s="69">
        <v>60</v>
      </c>
      <c r="H892" s="69" t="s">
        <v>2399</v>
      </c>
      <c r="I892" s="69" t="s">
        <v>2479</v>
      </c>
      <c r="J892" s="69" t="s">
        <v>2424</v>
      </c>
      <c r="K892" s="69" t="s">
        <v>3093</v>
      </c>
      <c r="L892" s="72" t="s">
        <v>2387</v>
      </c>
      <c r="M892" s="72" t="b">
        <f t="shared" si="14"/>
        <v>1</v>
      </c>
    </row>
    <row r="893" spans="1:13" x14ac:dyDescent="0.25">
      <c r="A893" s="69" t="s">
        <v>252</v>
      </c>
      <c r="B893" s="70">
        <v>44001833</v>
      </c>
      <c r="C893" s="69" t="s">
        <v>15</v>
      </c>
      <c r="D893" s="71" t="s">
        <v>2387</v>
      </c>
      <c r="E893" s="69" t="s">
        <v>2388</v>
      </c>
      <c r="F893" s="69">
        <v>30</v>
      </c>
      <c r="G893" s="69"/>
      <c r="H893" s="69" t="s">
        <v>2412</v>
      </c>
      <c r="I893" s="69" t="s">
        <v>2410</v>
      </c>
      <c r="J893" s="69" t="s">
        <v>2424</v>
      </c>
      <c r="K893" s="69" t="s">
        <v>3026</v>
      </c>
      <c r="L893" s="72" t="s">
        <v>2387</v>
      </c>
      <c r="M893" s="72" t="b">
        <f t="shared" si="14"/>
        <v>1</v>
      </c>
    </row>
    <row r="894" spans="1:13" x14ac:dyDescent="0.25">
      <c r="A894" s="69" t="s">
        <v>255</v>
      </c>
      <c r="B894" s="70">
        <v>44001833</v>
      </c>
      <c r="C894" s="69" t="s">
        <v>15</v>
      </c>
      <c r="D894" s="71" t="s">
        <v>2387</v>
      </c>
      <c r="E894" s="69" t="s">
        <v>2388</v>
      </c>
      <c r="F894" s="69">
        <v>30</v>
      </c>
      <c r="G894" s="69"/>
      <c r="H894" s="69" t="s">
        <v>2412</v>
      </c>
      <c r="I894" s="69" t="s">
        <v>2410</v>
      </c>
      <c r="J894" s="69" t="s">
        <v>2424</v>
      </c>
      <c r="K894" s="69" t="s">
        <v>3026</v>
      </c>
      <c r="L894" s="72" t="s">
        <v>2387</v>
      </c>
      <c r="M894" s="72" t="b">
        <f t="shared" si="14"/>
        <v>1</v>
      </c>
    </row>
    <row r="895" spans="1:13" x14ac:dyDescent="0.25">
      <c r="A895" s="69" t="s">
        <v>258</v>
      </c>
      <c r="B895" s="70">
        <v>44001833</v>
      </c>
      <c r="C895" s="69" t="s">
        <v>15</v>
      </c>
      <c r="D895" s="71" t="s">
        <v>2387</v>
      </c>
      <c r="E895" s="69" t="s">
        <v>2388</v>
      </c>
      <c r="F895" s="69">
        <v>30</v>
      </c>
      <c r="G895" s="69">
        <v>60</v>
      </c>
      <c r="H895" s="69" t="s">
        <v>2399</v>
      </c>
      <c r="I895" s="69" t="s">
        <v>2479</v>
      </c>
      <c r="J895" s="69" t="s">
        <v>2424</v>
      </c>
      <c r="K895" s="69"/>
      <c r="L895" s="72" t="s">
        <v>2387</v>
      </c>
      <c r="M895" s="72" t="b">
        <f t="shared" si="14"/>
        <v>1</v>
      </c>
    </row>
    <row r="896" spans="1:13" x14ac:dyDescent="0.25">
      <c r="A896" s="69" t="s">
        <v>2273</v>
      </c>
      <c r="B896" s="70">
        <v>44001833</v>
      </c>
      <c r="C896" s="69" t="s">
        <v>15</v>
      </c>
      <c r="D896" s="71" t="s">
        <v>2387</v>
      </c>
      <c r="E896" s="69" t="s">
        <v>2388</v>
      </c>
      <c r="F896" s="69">
        <v>30</v>
      </c>
      <c r="G896" s="69">
        <v>60</v>
      </c>
      <c r="H896" s="69" t="s">
        <v>2399</v>
      </c>
      <c r="I896" s="69" t="s">
        <v>2479</v>
      </c>
      <c r="J896" s="69" t="s">
        <v>2424</v>
      </c>
      <c r="K896" s="69"/>
      <c r="L896" s="72" t="s">
        <v>2387</v>
      </c>
      <c r="M896" s="72" t="b">
        <f t="shared" si="14"/>
        <v>1</v>
      </c>
    </row>
    <row r="897" spans="1:13" x14ac:dyDescent="0.25">
      <c r="A897" s="69" t="s">
        <v>261</v>
      </c>
      <c r="B897" s="70">
        <v>44001833</v>
      </c>
      <c r="C897" s="69" t="s">
        <v>15</v>
      </c>
      <c r="D897" s="71" t="s">
        <v>2387</v>
      </c>
      <c r="E897" s="69" t="s">
        <v>2388</v>
      </c>
      <c r="F897" s="69">
        <v>30</v>
      </c>
      <c r="G897" s="69">
        <v>60</v>
      </c>
      <c r="H897" s="69" t="s">
        <v>2399</v>
      </c>
      <c r="I897" s="69" t="s">
        <v>2479</v>
      </c>
      <c r="J897" s="69" t="s">
        <v>2424</v>
      </c>
      <c r="K897" s="69"/>
      <c r="L897" s="72" t="s">
        <v>2387</v>
      </c>
      <c r="M897" s="72" t="b">
        <f t="shared" si="14"/>
        <v>1</v>
      </c>
    </row>
    <row r="898" spans="1:13" x14ac:dyDescent="0.25">
      <c r="A898" s="69" t="s">
        <v>264</v>
      </c>
      <c r="B898" s="70">
        <v>44001833</v>
      </c>
      <c r="C898" s="69" t="s">
        <v>15</v>
      </c>
      <c r="D898" s="71" t="s">
        <v>2387</v>
      </c>
      <c r="E898" s="69" t="s">
        <v>2388</v>
      </c>
      <c r="F898" s="69">
        <v>30</v>
      </c>
      <c r="G898" s="69">
        <v>60</v>
      </c>
      <c r="H898" s="69" t="s">
        <v>2399</v>
      </c>
      <c r="I898" s="69" t="s">
        <v>2479</v>
      </c>
      <c r="J898" s="69" t="s">
        <v>2424</v>
      </c>
      <c r="K898" s="69"/>
      <c r="L898" s="72" t="s">
        <v>2387</v>
      </c>
      <c r="M898" s="72" t="b">
        <f t="shared" si="14"/>
        <v>1</v>
      </c>
    </row>
    <row r="899" spans="1:13" x14ac:dyDescent="0.25">
      <c r="A899" s="69" t="s">
        <v>267</v>
      </c>
      <c r="B899" s="70">
        <v>44001833</v>
      </c>
      <c r="C899" s="69" t="s">
        <v>15</v>
      </c>
      <c r="D899" s="71" t="s">
        <v>2387</v>
      </c>
      <c r="E899" s="69" t="s">
        <v>2388</v>
      </c>
      <c r="F899" s="69">
        <v>30</v>
      </c>
      <c r="G899" s="69">
        <v>60</v>
      </c>
      <c r="H899" s="69" t="s">
        <v>2399</v>
      </c>
      <c r="I899" s="69" t="s">
        <v>2479</v>
      </c>
      <c r="J899" s="69" t="s">
        <v>2424</v>
      </c>
      <c r="K899" s="69"/>
      <c r="L899" s="72" t="s">
        <v>2387</v>
      </c>
      <c r="M899" s="72" t="b">
        <f t="shared" si="14"/>
        <v>1</v>
      </c>
    </row>
    <row r="900" spans="1:13" x14ac:dyDescent="0.25">
      <c r="A900" s="69" t="s">
        <v>1110</v>
      </c>
      <c r="B900" s="70">
        <v>44000454</v>
      </c>
      <c r="C900" s="69" t="s">
        <v>2487</v>
      </c>
      <c r="D900" s="71" t="s">
        <v>2392</v>
      </c>
      <c r="E900" s="69" t="s">
        <v>2388</v>
      </c>
      <c r="F900" s="69">
        <v>15</v>
      </c>
      <c r="G900" s="69">
        <v>30</v>
      </c>
      <c r="H900" s="69" t="s">
        <v>2486</v>
      </c>
      <c r="I900" s="69" t="s">
        <v>2463</v>
      </c>
      <c r="J900" s="69" t="s">
        <v>3208</v>
      </c>
      <c r="K900" s="69"/>
      <c r="L900" s="72" t="s">
        <v>2387</v>
      </c>
      <c r="M900" s="72" t="b">
        <f t="shared" si="14"/>
        <v>0</v>
      </c>
    </row>
    <row r="901" spans="1:13" x14ac:dyDescent="0.25">
      <c r="A901" s="69" t="s">
        <v>904</v>
      </c>
      <c r="B901" s="70" t="s">
        <v>3081</v>
      </c>
      <c r="C901" s="69" t="s">
        <v>2534</v>
      </c>
      <c r="D901" s="71" t="s">
        <v>2392</v>
      </c>
      <c r="E901" s="69" t="s">
        <v>2393</v>
      </c>
      <c r="F901" s="69"/>
      <c r="G901" s="69"/>
      <c r="H901" s="69" t="s">
        <v>2399</v>
      </c>
      <c r="I901" s="69" t="s">
        <v>2394</v>
      </c>
      <c r="J901" s="69"/>
      <c r="K901" s="69" t="s">
        <v>3082</v>
      </c>
    </row>
    <row r="902" spans="1:13" x14ac:dyDescent="0.25">
      <c r="A902" s="69" t="s">
        <v>904</v>
      </c>
      <c r="B902" s="70" t="s">
        <v>3083</v>
      </c>
      <c r="C902" s="69" t="s">
        <v>896</v>
      </c>
      <c r="D902" s="71" t="s">
        <v>2392</v>
      </c>
      <c r="E902" s="69" t="s">
        <v>2393</v>
      </c>
      <c r="F902" s="69"/>
      <c r="G902" s="69"/>
      <c r="H902" s="69" t="s">
        <v>2399</v>
      </c>
      <c r="I902" s="69" t="s">
        <v>2394</v>
      </c>
      <c r="J902" s="69"/>
      <c r="K902" s="69" t="s">
        <v>3082</v>
      </c>
    </row>
    <row r="903" spans="1:13" x14ac:dyDescent="0.25">
      <c r="A903" s="75" t="s">
        <v>2326</v>
      </c>
      <c r="B903" s="70"/>
      <c r="C903" s="69"/>
      <c r="D903" s="71" t="s">
        <v>2392</v>
      </c>
      <c r="E903" s="69" t="s">
        <v>2393</v>
      </c>
      <c r="F903" s="69">
        <v>30</v>
      </c>
      <c r="G903" s="69"/>
      <c r="H903" s="69" t="s">
        <v>2395</v>
      </c>
      <c r="I903" s="69" t="s">
        <v>2394</v>
      </c>
      <c r="J903" s="69" t="s">
        <v>2394</v>
      </c>
      <c r="K903" s="69" t="s">
        <v>3094</v>
      </c>
      <c r="L903" s="72" t="s">
        <v>2392</v>
      </c>
      <c r="M903" s="72" t="b">
        <f t="shared" ref="M903:M966" si="15">L903=D903</f>
        <v>1</v>
      </c>
    </row>
    <row r="904" spans="1:13" x14ac:dyDescent="0.25">
      <c r="A904" s="69" t="s">
        <v>907</v>
      </c>
      <c r="B904" s="70">
        <v>44000122</v>
      </c>
      <c r="C904" s="69" t="s">
        <v>903</v>
      </c>
      <c r="D904" s="71" t="s">
        <v>2392</v>
      </c>
      <c r="E904" s="69" t="s">
        <v>2393</v>
      </c>
      <c r="F904" s="69">
        <v>30</v>
      </c>
      <c r="G904" s="69">
        <v>900</v>
      </c>
      <c r="H904" s="69" t="s">
        <v>2399</v>
      </c>
      <c r="I904" s="69" t="s">
        <v>2403</v>
      </c>
      <c r="J904" s="69" t="s">
        <v>2398</v>
      </c>
      <c r="K904" s="69"/>
      <c r="L904" s="72" t="s">
        <v>2392</v>
      </c>
      <c r="M904" s="72" t="b">
        <f t="shared" si="15"/>
        <v>1</v>
      </c>
    </row>
    <row r="905" spans="1:13" x14ac:dyDescent="0.25">
      <c r="A905" s="69" t="s">
        <v>912</v>
      </c>
      <c r="B905" s="70">
        <v>44000122</v>
      </c>
      <c r="C905" s="69" t="s">
        <v>903</v>
      </c>
      <c r="D905" s="71" t="s">
        <v>2392</v>
      </c>
      <c r="E905" s="69" t="s">
        <v>2393</v>
      </c>
      <c r="F905" s="69">
        <v>30</v>
      </c>
      <c r="G905" s="69">
        <v>900</v>
      </c>
      <c r="H905" s="69" t="s">
        <v>2399</v>
      </c>
      <c r="I905" s="69" t="s">
        <v>2403</v>
      </c>
      <c r="J905" s="69" t="s">
        <v>2398</v>
      </c>
      <c r="K905" s="69"/>
      <c r="L905" s="72" t="s">
        <v>2392</v>
      </c>
      <c r="M905" s="72" t="b">
        <f t="shared" si="15"/>
        <v>1</v>
      </c>
    </row>
    <row r="906" spans="1:13" x14ac:dyDescent="0.25">
      <c r="A906" s="69" t="s">
        <v>941</v>
      </c>
      <c r="B906" s="70" t="s">
        <v>3095</v>
      </c>
      <c r="C906" s="69" t="s">
        <v>943</v>
      </c>
      <c r="D906" s="71" t="s">
        <v>2392</v>
      </c>
      <c r="E906" s="69" t="s">
        <v>2393</v>
      </c>
      <c r="F906" s="69">
        <v>30</v>
      </c>
      <c r="G906" s="69">
        <v>0</v>
      </c>
      <c r="H906" s="69" t="s">
        <v>2399</v>
      </c>
      <c r="I906" s="69" t="s">
        <v>2505</v>
      </c>
      <c r="J906" s="69" t="s">
        <v>2398</v>
      </c>
      <c r="K906" s="69" t="s">
        <v>3048</v>
      </c>
      <c r="L906" s="72" t="s">
        <v>2392</v>
      </c>
      <c r="M906" s="72" t="b">
        <f t="shared" si="15"/>
        <v>1</v>
      </c>
    </row>
    <row r="907" spans="1:13" x14ac:dyDescent="0.25">
      <c r="A907" s="69" t="s">
        <v>411</v>
      </c>
      <c r="B907" s="70" t="s">
        <v>3096</v>
      </c>
      <c r="C907" s="69" t="s">
        <v>2373</v>
      </c>
      <c r="D907" s="71" t="s">
        <v>2961</v>
      </c>
      <c r="E907" s="69" t="s">
        <v>2388</v>
      </c>
      <c r="F907" s="69">
        <v>30</v>
      </c>
      <c r="G907" s="69">
        <v>90</v>
      </c>
      <c r="H907" s="69" t="s">
        <v>2399</v>
      </c>
      <c r="I907" s="69" t="s">
        <v>2405</v>
      </c>
      <c r="J907" s="69" t="s">
        <v>2406</v>
      </c>
      <c r="K907" s="69"/>
      <c r="L907" s="72" t="s">
        <v>2392</v>
      </c>
      <c r="M907" s="72" t="b">
        <f t="shared" si="15"/>
        <v>0</v>
      </c>
    </row>
    <row r="908" spans="1:13" x14ac:dyDescent="0.25">
      <c r="A908" s="69" t="s">
        <v>1241</v>
      </c>
      <c r="B908" s="70" t="s">
        <v>3097</v>
      </c>
      <c r="C908" s="69" t="s">
        <v>3098</v>
      </c>
      <c r="D908" s="71" t="s">
        <v>2392</v>
      </c>
      <c r="E908" s="69" t="s">
        <v>2388</v>
      </c>
      <c r="F908" s="69">
        <v>30</v>
      </c>
      <c r="G908" s="69">
        <v>90</v>
      </c>
      <c r="H908" s="69" t="s">
        <v>2395</v>
      </c>
      <c r="I908" s="69" t="s">
        <v>2451</v>
      </c>
      <c r="J908" s="69" t="s">
        <v>2398</v>
      </c>
      <c r="K908" s="69"/>
      <c r="L908" s="72" t="s">
        <v>2387</v>
      </c>
      <c r="M908" s="72" t="b">
        <f t="shared" si="15"/>
        <v>0</v>
      </c>
    </row>
    <row r="909" spans="1:13" x14ac:dyDescent="0.25">
      <c r="A909" s="69" t="s">
        <v>1223</v>
      </c>
      <c r="B909" s="70" t="s">
        <v>3097</v>
      </c>
      <c r="C909" s="69" t="s">
        <v>3098</v>
      </c>
      <c r="D909" s="71" t="s">
        <v>2392</v>
      </c>
      <c r="E909" s="69" t="s">
        <v>2388</v>
      </c>
      <c r="F909" s="69">
        <v>30</v>
      </c>
      <c r="G909" s="69">
        <v>90</v>
      </c>
      <c r="H909" s="69" t="s">
        <v>2395</v>
      </c>
      <c r="I909" s="69" t="s">
        <v>2451</v>
      </c>
      <c r="J909" s="69" t="s">
        <v>2398</v>
      </c>
      <c r="K909" s="69"/>
      <c r="L909" s="72" t="s">
        <v>2387</v>
      </c>
      <c r="M909" s="72" t="b">
        <f t="shared" si="15"/>
        <v>0</v>
      </c>
    </row>
    <row r="910" spans="1:13" x14ac:dyDescent="0.25">
      <c r="A910" s="69" t="s">
        <v>945</v>
      </c>
      <c r="B910" s="70">
        <v>44000137</v>
      </c>
      <c r="C910" s="69" t="s">
        <v>947</v>
      </c>
      <c r="D910" s="71" t="s">
        <v>2392</v>
      </c>
      <c r="E910" s="69" t="s">
        <v>2393</v>
      </c>
      <c r="F910" s="69">
        <v>30</v>
      </c>
      <c r="G910" s="69">
        <f>30*3</f>
        <v>90</v>
      </c>
      <c r="H910" s="69" t="s">
        <v>2395</v>
      </c>
      <c r="I910" s="69" t="s">
        <v>2506</v>
      </c>
      <c r="J910" s="69" t="s">
        <v>2415</v>
      </c>
      <c r="K910" s="69"/>
      <c r="L910" s="72" t="s">
        <v>2392</v>
      </c>
      <c r="M910" s="72" t="b">
        <f t="shared" si="15"/>
        <v>1</v>
      </c>
    </row>
    <row r="911" spans="1:13" x14ac:dyDescent="0.25">
      <c r="A911" s="69" t="s">
        <v>949</v>
      </c>
      <c r="B911" s="70">
        <v>44000137</v>
      </c>
      <c r="C911" s="69" t="s">
        <v>947</v>
      </c>
      <c r="D911" s="71" t="s">
        <v>2392</v>
      </c>
      <c r="E911" s="69" t="s">
        <v>2393</v>
      </c>
      <c r="F911" s="69">
        <v>30</v>
      </c>
      <c r="G911" s="69">
        <f>30*3</f>
        <v>90</v>
      </c>
      <c r="H911" s="69" t="s">
        <v>2395</v>
      </c>
      <c r="I911" s="69" t="s">
        <v>2506</v>
      </c>
      <c r="J911" s="69" t="s">
        <v>2415</v>
      </c>
      <c r="K911" s="69"/>
      <c r="L911" s="72" t="s">
        <v>2392</v>
      </c>
      <c r="M911" s="72" t="b">
        <f t="shared" si="15"/>
        <v>1</v>
      </c>
    </row>
    <row r="912" spans="1:13" x14ac:dyDescent="0.25">
      <c r="A912" s="69" t="s">
        <v>952</v>
      </c>
      <c r="B912" s="70">
        <v>44000137</v>
      </c>
      <c r="C912" s="69" t="s">
        <v>947</v>
      </c>
      <c r="D912" s="71" t="s">
        <v>2392</v>
      </c>
      <c r="E912" s="69" t="s">
        <v>2393</v>
      </c>
      <c r="F912" s="69">
        <v>30</v>
      </c>
      <c r="G912" s="69">
        <f>30*3</f>
        <v>90</v>
      </c>
      <c r="H912" s="69" t="s">
        <v>2395</v>
      </c>
      <c r="I912" s="69" t="s">
        <v>2506</v>
      </c>
      <c r="J912" s="69" t="s">
        <v>2415</v>
      </c>
      <c r="K912" s="69"/>
      <c r="L912" s="72" t="s">
        <v>2392</v>
      </c>
      <c r="M912" s="72" t="b">
        <f t="shared" si="15"/>
        <v>1</v>
      </c>
    </row>
    <row r="913" spans="1:13" x14ac:dyDescent="0.25">
      <c r="A913" s="69" t="s">
        <v>955</v>
      </c>
      <c r="B913" s="70">
        <v>44000137</v>
      </c>
      <c r="C913" s="69" t="s">
        <v>947</v>
      </c>
      <c r="D913" s="71" t="s">
        <v>2392</v>
      </c>
      <c r="E913" s="69" t="s">
        <v>2393</v>
      </c>
      <c r="F913" s="69">
        <v>30</v>
      </c>
      <c r="G913" s="69">
        <f>30*3</f>
        <v>90</v>
      </c>
      <c r="H913" s="69" t="s">
        <v>2395</v>
      </c>
      <c r="I913" s="69" t="s">
        <v>2506</v>
      </c>
      <c r="J913" s="69" t="s">
        <v>2415</v>
      </c>
      <c r="K913" s="69"/>
      <c r="L913" s="72" t="s">
        <v>2392</v>
      </c>
      <c r="M913" s="72" t="b">
        <f t="shared" si="15"/>
        <v>1</v>
      </c>
    </row>
    <row r="914" spans="1:13" x14ac:dyDescent="0.25">
      <c r="A914" s="69" t="s">
        <v>2348</v>
      </c>
      <c r="B914" s="70"/>
      <c r="C914" s="69" t="s">
        <v>2495</v>
      </c>
      <c r="D914" s="71" t="s">
        <v>2392</v>
      </c>
      <c r="E914" s="69" t="s">
        <v>2388</v>
      </c>
      <c r="F914" s="69">
        <v>0</v>
      </c>
      <c r="G914" s="69"/>
      <c r="H914" s="69" t="s">
        <v>2395</v>
      </c>
      <c r="I914" s="69" t="s">
        <v>2410</v>
      </c>
      <c r="J914" s="69" t="s">
        <v>2401</v>
      </c>
      <c r="K914" s="69"/>
      <c r="L914" s="72" t="s">
        <v>2495</v>
      </c>
      <c r="M914" s="72" t="b">
        <f t="shared" si="15"/>
        <v>0</v>
      </c>
    </row>
    <row r="915" spans="1:13" x14ac:dyDescent="0.25">
      <c r="A915" s="69" t="s">
        <v>2349</v>
      </c>
      <c r="B915" s="70"/>
      <c r="C915" s="69" t="s">
        <v>2495</v>
      </c>
      <c r="D915" s="71" t="s">
        <v>2392</v>
      </c>
      <c r="E915" s="69" t="s">
        <v>2388</v>
      </c>
      <c r="F915" s="69">
        <v>0</v>
      </c>
      <c r="G915" s="69"/>
      <c r="H915" s="69" t="s">
        <v>2395</v>
      </c>
      <c r="I915" s="69" t="s">
        <v>2410</v>
      </c>
      <c r="J915" s="69" t="s">
        <v>2401</v>
      </c>
      <c r="K915" s="69"/>
      <c r="L915" s="72" t="s">
        <v>2495</v>
      </c>
      <c r="M915" s="72" t="b">
        <f t="shared" si="15"/>
        <v>0</v>
      </c>
    </row>
    <row r="916" spans="1:13" x14ac:dyDescent="0.25">
      <c r="A916" s="69" t="s">
        <v>2347</v>
      </c>
      <c r="B916" s="70"/>
      <c r="C916" s="69" t="s">
        <v>2495</v>
      </c>
      <c r="D916" s="71" t="s">
        <v>2392</v>
      </c>
      <c r="E916" s="69" t="s">
        <v>2388</v>
      </c>
      <c r="F916" s="69">
        <v>0</v>
      </c>
      <c r="G916" s="69"/>
      <c r="H916" s="69" t="s">
        <v>2395</v>
      </c>
      <c r="I916" s="69" t="s">
        <v>2410</v>
      </c>
      <c r="J916" s="69" t="s">
        <v>2401</v>
      </c>
      <c r="K916" s="69"/>
      <c r="L916" s="72" t="s">
        <v>2495</v>
      </c>
      <c r="M916" s="72" t="b">
        <f t="shared" si="15"/>
        <v>0</v>
      </c>
    </row>
    <row r="917" spans="1:13" x14ac:dyDescent="0.25">
      <c r="A917" s="69" t="s">
        <v>2538</v>
      </c>
      <c r="B917" s="70"/>
      <c r="C917" s="69" t="s">
        <v>2495</v>
      </c>
      <c r="D917" s="71" t="s">
        <v>2392</v>
      </c>
      <c r="E917" s="69" t="s">
        <v>2388</v>
      </c>
      <c r="F917" s="69">
        <v>0</v>
      </c>
      <c r="G917" s="69"/>
      <c r="H917" s="69" t="s">
        <v>2395</v>
      </c>
      <c r="I917" s="69" t="s">
        <v>2394</v>
      </c>
      <c r="J917" s="69" t="s">
        <v>2401</v>
      </c>
      <c r="K917" s="69"/>
      <c r="L917" s="72" t="s">
        <v>2495</v>
      </c>
      <c r="M917" s="72" t="b">
        <f t="shared" si="15"/>
        <v>0</v>
      </c>
    </row>
    <row r="918" spans="1:13" x14ac:dyDescent="0.25">
      <c r="A918" s="69" t="s">
        <v>2319</v>
      </c>
      <c r="B918" s="70"/>
      <c r="C918" s="69" t="s">
        <v>2495</v>
      </c>
      <c r="D918" s="71" t="s">
        <v>2392</v>
      </c>
      <c r="E918" s="69" t="s">
        <v>2388</v>
      </c>
      <c r="F918" s="69">
        <v>0</v>
      </c>
      <c r="G918" s="69"/>
      <c r="H918" s="69" t="s">
        <v>2395</v>
      </c>
      <c r="I918" s="69" t="s">
        <v>2410</v>
      </c>
      <c r="J918" s="69" t="s">
        <v>2401</v>
      </c>
      <c r="K918" s="69"/>
      <c r="L918" s="72" t="s">
        <v>2495</v>
      </c>
      <c r="M918" s="72" t="b">
        <f t="shared" si="15"/>
        <v>0</v>
      </c>
    </row>
    <row r="919" spans="1:13" x14ac:dyDescent="0.25">
      <c r="A919" s="69" t="s">
        <v>2312</v>
      </c>
      <c r="B919" s="70"/>
      <c r="C919" s="69" t="s">
        <v>2495</v>
      </c>
      <c r="D919" s="71" t="s">
        <v>2392</v>
      </c>
      <c r="E919" s="69" t="s">
        <v>2388</v>
      </c>
      <c r="F919" s="69">
        <v>0</v>
      </c>
      <c r="G919" s="69"/>
      <c r="H919" s="69" t="s">
        <v>2395</v>
      </c>
      <c r="I919" s="69" t="s">
        <v>2410</v>
      </c>
      <c r="J919" s="69" t="s">
        <v>2401</v>
      </c>
      <c r="K919" s="69"/>
      <c r="L919" s="72" t="s">
        <v>2495</v>
      </c>
      <c r="M919" s="72" t="b">
        <f t="shared" si="15"/>
        <v>0</v>
      </c>
    </row>
    <row r="920" spans="1:13" x14ac:dyDescent="0.25">
      <c r="A920" s="69" t="s">
        <v>2329</v>
      </c>
      <c r="B920" s="70"/>
      <c r="C920" s="69" t="s">
        <v>2495</v>
      </c>
      <c r="D920" s="71" t="s">
        <v>2392</v>
      </c>
      <c r="E920" s="69" t="s">
        <v>2388</v>
      </c>
      <c r="F920" s="69">
        <v>0</v>
      </c>
      <c r="G920" s="69"/>
      <c r="H920" s="69" t="s">
        <v>2395</v>
      </c>
      <c r="I920" s="69" t="s">
        <v>2410</v>
      </c>
      <c r="J920" s="69" t="s">
        <v>2401</v>
      </c>
      <c r="K920" s="69"/>
      <c r="L920" s="72" t="s">
        <v>2495</v>
      </c>
      <c r="M920" s="72" t="b">
        <f t="shared" si="15"/>
        <v>0</v>
      </c>
    </row>
    <row r="921" spans="1:13" x14ac:dyDescent="0.25">
      <c r="A921" s="69" t="s">
        <v>2213</v>
      </c>
      <c r="B921" s="70">
        <v>44000935</v>
      </c>
      <c r="C921" s="69" t="s">
        <v>144</v>
      </c>
      <c r="D921" s="71" t="s">
        <v>2392</v>
      </c>
      <c r="E921" s="69" t="s">
        <v>2388</v>
      </c>
      <c r="F921" s="69">
        <v>30</v>
      </c>
      <c r="G921" s="69">
        <v>30</v>
      </c>
      <c r="H921" s="69" t="s">
        <v>2486</v>
      </c>
      <c r="I921" s="69" t="s">
        <v>2463</v>
      </c>
      <c r="J921" s="69" t="s">
        <v>3208</v>
      </c>
      <c r="K921" s="69" t="s">
        <v>3013</v>
      </c>
      <c r="L921" s="72" t="s">
        <v>2392</v>
      </c>
      <c r="M921" s="72" t="b">
        <f t="shared" si="15"/>
        <v>1</v>
      </c>
    </row>
    <row r="922" spans="1:13" x14ac:dyDescent="0.25">
      <c r="A922" s="69" t="s">
        <v>2539</v>
      </c>
      <c r="B922" s="70">
        <v>44000010</v>
      </c>
      <c r="C922" s="69" t="s">
        <v>28</v>
      </c>
      <c r="D922" s="71" t="s">
        <v>2387</v>
      </c>
      <c r="E922" s="69" t="s">
        <v>2388</v>
      </c>
      <c r="F922" s="69">
        <v>30</v>
      </c>
      <c r="G922" s="69">
        <v>90</v>
      </c>
      <c r="H922" s="69" t="s">
        <v>2412</v>
      </c>
      <c r="I922" s="69" t="s">
        <v>2410</v>
      </c>
      <c r="J922" s="69" t="s">
        <v>2401</v>
      </c>
      <c r="K922" s="69"/>
      <c r="L922" s="72" t="s">
        <v>2387</v>
      </c>
      <c r="M922" s="72" t="b">
        <f t="shared" si="15"/>
        <v>1</v>
      </c>
    </row>
    <row r="923" spans="1:13" x14ac:dyDescent="0.25">
      <c r="A923" s="69" t="s">
        <v>1113</v>
      </c>
      <c r="B923" s="70">
        <v>44001765</v>
      </c>
      <c r="C923" s="69" t="s">
        <v>933</v>
      </c>
      <c r="D923" s="71" t="s">
        <v>2387</v>
      </c>
      <c r="E923" s="69" t="s">
        <v>2388</v>
      </c>
      <c r="F923" s="69">
        <v>30</v>
      </c>
      <c r="G923" s="69">
        <v>90</v>
      </c>
      <c r="H923" s="69" t="s">
        <v>2399</v>
      </c>
      <c r="I923" s="69" t="s">
        <v>2453</v>
      </c>
      <c r="J923" s="69" t="s">
        <v>2415</v>
      </c>
      <c r="K923" s="69"/>
      <c r="L923" s="72" t="s">
        <v>2392</v>
      </c>
      <c r="M923" s="72" t="b">
        <f t="shared" si="15"/>
        <v>0</v>
      </c>
    </row>
    <row r="924" spans="1:13" x14ac:dyDescent="0.25">
      <c r="A924" s="69" t="s">
        <v>2133</v>
      </c>
      <c r="B924" s="70" t="s">
        <v>3099</v>
      </c>
      <c r="C924" s="69" t="s">
        <v>3100</v>
      </c>
      <c r="D924" s="71" t="s">
        <v>2392</v>
      </c>
      <c r="E924" s="69" t="s">
        <v>2388</v>
      </c>
      <c r="F924" s="69">
        <v>30</v>
      </c>
      <c r="G924" s="69">
        <f>3*30</f>
        <v>90</v>
      </c>
      <c r="H924" s="69" t="s">
        <v>2399</v>
      </c>
      <c r="I924" s="69" t="s">
        <v>2428</v>
      </c>
      <c r="J924" s="69" t="s">
        <v>2427</v>
      </c>
      <c r="K924" s="69"/>
      <c r="L924" s="72" t="s">
        <v>2392</v>
      </c>
      <c r="M924" s="72" t="b">
        <f t="shared" si="15"/>
        <v>1</v>
      </c>
    </row>
    <row r="925" spans="1:13" x14ac:dyDescent="0.25">
      <c r="A925" s="69" t="s">
        <v>961</v>
      </c>
      <c r="B925" s="70">
        <v>40004587</v>
      </c>
      <c r="C925" s="69" t="s">
        <v>963</v>
      </c>
      <c r="D925" s="71" t="s">
        <v>2392</v>
      </c>
      <c r="E925" s="69" t="s">
        <v>2393</v>
      </c>
      <c r="F925" s="69">
        <v>30</v>
      </c>
      <c r="G925" s="69">
        <v>900</v>
      </c>
      <c r="H925" s="69" t="s">
        <v>2399</v>
      </c>
      <c r="I925" s="69" t="s">
        <v>2397</v>
      </c>
      <c r="J925" s="69" t="s">
        <v>2398</v>
      </c>
      <c r="K925" s="69"/>
      <c r="L925" s="72" t="s">
        <v>2392</v>
      </c>
      <c r="M925" s="72" t="b">
        <f t="shared" si="15"/>
        <v>1</v>
      </c>
    </row>
    <row r="926" spans="1:13" x14ac:dyDescent="0.25">
      <c r="A926" s="69" t="s">
        <v>1836</v>
      </c>
      <c r="B926" s="70" t="s">
        <v>3101</v>
      </c>
      <c r="C926" s="69" t="s">
        <v>1839</v>
      </c>
      <c r="D926" s="71" t="s">
        <v>2392</v>
      </c>
      <c r="E926" s="69" t="s">
        <v>2388</v>
      </c>
      <c r="F926" s="69">
        <v>30</v>
      </c>
      <c r="G926" s="69">
        <v>30</v>
      </c>
      <c r="H926" s="69" t="s">
        <v>2399</v>
      </c>
      <c r="I926" s="69" t="s">
        <v>2463</v>
      </c>
      <c r="J926" s="69" t="s">
        <v>3213</v>
      </c>
      <c r="K926" s="69"/>
      <c r="L926" s="72" t="s">
        <v>2392</v>
      </c>
      <c r="M926" s="72" t="b">
        <f t="shared" si="15"/>
        <v>1</v>
      </c>
    </row>
    <row r="927" spans="1:13" x14ac:dyDescent="0.25">
      <c r="A927" s="69" t="s">
        <v>2024</v>
      </c>
      <c r="B927" s="70">
        <v>44001733</v>
      </c>
      <c r="C927" s="69" t="s">
        <v>41</v>
      </c>
      <c r="D927" s="71" t="s">
        <v>2961</v>
      </c>
      <c r="E927" s="69" t="s">
        <v>2388</v>
      </c>
      <c r="F927" s="69">
        <v>30</v>
      </c>
      <c r="G927" s="69">
        <v>45</v>
      </c>
      <c r="H927" s="69" t="s">
        <v>2391</v>
      </c>
      <c r="I927" s="69" t="s">
        <v>2429</v>
      </c>
      <c r="J927" s="69" t="s">
        <v>2408</v>
      </c>
      <c r="K927" s="69"/>
      <c r="L927" s="72" t="s">
        <v>2387</v>
      </c>
      <c r="M927" s="72" t="b">
        <f t="shared" si="15"/>
        <v>0</v>
      </c>
    </row>
    <row r="928" spans="1:13" x14ac:dyDescent="0.25">
      <c r="A928" s="69" t="s">
        <v>965</v>
      </c>
      <c r="B928" s="70">
        <v>44000137</v>
      </c>
      <c r="C928" s="69" t="s">
        <v>947</v>
      </c>
      <c r="D928" s="71" t="s">
        <v>2392</v>
      </c>
      <c r="E928" s="69" t="s">
        <v>2393</v>
      </c>
      <c r="F928" s="69">
        <v>30</v>
      </c>
      <c r="G928" s="69">
        <f>30*3</f>
        <v>90</v>
      </c>
      <c r="H928" s="69" t="s">
        <v>2395</v>
      </c>
      <c r="I928" s="69" t="s">
        <v>2506</v>
      </c>
      <c r="J928" s="69" t="s">
        <v>2415</v>
      </c>
      <c r="K928" s="69"/>
      <c r="L928" s="72" t="s">
        <v>2392</v>
      </c>
      <c r="M928" s="72" t="b">
        <f t="shared" si="15"/>
        <v>1</v>
      </c>
    </row>
    <row r="929" spans="1:13" x14ac:dyDescent="0.25">
      <c r="A929" s="69" t="s">
        <v>968</v>
      </c>
      <c r="B929" s="70">
        <v>44000137</v>
      </c>
      <c r="C929" s="69" t="s">
        <v>947</v>
      </c>
      <c r="D929" s="71" t="s">
        <v>2392</v>
      </c>
      <c r="E929" s="69" t="s">
        <v>2393</v>
      </c>
      <c r="F929" s="69">
        <v>30</v>
      </c>
      <c r="G929" s="69">
        <f>30*3</f>
        <v>90</v>
      </c>
      <c r="H929" s="69" t="s">
        <v>2395</v>
      </c>
      <c r="I929" s="69" t="s">
        <v>2506</v>
      </c>
      <c r="J929" s="69" t="s">
        <v>2415</v>
      </c>
      <c r="K929" s="69"/>
      <c r="L929" s="72" t="s">
        <v>2392</v>
      </c>
      <c r="M929" s="72" t="b">
        <f t="shared" si="15"/>
        <v>1</v>
      </c>
    </row>
    <row r="930" spans="1:13" x14ac:dyDescent="0.25">
      <c r="A930" s="69" t="s">
        <v>2063</v>
      </c>
      <c r="B930" s="70">
        <v>44000078</v>
      </c>
      <c r="C930" s="69" t="s">
        <v>1878</v>
      </c>
      <c r="D930" s="71" t="s">
        <v>2387</v>
      </c>
      <c r="E930" s="69" t="s">
        <v>2393</v>
      </c>
      <c r="F930" s="69">
        <v>30</v>
      </c>
      <c r="G930" s="69">
        <v>180</v>
      </c>
      <c r="H930" s="69" t="s">
        <v>2391</v>
      </c>
      <c r="I930" s="69" t="s">
        <v>2431</v>
      </c>
      <c r="J930" s="69" t="s">
        <v>2408</v>
      </c>
      <c r="K930" s="69"/>
      <c r="L930" s="72" t="s">
        <v>2392</v>
      </c>
      <c r="M930" s="72" t="b">
        <f t="shared" si="15"/>
        <v>0</v>
      </c>
    </row>
    <row r="931" spans="1:13" x14ac:dyDescent="0.25">
      <c r="A931" s="69" t="s">
        <v>994</v>
      </c>
      <c r="B931" s="70">
        <v>44000078</v>
      </c>
      <c r="C931" s="69" t="s">
        <v>1878</v>
      </c>
      <c r="D931" s="71" t="s">
        <v>2387</v>
      </c>
      <c r="E931" s="69" t="s">
        <v>2393</v>
      </c>
      <c r="F931" s="69">
        <v>30</v>
      </c>
      <c r="G931" s="69">
        <v>180</v>
      </c>
      <c r="H931" s="69" t="s">
        <v>2391</v>
      </c>
      <c r="I931" s="69" t="s">
        <v>2431</v>
      </c>
      <c r="J931" s="69" t="s">
        <v>2408</v>
      </c>
      <c r="K931" s="69"/>
      <c r="L931" s="72" t="s">
        <v>2392</v>
      </c>
      <c r="M931" s="72" t="b">
        <f t="shared" si="15"/>
        <v>0</v>
      </c>
    </row>
    <row r="932" spans="1:13" x14ac:dyDescent="0.25">
      <c r="A932" s="69" t="s">
        <v>1003</v>
      </c>
      <c r="B932" s="70">
        <v>44004662</v>
      </c>
      <c r="C932" s="69" t="s">
        <v>2540</v>
      </c>
      <c r="D932" s="71" t="s">
        <v>2392</v>
      </c>
      <c r="E932" s="69" t="s">
        <v>2393</v>
      </c>
      <c r="F932" s="69">
        <v>30</v>
      </c>
      <c r="G932" s="69">
        <v>180</v>
      </c>
      <c r="H932" s="69" t="s">
        <v>2399</v>
      </c>
      <c r="I932" s="69" t="s">
        <v>2447</v>
      </c>
      <c r="J932" s="69" t="s">
        <v>2492</v>
      </c>
      <c r="K932" s="69" t="s">
        <v>3102</v>
      </c>
      <c r="L932" s="72" t="s">
        <v>2392</v>
      </c>
      <c r="M932" s="72" t="b">
        <f t="shared" si="15"/>
        <v>1</v>
      </c>
    </row>
    <row r="933" spans="1:13" x14ac:dyDescent="0.25">
      <c r="A933" s="69" t="s">
        <v>1007</v>
      </c>
      <c r="B933" s="70">
        <v>44005154</v>
      </c>
      <c r="C933" s="69" t="s">
        <v>2541</v>
      </c>
      <c r="D933" s="71" t="s">
        <v>2392</v>
      </c>
      <c r="E933" s="69" t="s">
        <v>2393</v>
      </c>
      <c r="F933" s="69">
        <v>30</v>
      </c>
      <c r="G933" s="69">
        <v>180</v>
      </c>
      <c r="H933" s="69" t="s">
        <v>2399</v>
      </c>
      <c r="I933" s="69" t="s">
        <v>2447</v>
      </c>
      <c r="J933" s="69" t="s">
        <v>2408</v>
      </c>
      <c r="K933" s="69" t="s">
        <v>3102</v>
      </c>
      <c r="L933" s="72" t="s">
        <v>2392</v>
      </c>
      <c r="M933" s="72" t="b">
        <f t="shared" si="15"/>
        <v>1</v>
      </c>
    </row>
    <row r="934" spans="1:13" x14ac:dyDescent="0.25">
      <c r="A934" s="69" t="s">
        <v>149</v>
      </c>
      <c r="B934" s="70">
        <v>44006367</v>
      </c>
      <c r="C934" s="69" t="s">
        <v>2542</v>
      </c>
      <c r="D934" s="71" t="s">
        <v>2392</v>
      </c>
      <c r="E934" s="69" t="s">
        <v>2393</v>
      </c>
      <c r="F934" s="69">
        <v>30</v>
      </c>
      <c r="G934" s="69">
        <f>3*30</f>
        <v>90</v>
      </c>
      <c r="H934" s="69" t="s">
        <v>2399</v>
      </c>
      <c r="I934" s="69" t="s">
        <v>2428</v>
      </c>
      <c r="J934" s="69" t="s">
        <v>2427</v>
      </c>
      <c r="K934" s="69"/>
      <c r="L934" s="72" t="s">
        <v>2392</v>
      </c>
      <c r="M934" s="72" t="b">
        <f t="shared" si="15"/>
        <v>1</v>
      </c>
    </row>
    <row r="935" spans="1:13" x14ac:dyDescent="0.25">
      <c r="A935" s="69" t="s">
        <v>2133</v>
      </c>
      <c r="B935" s="70">
        <v>44007153</v>
      </c>
      <c r="C935" s="69" t="s">
        <v>3103</v>
      </c>
      <c r="D935" s="71" t="s">
        <v>2392</v>
      </c>
      <c r="E935" s="69" t="s">
        <v>2393</v>
      </c>
      <c r="F935" s="69">
        <v>30</v>
      </c>
      <c r="G935" s="69">
        <f>3*30</f>
        <v>90</v>
      </c>
      <c r="H935" s="69" t="s">
        <v>2399</v>
      </c>
      <c r="I935" s="69" t="s">
        <v>2428</v>
      </c>
      <c r="J935" s="69" t="s">
        <v>2427</v>
      </c>
      <c r="K935" s="69"/>
      <c r="L935" s="72" t="s">
        <v>2392</v>
      </c>
      <c r="M935" s="72" t="b">
        <f t="shared" si="15"/>
        <v>1</v>
      </c>
    </row>
    <row r="936" spans="1:13" x14ac:dyDescent="0.25">
      <c r="A936" s="69" t="s">
        <v>1821</v>
      </c>
      <c r="B936" s="70" t="s">
        <v>3104</v>
      </c>
      <c r="C936" s="69" t="s">
        <v>1766</v>
      </c>
      <c r="D936" s="71" t="s">
        <v>2392</v>
      </c>
      <c r="E936" s="69" t="s">
        <v>2393</v>
      </c>
      <c r="F936" s="69">
        <v>30</v>
      </c>
      <c r="G936" s="69">
        <v>0</v>
      </c>
      <c r="H936" s="69" t="s">
        <v>2399</v>
      </c>
      <c r="I936" s="69" t="s">
        <v>2394</v>
      </c>
      <c r="J936" s="69" t="s">
        <v>2427</v>
      </c>
      <c r="K936" s="69" t="s">
        <v>3011</v>
      </c>
      <c r="L936" s="72" t="s">
        <v>2387</v>
      </c>
      <c r="M936" s="72" t="b">
        <f t="shared" si="15"/>
        <v>0</v>
      </c>
    </row>
    <row r="937" spans="1:13" x14ac:dyDescent="0.25">
      <c r="A937" s="69" t="s">
        <v>1040</v>
      </c>
      <c r="B937" s="70">
        <v>44005741</v>
      </c>
      <c r="C937" s="69" t="s">
        <v>1042</v>
      </c>
      <c r="D937" s="71" t="s">
        <v>2387</v>
      </c>
      <c r="E937" s="69" t="s">
        <v>2393</v>
      </c>
      <c r="F937" s="69">
        <v>30</v>
      </c>
      <c r="G937" s="69">
        <v>30</v>
      </c>
      <c r="H937" s="69" t="s">
        <v>2399</v>
      </c>
      <c r="I937" s="69" t="s">
        <v>2431</v>
      </c>
      <c r="J937" s="69" t="s">
        <v>2543</v>
      </c>
      <c r="K937" s="69"/>
      <c r="L937" s="72" t="s">
        <v>2392</v>
      </c>
      <c r="M937" s="72" t="b">
        <f t="shared" si="15"/>
        <v>0</v>
      </c>
    </row>
    <row r="938" spans="1:13" x14ac:dyDescent="0.25">
      <c r="A938" s="69" t="s">
        <v>270</v>
      </c>
      <c r="B938" s="70">
        <v>44001833</v>
      </c>
      <c r="C938" s="69" t="s">
        <v>15</v>
      </c>
      <c r="D938" s="71" t="s">
        <v>2387</v>
      </c>
      <c r="E938" s="69" t="s">
        <v>2388</v>
      </c>
      <c r="F938" s="69">
        <v>30</v>
      </c>
      <c r="G938" s="69">
        <v>60</v>
      </c>
      <c r="H938" s="69" t="s">
        <v>2399</v>
      </c>
      <c r="I938" s="69" t="s">
        <v>2479</v>
      </c>
      <c r="J938" s="69" t="s">
        <v>2424</v>
      </c>
      <c r="K938" s="69" t="s">
        <v>3105</v>
      </c>
      <c r="L938" s="72" t="s">
        <v>2387</v>
      </c>
      <c r="M938" s="72" t="b">
        <f t="shared" si="15"/>
        <v>1</v>
      </c>
    </row>
    <row r="939" spans="1:13" x14ac:dyDescent="0.25">
      <c r="A939" s="69" t="s">
        <v>276</v>
      </c>
      <c r="B939" s="70">
        <v>44001833</v>
      </c>
      <c r="C939" s="69" t="s">
        <v>15</v>
      </c>
      <c r="D939" s="71" t="s">
        <v>2387</v>
      </c>
      <c r="E939" s="69" t="s">
        <v>2388</v>
      </c>
      <c r="F939" s="69">
        <v>30</v>
      </c>
      <c r="G939" s="69">
        <v>60</v>
      </c>
      <c r="H939" s="69" t="s">
        <v>2399</v>
      </c>
      <c r="I939" s="69" t="s">
        <v>2479</v>
      </c>
      <c r="J939" s="69" t="s">
        <v>2424</v>
      </c>
      <c r="K939" s="69" t="s">
        <v>3105</v>
      </c>
      <c r="L939" s="72" t="s">
        <v>2387</v>
      </c>
      <c r="M939" s="72" t="b">
        <f t="shared" si="15"/>
        <v>1</v>
      </c>
    </row>
    <row r="940" spans="1:13" x14ac:dyDescent="0.25">
      <c r="A940" s="69" t="s">
        <v>1116</v>
      </c>
      <c r="B940" s="70"/>
      <c r="C940" s="69"/>
      <c r="D940" s="71" t="s">
        <v>2387</v>
      </c>
      <c r="E940" s="69" t="s">
        <v>2388</v>
      </c>
      <c r="F940" s="69">
        <v>30</v>
      </c>
      <c r="G940" s="69">
        <v>45</v>
      </c>
      <c r="H940" s="69" t="s">
        <v>2399</v>
      </c>
      <c r="I940" s="69" t="s">
        <v>2431</v>
      </c>
      <c r="J940" s="69" t="s">
        <v>2401</v>
      </c>
      <c r="K940" s="69" t="s">
        <v>3106</v>
      </c>
      <c r="L940" s="72" t="s">
        <v>2392</v>
      </c>
      <c r="M940" s="72" t="b">
        <f t="shared" si="15"/>
        <v>0</v>
      </c>
    </row>
    <row r="941" spans="1:13" x14ac:dyDescent="0.25">
      <c r="A941" s="69" t="s">
        <v>273</v>
      </c>
      <c r="B941" s="70">
        <v>44001833</v>
      </c>
      <c r="C941" s="69" t="s">
        <v>15</v>
      </c>
      <c r="D941" s="71" t="s">
        <v>2387</v>
      </c>
      <c r="E941" s="69" t="s">
        <v>2388</v>
      </c>
      <c r="F941" s="69">
        <v>30</v>
      </c>
      <c r="G941" s="69">
        <v>60</v>
      </c>
      <c r="H941" s="69" t="s">
        <v>2399</v>
      </c>
      <c r="I941" s="69" t="s">
        <v>2479</v>
      </c>
      <c r="J941" s="69" t="s">
        <v>2424</v>
      </c>
      <c r="K941" s="69"/>
      <c r="L941" s="72" t="s">
        <v>2387</v>
      </c>
      <c r="M941" s="72" t="b">
        <f t="shared" si="15"/>
        <v>1</v>
      </c>
    </row>
    <row r="942" spans="1:13" x14ac:dyDescent="0.25">
      <c r="A942" s="69" t="s">
        <v>2239</v>
      </c>
      <c r="B942" s="70">
        <v>44001833</v>
      </c>
      <c r="C942" s="69" t="s">
        <v>15</v>
      </c>
      <c r="D942" s="71" t="s">
        <v>2387</v>
      </c>
      <c r="E942" s="69" t="s">
        <v>2388</v>
      </c>
      <c r="F942" s="69">
        <v>30</v>
      </c>
      <c r="G942" s="69">
        <v>60</v>
      </c>
      <c r="H942" s="69" t="s">
        <v>2399</v>
      </c>
      <c r="I942" s="69" t="s">
        <v>2479</v>
      </c>
      <c r="J942" s="69" t="s">
        <v>2424</v>
      </c>
      <c r="K942" s="69"/>
      <c r="L942" s="72" t="s">
        <v>2387</v>
      </c>
      <c r="M942" s="72" t="b">
        <f t="shared" si="15"/>
        <v>1</v>
      </c>
    </row>
    <row r="943" spans="1:13" x14ac:dyDescent="0.25">
      <c r="A943" s="69" t="s">
        <v>1044</v>
      </c>
      <c r="B943" s="70">
        <v>44005741</v>
      </c>
      <c r="C943" s="69" t="s">
        <v>1042</v>
      </c>
      <c r="D943" s="71" t="s">
        <v>2387</v>
      </c>
      <c r="E943" s="69" t="s">
        <v>2393</v>
      </c>
      <c r="F943" s="69">
        <v>30</v>
      </c>
      <c r="G943" s="69">
        <v>30</v>
      </c>
      <c r="H943" s="69" t="s">
        <v>2399</v>
      </c>
      <c r="I943" s="69" t="s">
        <v>2431</v>
      </c>
      <c r="J943" s="69" t="s">
        <v>2543</v>
      </c>
      <c r="K943" s="69"/>
      <c r="L943" s="72" t="s">
        <v>2392</v>
      </c>
      <c r="M943" s="72" t="b">
        <f t="shared" si="15"/>
        <v>0</v>
      </c>
    </row>
    <row r="944" spans="1:13" x14ac:dyDescent="0.25">
      <c r="A944" s="69" t="s">
        <v>1764</v>
      </c>
      <c r="B944" s="70">
        <v>44006932</v>
      </c>
      <c r="C944" s="69" t="s">
        <v>1766</v>
      </c>
      <c r="D944" s="71" t="s">
        <v>2961</v>
      </c>
      <c r="E944" s="69" t="s">
        <v>2388</v>
      </c>
      <c r="F944" s="69">
        <v>30</v>
      </c>
      <c r="G944" s="69">
        <v>90</v>
      </c>
      <c r="H944" s="69" t="s">
        <v>2449</v>
      </c>
      <c r="I944" s="69" t="s">
        <v>2420</v>
      </c>
      <c r="J944" s="69" t="s">
        <v>2427</v>
      </c>
      <c r="K944" s="69"/>
      <c r="L944" s="72" t="s">
        <v>2387</v>
      </c>
      <c r="M944" s="72" t="b">
        <f t="shared" si="15"/>
        <v>0</v>
      </c>
    </row>
    <row r="945" spans="1:13" x14ac:dyDescent="0.25">
      <c r="A945" s="69" t="s">
        <v>2145</v>
      </c>
      <c r="B945" s="70"/>
      <c r="C945" s="69"/>
      <c r="D945" s="71" t="s">
        <v>2961</v>
      </c>
      <c r="E945" s="69" t="s">
        <v>2388</v>
      </c>
      <c r="F945" s="69">
        <v>30</v>
      </c>
      <c r="G945" s="69">
        <v>60</v>
      </c>
      <c r="H945" s="69" t="s">
        <v>2399</v>
      </c>
      <c r="I945" s="69" t="s">
        <v>2429</v>
      </c>
      <c r="J945" s="69" t="s">
        <v>2427</v>
      </c>
      <c r="K945" s="69"/>
      <c r="L945" s="72" t="s">
        <v>2387</v>
      </c>
      <c r="M945" s="72" t="b">
        <f t="shared" si="15"/>
        <v>0</v>
      </c>
    </row>
    <row r="946" spans="1:13" x14ac:dyDescent="0.25">
      <c r="A946" s="69" t="s">
        <v>2188</v>
      </c>
      <c r="B946" s="70"/>
      <c r="C946" s="69"/>
      <c r="D946" s="71" t="s">
        <v>2387</v>
      </c>
      <c r="E946" s="69" t="s">
        <v>2388</v>
      </c>
      <c r="F946" s="69">
        <v>30</v>
      </c>
      <c r="G946" s="69">
        <v>90</v>
      </c>
      <c r="H946" s="69" t="s">
        <v>2399</v>
      </c>
      <c r="I946" s="69" t="s">
        <v>2426</v>
      </c>
      <c r="J946" s="69" t="s">
        <v>2427</v>
      </c>
      <c r="K946" s="69" t="s">
        <v>3107</v>
      </c>
      <c r="L946" s="72" t="s">
        <v>2392</v>
      </c>
      <c r="M946" s="72" t="b">
        <f t="shared" si="15"/>
        <v>0</v>
      </c>
    </row>
    <row r="947" spans="1:13" x14ac:dyDescent="0.25">
      <c r="A947" s="69" t="s">
        <v>2189</v>
      </c>
      <c r="B947" s="70"/>
      <c r="C947" s="69"/>
      <c r="D947" s="71" t="s">
        <v>2387</v>
      </c>
      <c r="E947" s="69" t="s">
        <v>2388</v>
      </c>
      <c r="F947" s="69">
        <v>30</v>
      </c>
      <c r="G947" s="69">
        <v>90</v>
      </c>
      <c r="H947" s="69" t="s">
        <v>2399</v>
      </c>
      <c r="I947" s="69" t="s">
        <v>2426</v>
      </c>
      <c r="J947" s="69" t="s">
        <v>2427</v>
      </c>
      <c r="K947" s="69" t="s">
        <v>3107</v>
      </c>
      <c r="L947" s="72" t="s">
        <v>2392</v>
      </c>
      <c r="M947" s="72" t="b">
        <f t="shared" si="15"/>
        <v>0</v>
      </c>
    </row>
    <row r="948" spans="1:13" x14ac:dyDescent="0.25">
      <c r="A948" s="69" t="s">
        <v>2115</v>
      </c>
      <c r="B948" s="70"/>
      <c r="C948" s="69"/>
      <c r="D948" s="71" t="s">
        <v>2961</v>
      </c>
      <c r="E948" s="69" t="s">
        <v>2388</v>
      </c>
      <c r="F948" s="69">
        <v>30</v>
      </c>
      <c r="G948" s="69">
        <v>60</v>
      </c>
      <c r="H948" s="69" t="s">
        <v>2391</v>
      </c>
      <c r="I948" s="69" t="s">
        <v>2429</v>
      </c>
      <c r="J948" s="69" t="s">
        <v>2427</v>
      </c>
      <c r="K948" s="69"/>
      <c r="L948" s="72" t="s">
        <v>2387</v>
      </c>
      <c r="M948" s="72" t="b">
        <f t="shared" si="15"/>
        <v>0</v>
      </c>
    </row>
    <row r="949" spans="1:13" x14ac:dyDescent="0.25">
      <c r="A949" s="69" t="s">
        <v>1776</v>
      </c>
      <c r="B949" s="70"/>
      <c r="C949" s="69"/>
      <c r="D949" s="71" t="s">
        <v>2387</v>
      </c>
      <c r="E949" s="69" t="s">
        <v>2388</v>
      </c>
      <c r="F949" s="69">
        <v>30</v>
      </c>
      <c r="G949" s="69">
        <v>30</v>
      </c>
      <c r="H949" s="69" t="s">
        <v>2399</v>
      </c>
      <c r="I949" s="69" t="s">
        <v>2433</v>
      </c>
      <c r="J949" s="69" t="s">
        <v>2427</v>
      </c>
      <c r="K949" s="69" t="s">
        <v>3053</v>
      </c>
      <c r="L949" s="72" t="s">
        <v>2387</v>
      </c>
      <c r="M949" s="72" t="b">
        <f t="shared" si="15"/>
        <v>1</v>
      </c>
    </row>
    <row r="950" spans="1:13" x14ac:dyDescent="0.25">
      <c r="A950" s="69" t="s">
        <v>1773</v>
      </c>
      <c r="B950" s="70">
        <v>44001833</v>
      </c>
      <c r="C950" s="69" t="s">
        <v>15</v>
      </c>
      <c r="D950" s="71" t="s">
        <v>2387</v>
      </c>
      <c r="E950" s="69" t="s">
        <v>2388</v>
      </c>
      <c r="F950" s="69">
        <v>30</v>
      </c>
      <c r="G950" s="69">
        <v>0</v>
      </c>
      <c r="H950" s="69" t="s">
        <v>2412</v>
      </c>
      <c r="I950" s="69" t="s">
        <v>2410</v>
      </c>
      <c r="J950" s="69" t="s">
        <v>2427</v>
      </c>
      <c r="K950" s="69"/>
      <c r="L950" s="72" t="s">
        <v>2387</v>
      </c>
      <c r="M950" s="72" t="b">
        <f t="shared" si="15"/>
        <v>1</v>
      </c>
    </row>
    <row r="951" spans="1:13" x14ac:dyDescent="0.25">
      <c r="A951" s="69" t="s">
        <v>2190</v>
      </c>
      <c r="B951" s="70"/>
      <c r="C951" s="69"/>
      <c r="D951" s="71" t="s">
        <v>2387</v>
      </c>
      <c r="E951" s="69" t="s">
        <v>2388</v>
      </c>
      <c r="F951" s="69">
        <v>30</v>
      </c>
      <c r="G951" s="69">
        <v>90</v>
      </c>
      <c r="H951" s="69" t="s">
        <v>2399</v>
      </c>
      <c r="I951" s="69" t="s">
        <v>2426</v>
      </c>
      <c r="J951" s="69" t="s">
        <v>2427</v>
      </c>
      <c r="K951" s="69" t="s">
        <v>3107</v>
      </c>
      <c r="L951" s="72" t="s">
        <v>2392</v>
      </c>
      <c r="M951" s="72" t="b">
        <f t="shared" si="15"/>
        <v>0</v>
      </c>
    </row>
    <row r="952" spans="1:13" x14ac:dyDescent="0.25">
      <c r="A952" s="69" t="s">
        <v>1788</v>
      </c>
      <c r="B952" s="70"/>
      <c r="C952" s="69"/>
      <c r="D952" s="71" t="s">
        <v>2961</v>
      </c>
      <c r="E952" s="69" t="s">
        <v>2388</v>
      </c>
      <c r="F952" s="69">
        <v>30</v>
      </c>
      <c r="G952" s="69">
        <v>90</v>
      </c>
      <c r="H952" s="69" t="s">
        <v>2449</v>
      </c>
      <c r="I952" s="69" t="s">
        <v>2420</v>
      </c>
      <c r="J952" s="69" t="s">
        <v>2427</v>
      </c>
      <c r="K952" s="69"/>
      <c r="L952" s="72" t="s">
        <v>2387</v>
      </c>
      <c r="M952" s="72" t="b">
        <f t="shared" si="15"/>
        <v>0</v>
      </c>
    </row>
    <row r="953" spans="1:13" x14ac:dyDescent="0.25">
      <c r="A953" s="69" t="s">
        <v>1791</v>
      </c>
      <c r="B953" s="70"/>
      <c r="C953" s="69"/>
      <c r="D953" s="71" t="s">
        <v>2961</v>
      </c>
      <c r="E953" s="69" t="s">
        <v>2388</v>
      </c>
      <c r="F953" s="69">
        <v>30</v>
      </c>
      <c r="G953" s="69">
        <v>90</v>
      </c>
      <c r="H953" s="69" t="s">
        <v>2449</v>
      </c>
      <c r="I953" s="69" t="s">
        <v>2420</v>
      </c>
      <c r="J953" s="69" t="s">
        <v>2427</v>
      </c>
      <c r="K953" s="69"/>
      <c r="L953" s="72" t="s">
        <v>2387</v>
      </c>
      <c r="M953" s="72" t="b">
        <f t="shared" si="15"/>
        <v>0</v>
      </c>
    </row>
    <row r="954" spans="1:13" x14ac:dyDescent="0.25">
      <c r="A954" s="69" t="s">
        <v>2147</v>
      </c>
      <c r="B954" s="70"/>
      <c r="C954" s="69"/>
      <c r="D954" s="71" t="s">
        <v>2387</v>
      </c>
      <c r="E954" s="69" t="s">
        <v>2388</v>
      </c>
      <c r="F954" s="69">
        <v>30</v>
      </c>
      <c r="G954" s="69">
        <v>90</v>
      </c>
      <c r="H954" s="69" t="s">
        <v>2399</v>
      </c>
      <c r="I954" s="69" t="s">
        <v>2426</v>
      </c>
      <c r="J954" s="69" t="s">
        <v>2427</v>
      </c>
      <c r="K954" s="69" t="s">
        <v>3107</v>
      </c>
      <c r="L954" s="72" t="s">
        <v>2392</v>
      </c>
      <c r="M954" s="72" t="b">
        <f t="shared" si="15"/>
        <v>0</v>
      </c>
    </row>
    <row r="955" spans="1:13" x14ac:dyDescent="0.25">
      <c r="A955" s="69" t="s">
        <v>2186</v>
      </c>
      <c r="B955" s="70"/>
      <c r="C955" s="69"/>
      <c r="D955" s="71" t="s">
        <v>2387</v>
      </c>
      <c r="E955" s="69" t="s">
        <v>2388</v>
      </c>
      <c r="F955" s="69">
        <v>30</v>
      </c>
      <c r="G955" s="69">
        <v>90</v>
      </c>
      <c r="H955" s="69" t="s">
        <v>2399</v>
      </c>
      <c r="I955" s="69" t="s">
        <v>2426</v>
      </c>
      <c r="J955" s="69" t="s">
        <v>2427</v>
      </c>
      <c r="K955" s="69" t="s">
        <v>3107</v>
      </c>
      <c r="L955" s="72" t="s">
        <v>2392</v>
      </c>
      <c r="M955" s="72" t="b">
        <f t="shared" si="15"/>
        <v>0</v>
      </c>
    </row>
    <row r="956" spans="1:13" x14ac:dyDescent="0.25">
      <c r="A956" s="69" t="s">
        <v>2191</v>
      </c>
      <c r="B956" s="70"/>
      <c r="C956" s="69"/>
      <c r="D956" s="71" t="s">
        <v>2387</v>
      </c>
      <c r="E956" s="69" t="s">
        <v>2388</v>
      </c>
      <c r="F956" s="69">
        <v>30</v>
      </c>
      <c r="G956" s="69">
        <v>90</v>
      </c>
      <c r="H956" s="69" t="s">
        <v>2399</v>
      </c>
      <c r="I956" s="69" t="s">
        <v>2426</v>
      </c>
      <c r="J956" s="69" t="s">
        <v>2427</v>
      </c>
      <c r="K956" s="69" t="s">
        <v>3107</v>
      </c>
      <c r="L956" s="72" t="s">
        <v>2392</v>
      </c>
      <c r="M956" s="72" t="b">
        <f t="shared" si="15"/>
        <v>0</v>
      </c>
    </row>
    <row r="957" spans="1:13" x14ac:dyDescent="0.25">
      <c r="A957" s="69" t="s">
        <v>2192</v>
      </c>
      <c r="B957" s="70"/>
      <c r="C957" s="69"/>
      <c r="D957" s="71" t="s">
        <v>2387</v>
      </c>
      <c r="E957" s="69" t="s">
        <v>2388</v>
      </c>
      <c r="F957" s="69">
        <v>30</v>
      </c>
      <c r="G957" s="69">
        <v>90</v>
      </c>
      <c r="H957" s="69" t="s">
        <v>2399</v>
      </c>
      <c r="I957" s="69" t="s">
        <v>2426</v>
      </c>
      <c r="J957" s="69" t="s">
        <v>2427</v>
      </c>
      <c r="K957" s="69" t="s">
        <v>3107</v>
      </c>
      <c r="L957" s="72" t="s">
        <v>2392</v>
      </c>
      <c r="M957" s="72" t="b">
        <f t="shared" si="15"/>
        <v>0</v>
      </c>
    </row>
    <row r="958" spans="1:13" x14ac:dyDescent="0.25">
      <c r="A958" s="69" t="s">
        <v>1794</v>
      </c>
      <c r="B958" s="70"/>
      <c r="C958" s="69"/>
      <c r="D958" s="71" t="s">
        <v>2961</v>
      </c>
      <c r="E958" s="69" t="s">
        <v>2388</v>
      </c>
      <c r="F958" s="69">
        <v>30</v>
      </c>
      <c r="G958" s="69">
        <v>90</v>
      </c>
      <c r="H958" s="69" t="s">
        <v>2449</v>
      </c>
      <c r="I958" s="69" t="s">
        <v>2420</v>
      </c>
      <c r="J958" s="69" t="s">
        <v>2427</v>
      </c>
      <c r="K958" s="69"/>
      <c r="L958" s="72" t="s">
        <v>2387</v>
      </c>
      <c r="M958" s="72" t="b">
        <f t="shared" si="15"/>
        <v>0</v>
      </c>
    </row>
    <row r="959" spans="1:13" x14ac:dyDescent="0.25">
      <c r="A959" s="69" t="s">
        <v>884</v>
      </c>
      <c r="B959" s="70">
        <v>44001730</v>
      </c>
      <c r="C959" s="69" t="s">
        <v>2522</v>
      </c>
      <c r="D959" s="71" t="s">
        <v>2387</v>
      </c>
      <c r="E959" s="69" t="s">
        <v>2388</v>
      </c>
      <c r="F959" s="69">
        <v>30</v>
      </c>
      <c r="G959" s="69">
        <v>45</v>
      </c>
      <c r="H959" s="69" t="s">
        <v>2399</v>
      </c>
      <c r="I959" s="69" t="s">
        <v>2414</v>
      </c>
      <c r="J959" s="69" t="s">
        <v>2416</v>
      </c>
      <c r="K959" s="69"/>
      <c r="L959" s="72" t="s">
        <v>2387</v>
      </c>
      <c r="M959" s="72" t="b">
        <f t="shared" si="15"/>
        <v>1</v>
      </c>
    </row>
    <row r="960" spans="1:13" x14ac:dyDescent="0.25">
      <c r="A960" s="69" t="s">
        <v>1047</v>
      </c>
      <c r="B960" s="70">
        <v>44000122</v>
      </c>
      <c r="C960" s="69" t="s">
        <v>903</v>
      </c>
      <c r="D960" s="71" t="s">
        <v>2392</v>
      </c>
      <c r="E960" s="69" t="s">
        <v>2393</v>
      </c>
      <c r="F960" s="69">
        <v>30</v>
      </c>
      <c r="G960" s="69">
        <v>900</v>
      </c>
      <c r="H960" s="69" t="s">
        <v>2399</v>
      </c>
      <c r="I960" s="69" t="s">
        <v>2403</v>
      </c>
      <c r="J960" s="69" t="s">
        <v>2398</v>
      </c>
      <c r="K960" s="69"/>
      <c r="L960" s="72" t="s">
        <v>2392</v>
      </c>
      <c r="M960" s="72" t="b">
        <f t="shared" si="15"/>
        <v>1</v>
      </c>
    </row>
    <row r="961" spans="1:13" x14ac:dyDescent="0.25">
      <c r="A961" s="69" t="s">
        <v>2308</v>
      </c>
      <c r="B961" s="70"/>
      <c r="C961" s="69"/>
      <c r="D961" s="71" t="s">
        <v>2387</v>
      </c>
      <c r="E961" s="69" t="s">
        <v>2393</v>
      </c>
      <c r="F961" s="69"/>
      <c r="G961" s="69">
        <v>0</v>
      </c>
      <c r="H961" s="69" t="s">
        <v>2391</v>
      </c>
      <c r="I961" s="69" t="s">
        <v>2394</v>
      </c>
      <c r="J961" s="69" t="s">
        <v>2394</v>
      </c>
      <c r="K961" s="69" t="s">
        <v>3108</v>
      </c>
      <c r="L961" s="72" t="s">
        <v>2387</v>
      </c>
      <c r="M961" s="72" t="b">
        <f t="shared" si="15"/>
        <v>1</v>
      </c>
    </row>
    <row r="962" spans="1:13" x14ac:dyDescent="0.25">
      <c r="A962" s="69" t="s">
        <v>279</v>
      </c>
      <c r="B962" s="70">
        <v>44001833</v>
      </c>
      <c r="C962" s="69" t="s">
        <v>15</v>
      </c>
      <c r="D962" s="71" t="s">
        <v>2387</v>
      </c>
      <c r="E962" s="69" t="s">
        <v>2388</v>
      </c>
      <c r="F962" s="69">
        <v>30</v>
      </c>
      <c r="G962" s="69">
        <v>60</v>
      </c>
      <c r="H962" s="69" t="s">
        <v>2399</v>
      </c>
      <c r="I962" s="69" t="s">
        <v>2479</v>
      </c>
      <c r="J962" s="69" t="s">
        <v>2424</v>
      </c>
      <c r="K962" s="69"/>
      <c r="L962" s="72" t="s">
        <v>2387</v>
      </c>
      <c r="M962" s="72" t="b">
        <f t="shared" si="15"/>
        <v>1</v>
      </c>
    </row>
    <row r="963" spans="1:13" x14ac:dyDescent="0.25">
      <c r="A963" s="69" t="s">
        <v>1126</v>
      </c>
      <c r="B963" s="70">
        <v>44000010</v>
      </c>
      <c r="C963" s="69" t="s">
        <v>28</v>
      </c>
      <c r="D963" s="71" t="s">
        <v>2387</v>
      </c>
      <c r="E963" s="69" t="s">
        <v>2388</v>
      </c>
      <c r="F963" s="69">
        <v>30</v>
      </c>
      <c r="G963" s="69">
        <v>60</v>
      </c>
      <c r="H963" s="69" t="s">
        <v>2399</v>
      </c>
      <c r="I963" s="69" t="s">
        <v>2471</v>
      </c>
      <c r="J963" s="69" t="s">
        <v>2415</v>
      </c>
      <c r="K963" s="69"/>
      <c r="L963" s="72" t="s">
        <v>2387</v>
      </c>
      <c r="M963" s="72" t="b">
        <f t="shared" si="15"/>
        <v>1</v>
      </c>
    </row>
    <row r="964" spans="1:13" x14ac:dyDescent="0.25">
      <c r="A964" s="69" t="s">
        <v>287</v>
      </c>
      <c r="B964" s="70">
        <v>44000010</v>
      </c>
      <c r="C964" s="69" t="s">
        <v>28</v>
      </c>
      <c r="D964" s="71" t="s">
        <v>2387</v>
      </c>
      <c r="E964" s="69" t="s">
        <v>2388</v>
      </c>
      <c r="F964" s="69">
        <v>30</v>
      </c>
      <c r="G964" s="69">
        <v>60</v>
      </c>
      <c r="H964" s="69" t="s">
        <v>2399</v>
      </c>
      <c r="I964" s="69" t="s">
        <v>2471</v>
      </c>
      <c r="J964" s="69" t="s">
        <v>2415</v>
      </c>
      <c r="K964" s="69"/>
      <c r="L964" s="72" t="s">
        <v>2387</v>
      </c>
      <c r="M964" s="72" t="b">
        <f t="shared" si="15"/>
        <v>1</v>
      </c>
    </row>
    <row r="965" spans="1:13" x14ac:dyDescent="0.25">
      <c r="A965" s="69" t="s">
        <v>285</v>
      </c>
      <c r="B965" s="70">
        <v>44000010</v>
      </c>
      <c r="C965" s="69" t="s">
        <v>28</v>
      </c>
      <c r="D965" s="71" t="s">
        <v>2387</v>
      </c>
      <c r="E965" s="69" t="s">
        <v>2388</v>
      </c>
      <c r="F965" s="69">
        <v>30</v>
      </c>
      <c r="G965" s="69">
        <v>60</v>
      </c>
      <c r="H965" s="69" t="s">
        <v>2399</v>
      </c>
      <c r="I965" s="69" t="s">
        <v>2471</v>
      </c>
      <c r="J965" s="69" t="s">
        <v>2415</v>
      </c>
      <c r="K965" s="69"/>
      <c r="L965" s="72" t="s">
        <v>2387</v>
      </c>
      <c r="M965" s="72" t="b">
        <f t="shared" si="15"/>
        <v>1</v>
      </c>
    </row>
    <row r="966" spans="1:13" x14ac:dyDescent="0.25">
      <c r="A966" s="69" t="s">
        <v>282</v>
      </c>
      <c r="B966" s="70">
        <v>44001833</v>
      </c>
      <c r="C966" s="69" t="s">
        <v>15</v>
      </c>
      <c r="D966" s="71" t="s">
        <v>2387</v>
      </c>
      <c r="E966" s="69" t="s">
        <v>2388</v>
      </c>
      <c r="F966" s="69">
        <v>30</v>
      </c>
      <c r="G966" s="69">
        <v>60</v>
      </c>
      <c r="H966" s="69" t="s">
        <v>2399</v>
      </c>
      <c r="I966" s="69" t="s">
        <v>2479</v>
      </c>
      <c r="J966" s="69" t="s">
        <v>2424</v>
      </c>
      <c r="K966" s="69"/>
      <c r="L966" s="72" t="s">
        <v>2387</v>
      </c>
      <c r="M966" s="72" t="b">
        <f t="shared" si="15"/>
        <v>1</v>
      </c>
    </row>
    <row r="967" spans="1:13" x14ac:dyDescent="0.25">
      <c r="A967" s="69" t="s">
        <v>290</v>
      </c>
      <c r="B967" s="70">
        <v>44000010</v>
      </c>
      <c r="C967" s="69" t="s">
        <v>28</v>
      </c>
      <c r="D967" s="71" t="s">
        <v>2387</v>
      </c>
      <c r="E967" s="69" t="s">
        <v>2388</v>
      </c>
      <c r="F967" s="69">
        <v>30</v>
      </c>
      <c r="G967" s="69">
        <v>60</v>
      </c>
      <c r="H967" s="69" t="s">
        <v>2399</v>
      </c>
      <c r="I967" s="69" t="s">
        <v>2471</v>
      </c>
      <c r="J967" s="69" t="s">
        <v>2415</v>
      </c>
      <c r="K967" s="69"/>
      <c r="L967" s="72" t="s">
        <v>2387</v>
      </c>
      <c r="M967" s="72" t="b">
        <f t="shared" ref="M967:M1030" si="16">L967=D967</f>
        <v>1</v>
      </c>
    </row>
    <row r="968" spans="1:13" x14ac:dyDescent="0.25">
      <c r="A968" s="69" t="s">
        <v>1887</v>
      </c>
      <c r="B968" s="70">
        <v>44006932</v>
      </c>
      <c r="C968" s="69" t="s">
        <v>1766</v>
      </c>
      <c r="D968" s="71" t="s">
        <v>2961</v>
      </c>
      <c r="E968" s="69" t="s">
        <v>2388</v>
      </c>
      <c r="F968" s="69">
        <v>30</v>
      </c>
      <c r="G968" s="69">
        <v>60</v>
      </c>
      <c r="H968" s="69" t="s">
        <v>2395</v>
      </c>
      <c r="I968" s="69" t="s">
        <v>2420</v>
      </c>
      <c r="J968" s="69" t="s">
        <v>2427</v>
      </c>
      <c r="K968" s="69" t="s">
        <v>3109</v>
      </c>
      <c r="L968" s="72" t="s">
        <v>2387</v>
      </c>
      <c r="M968" s="72" t="b">
        <f t="shared" si="16"/>
        <v>0</v>
      </c>
    </row>
    <row r="969" spans="1:13" x14ac:dyDescent="0.25">
      <c r="A969" s="69" t="s">
        <v>1890</v>
      </c>
      <c r="B969" s="70">
        <v>44006932</v>
      </c>
      <c r="C969" s="69" t="s">
        <v>1766</v>
      </c>
      <c r="D969" s="71" t="s">
        <v>2961</v>
      </c>
      <c r="E969" s="69" t="s">
        <v>2388</v>
      </c>
      <c r="F969" s="69">
        <v>30</v>
      </c>
      <c r="G969" s="69">
        <v>60</v>
      </c>
      <c r="H969" s="69" t="s">
        <v>2391</v>
      </c>
      <c r="I969" s="69" t="s">
        <v>2420</v>
      </c>
      <c r="J969" s="69" t="s">
        <v>2427</v>
      </c>
      <c r="K969" s="69" t="s">
        <v>3110</v>
      </c>
      <c r="L969" s="72" t="s">
        <v>2387</v>
      </c>
      <c r="M969" s="72" t="b">
        <f t="shared" si="16"/>
        <v>0</v>
      </c>
    </row>
    <row r="970" spans="1:13" x14ac:dyDescent="0.25">
      <c r="A970" s="69" t="s">
        <v>2295</v>
      </c>
      <c r="B970" s="70"/>
      <c r="C970" s="69" t="s">
        <v>2394</v>
      </c>
      <c r="D970" s="71" t="s">
        <v>2392</v>
      </c>
      <c r="E970" s="69" t="s">
        <v>2388</v>
      </c>
      <c r="F970" s="69">
        <v>30</v>
      </c>
      <c r="G970" s="69">
        <v>0</v>
      </c>
      <c r="H970" s="69" t="s">
        <v>2412</v>
      </c>
      <c r="I970" s="69" t="s">
        <v>2410</v>
      </c>
      <c r="J970" s="69" t="s">
        <v>2410</v>
      </c>
      <c r="K970" s="69" t="s">
        <v>3111</v>
      </c>
      <c r="L970" s="72" t="s">
        <v>2392</v>
      </c>
      <c r="M970" s="72" t="b">
        <f t="shared" si="16"/>
        <v>1</v>
      </c>
    </row>
    <row r="971" spans="1:13" x14ac:dyDescent="0.25">
      <c r="A971" s="69" t="s">
        <v>2304</v>
      </c>
      <c r="B971" s="70">
        <v>8922</v>
      </c>
      <c r="C971" s="69" t="s">
        <v>2475</v>
      </c>
      <c r="D971" s="71" t="s">
        <v>2387</v>
      </c>
      <c r="E971" s="69" t="s">
        <v>2476</v>
      </c>
      <c r="F971" s="69">
        <v>60</v>
      </c>
      <c r="G971" s="69">
        <v>180</v>
      </c>
      <c r="H971" s="69" t="s">
        <v>2399</v>
      </c>
      <c r="I971" s="69" t="s">
        <v>2456</v>
      </c>
      <c r="J971" s="69" t="s">
        <v>2401</v>
      </c>
      <c r="K971" s="69"/>
      <c r="L971" s="72" t="s">
        <v>2387</v>
      </c>
      <c r="M971" s="72" t="b">
        <f t="shared" si="16"/>
        <v>1</v>
      </c>
    </row>
    <row r="972" spans="1:13" x14ac:dyDescent="0.25">
      <c r="A972" s="69" t="s">
        <v>2271</v>
      </c>
      <c r="B972" s="70">
        <v>8922</v>
      </c>
      <c r="C972" s="69" t="s">
        <v>2475</v>
      </c>
      <c r="D972" s="71" t="s">
        <v>2387</v>
      </c>
      <c r="E972" s="69" t="s">
        <v>2476</v>
      </c>
      <c r="F972" s="69">
        <v>60</v>
      </c>
      <c r="G972" s="69">
        <v>180</v>
      </c>
      <c r="H972" s="69" t="s">
        <v>2399</v>
      </c>
      <c r="I972" s="69" t="s">
        <v>2456</v>
      </c>
      <c r="J972" s="69" t="s">
        <v>2401</v>
      </c>
      <c r="K972" s="69"/>
      <c r="L972" s="72" t="s">
        <v>2387</v>
      </c>
      <c r="M972" s="72" t="b">
        <f t="shared" si="16"/>
        <v>1</v>
      </c>
    </row>
    <row r="973" spans="1:13" x14ac:dyDescent="0.25">
      <c r="A973" s="69" t="s">
        <v>2313</v>
      </c>
      <c r="B973" s="70"/>
      <c r="C973" s="69"/>
      <c r="D973" s="71" t="s">
        <v>2387</v>
      </c>
      <c r="E973" s="69" t="s">
        <v>2393</v>
      </c>
      <c r="F973" s="69"/>
      <c r="G973" s="69">
        <v>0</v>
      </c>
      <c r="H973" s="69" t="s">
        <v>2391</v>
      </c>
      <c r="I973" s="69" t="s">
        <v>2394</v>
      </c>
      <c r="J973" s="69" t="s">
        <v>2394</v>
      </c>
      <c r="K973" s="69" t="s">
        <v>3108</v>
      </c>
      <c r="L973" s="72" t="s">
        <v>2387</v>
      </c>
      <c r="M973" s="72" t="b">
        <f t="shared" si="16"/>
        <v>1</v>
      </c>
    </row>
    <row r="974" spans="1:13" x14ac:dyDescent="0.25">
      <c r="A974" s="69" t="s">
        <v>210</v>
      </c>
      <c r="B974" s="70">
        <v>44006008</v>
      </c>
      <c r="C974" s="69" t="s">
        <v>213</v>
      </c>
      <c r="D974" s="71" t="s">
        <v>2392</v>
      </c>
      <c r="E974" s="69" t="s">
        <v>2393</v>
      </c>
      <c r="F974" s="69">
        <v>30</v>
      </c>
      <c r="G974" s="69">
        <v>30</v>
      </c>
      <c r="H974" s="69" t="s">
        <v>2486</v>
      </c>
      <c r="I974" s="69" t="s">
        <v>2463</v>
      </c>
      <c r="J974" s="69" t="s">
        <v>3208</v>
      </c>
      <c r="K974" s="69"/>
      <c r="L974" s="72" t="s">
        <v>2392</v>
      </c>
      <c r="M974" s="72" t="b">
        <f t="shared" si="16"/>
        <v>1</v>
      </c>
    </row>
    <row r="975" spans="1:13" x14ac:dyDescent="0.25">
      <c r="A975" s="69" t="s">
        <v>2328</v>
      </c>
      <c r="B975" s="70">
        <v>44001733</v>
      </c>
      <c r="C975" s="69" t="s">
        <v>41</v>
      </c>
      <c r="D975" s="71" t="s">
        <v>2961</v>
      </c>
      <c r="E975" s="69" t="s">
        <v>2388</v>
      </c>
      <c r="F975" s="69">
        <v>30</v>
      </c>
      <c r="G975" s="69">
        <v>0</v>
      </c>
      <c r="H975" s="69" t="s">
        <v>2412</v>
      </c>
      <c r="I975" s="69" t="s">
        <v>2429</v>
      </c>
      <c r="J975" s="69" t="s">
        <v>3027</v>
      </c>
      <c r="K975" s="69" t="s">
        <v>3009</v>
      </c>
      <c r="L975" s="72" t="s">
        <v>2387</v>
      </c>
      <c r="M975" s="72" t="b">
        <f t="shared" si="16"/>
        <v>0</v>
      </c>
    </row>
    <row r="976" spans="1:13" x14ac:dyDescent="0.25">
      <c r="A976" s="69" t="s">
        <v>2296</v>
      </c>
      <c r="B976" s="70" t="s">
        <v>3112</v>
      </c>
      <c r="C976" s="69" t="s">
        <v>2544</v>
      </c>
      <c r="D976" s="71" t="s">
        <v>2392</v>
      </c>
      <c r="E976" s="69" t="s">
        <v>2388</v>
      </c>
      <c r="F976" s="69">
        <v>30</v>
      </c>
      <c r="G976" s="69">
        <v>0</v>
      </c>
      <c r="H976" s="69" t="s">
        <v>2395</v>
      </c>
      <c r="I976" s="69" t="s">
        <v>2394</v>
      </c>
      <c r="J976" s="69" t="s">
        <v>2394</v>
      </c>
      <c r="K976" s="69"/>
      <c r="L976" s="72" t="s">
        <v>2392</v>
      </c>
      <c r="M976" s="72" t="b">
        <f t="shared" si="16"/>
        <v>1</v>
      </c>
    </row>
    <row r="977" spans="1:13" x14ac:dyDescent="0.25">
      <c r="A977" s="69" t="s">
        <v>1119</v>
      </c>
      <c r="B977" s="70">
        <v>44008751</v>
      </c>
      <c r="C977" s="69" t="s">
        <v>2545</v>
      </c>
      <c r="D977" s="71" t="s">
        <v>2392</v>
      </c>
      <c r="E977" s="69" t="s">
        <v>2388</v>
      </c>
      <c r="F977" s="69">
        <v>30</v>
      </c>
      <c r="G977" s="69">
        <v>90</v>
      </c>
      <c r="H977" s="69" t="s">
        <v>2395</v>
      </c>
      <c r="I977" s="69" t="s">
        <v>2453</v>
      </c>
      <c r="J977" s="69" t="s">
        <v>2415</v>
      </c>
      <c r="K977" s="69"/>
      <c r="L977" s="72" t="s">
        <v>2392</v>
      </c>
      <c r="M977" s="72" t="b">
        <f t="shared" si="16"/>
        <v>1</v>
      </c>
    </row>
    <row r="978" spans="1:13" x14ac:dyDescent="0.25">
      <c r="A978" s="69" t="s">
        <v>90</v>
      </c>
      <c r="B978" s="70" t="s">
        <v>3113</v>
      </c>
      <c r="C978" s="69" t="s">
        <v>92</v>
      </c>
      <c r="D978" s="71" t="s">
        <v>2961</v>
      </c>
      <c r="E978" s="69" t="s">
        <v>2388</v>
      </c>
      <c r="F978" s="69">
        <v>30</v>
      </c>
      <c r="G978" s="69">
        <v>90</v>
      </c>
      <c r="H978" s="69" t="s">
        <v>2399</v>
      </c>
      <c r="I978" s="69" t="s">
        <v>2405</v>
      </c>
      <c r="J978" s="69" t="s">
        <v>2406</v>
      </c>
      <c r="K978" s="69"/>
      <c r="L978" s="72" t="s">
        <v>2392</v>
      </c>
      <c r="M978" s="72" t="b">
        <f t="shared" si="16"/>
        <v>0</v>
      </c>
    </row>
    <row r="979" spans="1:13" x14ac:dyDescent="0.25">
      <c r="A979" s="69" t="s">
        <v>1138</v>
      </c>
      <c r="B979" s="70">
        <v>44000020</v>
      </c>
      <c r="C979" s="69" t="s">
        <v>1141</v>
      </c>
      <c r="D979" s="71" t="s">
        <v>2961</v>
      </c>
      <c r="E979" s="69" t="s">
        <v>2388</v>
      </c>
      <c r="F979" s="69">
        <v>30</v>
      </c>
      <c r="G979" s="69">
        <v>45</v>
      </c>
      <c r="H979" s="69" t="s">
        <v>2399</v>
      </c>
      <c r="I979" s="69" t="s">
        <v>2414</v>
      </c>
      <c r="J979" s="69" t="s">
        <v>2424</v>
      </c>
      <c r="K979" s="69" t="s">
        <v>3114</v>
      </c>
      <c r="L979" s="72" t="s">
        <v>2392</v>
      </c>
      <c r="M979" s="72" t="b">
        <f t="shared" si="16"/>
        <v>0</v>
      </c>
    </row>
    <row r="980" spans="1:13" x14ac:dyDescent="0.25">
      <c r="A980" s="69" t="s">
        <v>2359</v>
      </c>
      <c r="B980" s="70">
        <v>44000020</v>
      </c>
      <c r="C980" s="69" t="s">
        <v>1141</v>
      </c>
      <c r="D980" s="71" t="s">
        <v>2961</v>
      </c>
      <c r="E980" s="69" t="s">
        <v>2388</v>
      </c>
      <c r="F980" s="69">
        <v>30</v>
      </c>
      <c r="G980" s="69">
        <v>45</v>
      </c>
      <c r="H980" s="69" t="s">
        <v>2399</v>
      </c>
      <c r="I980" s="69" t="s">
        <v>2410</v>
      </c>
      <c r="J980" s="69" t="s">
        <v>2424</v>
      </c>
      <c r="K980" s="69" t="s">
        <v>3115</v>
      </c>
      <c r="L980" s="72" t="s">
        <v>2392</v>
      </c>
      <c r="M980" s="72" t="b">
        <f t="shared" si="16"/>
        <v>0</v>
      </c>
    </row>
    <row r="981" spans="1:13" x14ac:dyDescent="0.25">
      <c r="A981" s="69" t="s">
        <v>1142</v>
      </c>
      <c r="B981" s="70">
        <v>44000020</v>
      </c>
      <c r="C981" s="69" t="s">
        <v>1141</v>
      </c>
      <c r="D981" s="71" t="s">
        <v>2961</v>
      </c>
      <c r="E981" s="69" t="s">
        <v>2388</v>
      </c>
      <c r="F981" s="69">
        <v>30</v>
      </c>
      <c r="G981" s="69">
        <v>45</v>
      </c>
      <c r="H981" s="69" t="s">
        <v>2399</v>
      </c>
      <c r="I981" s="69" t="s">
        <v>2414</v>
      </c>
      <c r="J981" s="69" t="s">
        <v>2394</v>
      </c>
      <c r="K981" s="69" t="s">
        <v>3116</v>
      </c>
      <c r="L981" s="72" t="s">
        <v>2392</v>
      </c>
      <c r="M981" s="72" t="b">
        <f t="shared" si="16"/>
        <v>0</v>
      </c>
    </row>
    <row r="982" spans="1:13" x14ac:dyDescent="0.25">
      <c r="A982" s="69" t="s">
        <v>2363</v>
      </c>
      <c r="B982" s="70"/>
      <c r="C982" s="69"/>
      <c r="D982" s="71" t="s">
        <v>2387</v>
      </c>
      <c r="E982" s="69"/>
      <c r="F982" s="69"/>
      <c r="G982" s="69">
        <v>0</v>
      </c>
      <c r="H982" s="69" t="s">
        <v>2412</v>
      </c>
      <c r="I982" s="69" t="s">
        <v>2410</v>
      </c>
      <c r="J982" s="69" t="s">
        <v>2410</v>
      </c>
      <c r="K982" s="69"/>
      <c r="L982" s="72" t="s">
        <v>2387</v>
      </c>
      <c r="M982" s="72" t="b">
        <f t="shared" si="16"/>
        <v>1</v>
      </c>
    </row>
    <row r="983" spans="1:13" x14ac:dyDescent="0.25">
      <c r="A983" s="69" t="s">
        <v>2011</v>
      </c>
      <c r="B983" s="70" t="s">
        <v>3117</v>
      </c>
      <c r="C983" s="69" t="s">
        <v>1946</v>
      </c>
      <c r="D983" s="71" t="s">
        <v>2392</v>
      </c>
      <c r="E983" s="69" t="s">
        <v>2388</v>
      </c>
      <c r="F983" s="69"/>
      <c r="G983" s="69">
        <v>0</v>
      </c>
      <c r="H983" s="69" t="s">
        <v>2412</v>
      </c>
      <c r="I983" s="69" t="s">
        <v>2410</v>
      </c>
      <c r="J983" s="69" t="s">
        <v>2408</v>
      </c>
      <c r="K983" s="69" t="s">
        <v>3009</v>
      </c>
      <c r="L983" s="72" t="s">
        <v>2392</v>
      </c>
      <c r="M983" s="72" t="b">
        <f t="shared" si="16"/>
        <v>1</v>
      </c>
    </row>
    <row r="984" spans="1:13" x14ac:dyDescent="0.25">
      <c r="A984" s="69" t="s">
        <v>1929</v>
      </c>
      <c r="B984" s="70">
        <v>44004662</v>
      </c>
      <c r="C984" s="69" t="s">
        <v>1006</v>
      </c>
      <c r="D984" s="71" t="s">
        <v>2392</v>
      </c>
      <c r="E984" s="69" t="s">
        <v>2393</v>
      </c>
      <c r="F984" s="69">
        <v>30</v>
      </c>
      <c r="G984" s="69">
        <v>0</v>
      </c>
      <c r="H984" s="69" t="s">
        <v>2395</v>
      </c>
      <c r="I984" s="69" t="s">
        <v>2394</v>
      </c>
      <c r="J984" s="69" t="s">
        <v>2394</v>
      </c>
      <c r="K984" s="69" t="s">
        <v>3017</v>
      </c>
      <c r="L984" s="72" t="s">
        <v>2392</v>
      </c>
      <c r="M984" s="72" t="b">
        <f t="shared" si="16"/>
        <v>1</v>
      </c>
    </row>
    <row r="985" spans="1:13" x14ac:dyDescent="0.25">
      <c r="A985" s="75" t="s">
        <v>1135</v>
      </c>
      <c r="B985" s="70">
        <v>44000010</v>
      </c>
      <c r="C985" s="69" t="s">
        <v>28</v>
      </c>
      <c r="D985" s="71" t="s">
        <v>2387</v>
      </c>
      <c r="E985" s="69" t="s">
        <v>2388</v>
      </c>
      <c r="F985" s="69">
        <v>30</v>
      </c>
      <c r="G985" s="69">
        <v>60</v>
      </c>
      <c r="H985" s="69" t="s">
        <v>2399</v>
      </c>
      <c r="I985" s="69" t="s">
        <v>2471</v>
      </c>
      <c r="J985" s="69" t="s">
        <v>2415</v>
      </c>
      <c r="K985" s="69"/>
      <c r="L985" s="72" t="s">
        <v>2387</v>
      </c>
      <c r="M985" s="72" t="b">
        <f t="shared" si="16"/>
        <v>1</v>
      </c>
    </row>
    <row r="986" spans="1:13" x14ac:dyDescent="0.25">
      <c r="A986" s="75" t="s">
        <v>1129</v>
      </c>
      <c r="B986" s="70" t="s">
        <v>3118</v>
      </c>
      <c r="C986" s="69" t="s">
        <v>1131</v>
      </c>
      <c r="D986" s="71" t="s">
        <v>2387</v>
      </c>
      <c r="E986" s="69" t="s">
        <v>2388</v>
      </c>
      <c r="F986" s="69">
        <v>30</v>
      </c>
      <c r="G986" s="69">
        <v>45</v>
      </c>
      <c r="H986" s="69" t="s">
        <v>2399</v>
      </c>
      <c r="I986" s="69" t="s">
        <v>2414</v>
      </c>
      <c r="J986" s="69" t="s">
        <v>2415</v>
      </c>
      <c r="K986" s="69"/>
      <c r="L986" s="72" t="s">
        <v>2387</v>
      </c>
      <c r="M986" s="72" t="b">
        <f t="shared" si="16"/>
        <v>1</v>
      </c>
    </row>
    <row r="987" spans="1:13" x14ac:dyDescent="0.25">
      <c r="A987" s="75" t="s">
        <v>2044</v>
      </c>
      <c r="B987" s="70" t="s">
        <v>3090</v>
      </c>
      <c r="C987" s="69" t="s">
        <v>2546</v>
      </c>
      <c r="D987" s="71" t="s">
        <v>2961</v>
      </c>
      <c r="E987" s="69" t="s">
        <v>2388</v>
      </c>
      <c r="F987" s="69">
        <v>30</v>
      </c>
      <c r="G987" s="69">
        <v>45</v>
      </c>
      <c r="H987" s="69" t="s">
        <v>2391</v>
      </c>
      <c r="I987" s="69" t="s">
        <v>2446</v>
      </c>
      <c r="J987" s="69" t="s">
        <v>2401</v>
      </c>
      <c r="K987" s="69"/>
      <c r="L987" s="72" t="s">
        <v>2392</v>
      </c>
      <c r="M987" s="72" t="b">
        <f t="shared" si="16"/>
        <v>0</v>
      </c>
    </row>
    <row r="988" spans="1:13" x14ac:dyDescent="0.25">
      <c r="A988" s="69" t="s">
        <v>2050</v>
      </c>
      <c r="B988" s="70" t="s">
        <v>3090</v>
      </c>
      <c r="C988" s="69" t="s">
        <v>2546</v>
      </c>
      <c r="D988" s="71" t="s">
        <v>2961</v>
      </c>
      <c r="E988" s="69" t="s">
        <v>2388</v>
      </c>
      <c r="F988" s="69">
        <v>30</v>
      </c>
      <c r="G988" s="69">
        <v>45</v>
      </c>
      <c r="H988" s="69" t="s">
        <v>2391</v>
      </c>
      <c r="I988" s="69" t="s">
        <v>2431</v>
      </c>
      <c r="J988" s="69" t="s">
        <v>2461</v>
      </c>
      <c r="K988" s="69"/>
      <c r="L988" s="72" t="s">
        <v>2392</v>
      </c>
      <c r="M988" s="72" t="b">
        <f t="shared" si="16"/>
        <v>0</v>
      </c>
    </row>
    <row r="989" spans="1:13" x14ac:dyDescent="0.25">
      <c r="A989" s="69" t="s">
        <v>1088</v>
      </c>
      <c r="B989" s="70" t="s">
        <v>3119</v>
      </c>
      <c r="C989" s="69" t="s">
        <v>903</v>
      </c>
      <c r="D989" s="71" t="s">
        <v>2392</v>
      </c>
      <c r="E989" s="69" t="s">
        <v>2393</v>
      </c>
      <c r="F989" s="69">
        <v>30</v>
      </c>
      <c r="G989" s="69">
        <v>900</v>
      </c>
      <c r="H989" s="69" t="s">
        <v>2399</v>
      </c>
      <c r="I989" s="69" t="s">
        <v>2397</v>
      </c>
      <c r="J989" s="69" t="s">
        <v>2398</v>
      </c>
      <c r="K989" s="69" t="s">
        <v>3120</v>
      </c>
      <c r="L989" s="72" t="s">
        <v>2392</v>
      </c>
      <c r="M989" s="72" t="b">
        <f t="shared" si="16"/>
        <v>1</v>
      </c>
    </row>
    <row r="990" spans="1:13" x14ac:dyDescent="0.25">
      <c r="A990" s="75" t="s">
        <v>1758</v>
      </c>
      <c r="B990" s="70">
        <v>44000454</v>
      </c>
      <c r="C990" s="69" t="s">
        <v>2487</v>
      </c>
      <c r="D990" s="71" t="s">
        <v>2392</v>
      </c>
      <c r="E990" s="69" t="s">
        <v>2388</v>
      </c>
      <c r="F990" s="69"/>
      <c r="G990" s="69">
        <v>30</v>
      </c>
      <c r="H990" s="69" t="s">
        <v>2399</v>
      </c>
      <c r="I990" s="69" t="s">
        <v>2463</v>
      </c>
      <c r="J990" s="69" t="s">
        <v>3213</v>
      </c>
      <c r="K990" s="69" t="s">
        <v>3121</v>
      </c>
      <c r="L990" s="72" t="s">
        <v>2387</v>
      </c>
      <c r="M990" s="72" t="b">
        <f t="shared" si="16"/>
        <v>0</v>
      </c>
    </row>
    <row r="991" spans="1:13" x14ac:dyDescent="0.25">
      <c r="A991" s="69" t="s">
        <v>2112</v>
      </c>
      <c r="B991" s="70" t="s">
        <v>3122</v>
      </c>
      <c r="C991" s="69" t="s">
        <v>3123</v>
      </c>
      <c r="D991" s="71" t="s">
        <v>2387</v>
      </c>
      <c r="E991" s="69" t="s">
        <v>2388</v>
      </c>
      <c r="F991" s="69">
        <v>30</v>
      </c>
      <c r="G991" s="69">
        <v>0</v>
      </c>
      <c r="H991" s="69" t="s">
        <v>2399</v>
      </c>
      <c r="I991" s="69" t="s">
        <v>2433</v>
      </c>
      <c r="J991" s="69" t="s">
        <v>2427</v>
      </c>
      <c r="K991" s="69"/>
      <c r="L991" s="72" t="s">
        <v>2387</v>
      </c>
      <c r="M991" s="72" t="b">
        <f t="shared" si="16"/>
        <v>1</v>
      </c>
    </row>
    <row r="992" spans="1:13" x14ac:dyDescent="0.25">
      <c r="A992" s="69" t="s">
        <v>2111</v>
      </c>
      <c r="B992" s="70" t="s">
        <v>3122</v>
      </c>
      <c r="C992" s="69" t="s">
        <v>3123</v>
      </c>
      <c r="D992" s="71" t="s">
        <v>2387</v>
      </c>
      <c r="E992" s="69" t="s">
        <v>2388</v>
      </c>
      <c r="F992" s="69">
        <v>30</v>
      </c>
      <c r="G992" s="69">
        <v>0</v>
      </c>
      <c r="H992" s="69" t="s">
        <v>2399</v>
      </c>
      <c r="I992" s="69" t="s">
        <v>2433</v>
      </c>
      <c r="J992" s="69" t="s">
        <v>2434</v>
      </c>
      <c r="K992" s="69"/>
      <c r="L992" s="72" t="s">
        <v>2387</v>
      </c>
      <c r="M992" s="72" t="b">
        <f t="shared" si="16"/>
        <v>1</v>
      </c>
    </row>
    <row r="993" spans="1:13" x14ac:dyDescent="0.25">
      <c r="A993" s="69" t="s">
        <v>179</v>
      </c>
      <c r="B993" s="70" t="s">
        <v>3122</v>
      </c>
      <c r="C993" s="69" t="s">
        <v>3123</v>
      </c>
      <c r="D993" s="71" t="s">
        <v>2387</v>
      </c>
      <c r="E993" s="69" t="s">
        <v>2388</v>
      </c>
      <c r="F993" s="69">
        <v>30</v>
      </c>
      <c r="G993" s="69">
        <v>30</v>
      </c>
      <c r="H993" s="69" t="s">
        <v>2391</v>
      </c>
      <c r="I993" s="69" t="s">
        <v>2433</v>
      </c>
      <c r="J993" s="69" t="s">
        <v>2435</v>
      </c>
      <c r="K993" s="69"/>
      <c r="L993" s="72" t="s">
        <v>2387</v>
      </c>
      <c r="M993" s="72" t="b">
        <f t="shared" si="16"/>
        <v>1</v>
      </c>
    </row>
    <row r="994" spans="1:13" x14ac:dyDescent="0.25">
      <c r="A994" s="69" t="s">
        <v>175</v>
      </c>
      <c r="B994" s="70" t="s">
        <v>3122</v>
      </c>
      <c r="C994" s="69" t="s">
        <v>3123</v>
      </c>
      <c r="D994" s="71" t="s">
        <v>2387</v>
      </c>
      <c r="E994" s="69" t="s">
        <v>2388</v>
      </c>
      <c r="F994" s="69">
        <v>30</v>
      </c>
      <c r="G994" s="69">
        <v>30</v>
      </c>
      <c r="H994" s="69" t="s">
        <v>2391</v>
      </c>
      <c r="I994" s="69" t="s">
        <v>2433</v>
      </c>
      <c r="J994" s="69" t="s">
        <v>2435</v>
      </c>
      <c r="K994" s="69"/>
      <c r="L994" s="72" t="s">
        <v>2387</v>
      </c>
      <c r="M994" s="72" t="b">
        <f t="shared" si="16"/>
        <v>1</v>
      </c>
    </row>
    <row r="995" spans="1:13" x14ac:dyDescent="0.25">
      <c r="A995" s="69" t="s">
        <v>1900</v>
      </c>
      <c r="B995" s="70" t="s">
        <v>3122</v>
      </c>
      <c r="C995" s="69" t="s">
        <v>3123</v>
      </c>
      <c r="D995" s="71" t="s">
        <v>2387</v>
      </c>
      <c r="E995" s="69" t="s">
        <v>2388</v>
      </c>
      <c r="F995" s="69">
        <v>30</v>
      </c>
      <c r="G995" s="69">
        <v>30</v>
      </c>
      <c r="H995" s="69" t="s">
        <v>2391</v>
      </c>
      <c r="I995" s="69" t="s">
        <v>3124</v>
      </c>
      <c r="J995" s="69" t="s">
        <v>2435</v>
      </c>
      <c r="K995" s="69"/>
      <c r="L995" s="72" t="s">
        <v>2387</v>
      </c>
      <c r="M995" s="72" t="b">
        <f t="shared" si="16"/>
        <v>1</v>
      </c>
    </row>
    <row r="996" spans="1:13" x14ac:dyDescent="0.25">
      <c r="A996" s="69" t="s">
        <v>1882</v>
      </c>
      <c r="B996" s="70" t="s">
        <v>3122</v>
      </c>
      <c r="C996" s="69" t="s">
        <v>3123</v>
      </c>
      <c r="D996" s="71" t="s">
        <v>2387</v>
      </c>
      <c r="E996" s="69" t="s">
        <v>2388</v>
      </c>
      <c r="F996" s="69">
        <v>30</v>
      </c>
      <c r="G996" s="69">
        <v>30</v>
      </c>
      <c r="H996" s="69" t="s">
        <v>2399</v>
      </c>
      <c r="I996" s="69" t="s">
        <v>2433</v>
      </c>
      <c r="J996" s="69" t="s">
        <v>2427</v>
      </c>
      <c r="K996" s="69"/>
      <c r="L996" s="72" t="s">
        <v>2387</v>
      </c>
      <c r="M996" s="72" t="b">
        <f t="shared" si="16"/>
        <v>1</v>
      </c>
    </row>
    <row r="997" spans="1:13" x14ac:dyDescent="0.25">
      <c r="A997" s="69" t="s">
        <v>1770</v>
      </c>
      <c r="B997" s="70" t="s">
        <v>3122</v>
      </c>
      <c r="C997" s="69" t="s">
        <v>3123</v>
      </c>
      <c r="D997" s="71" t="s">
        <v>2387</v>
      </c>
      <c r="E997" s="69" t="s">
        <v>2388</v>
      </c>
      <c r="F997" s="69">
        <v>30</v>
      </c>
      <c r="G997" s="69">
        <v>30</v>
      </c>
      <c r="H997" s="69" t="s">
        <v>2399</v>
      </c>
      <c r="I997" s="69" t="s">
        <v>2433</v>
      </c>
      <c r="J997" s="69" t="s">
        <v>2427</v>
      </c>
      <c r="K997" s="69"/>
      <c r="L997" s="72" t="s">
        <v>2387</v>
      </c>
      <c r="M997" s="72" t="b">
        <f t="shared" si="16"/>
        <v>1</v>
      </c>
    </row>
    <row r="998" spans="1:13" x14ac:dyDescent="0.25">
      <c r="A998" s="69" t="s">
        <v>2135</v>
      </c>
      <c r="B998" s="70" t="s">
        <v>3122</v>
      </c>
      <c r="C998" s="69" t="s">
        <v>3123</v>
      </c>
      <c r="D998" s="71" t="s">
        <v>2387</v>
      </c>
      <c r="E998" s="69" t="s">
        <v>2388</v>
      </c>
      <c r="F998" s="69">
        <v>30</v>
      </c>
      <c r="G998" s="69">
        <v>0</v>
      </c>
      <c r="H998" s="69" t="s">
        <v>2399</v>
      </c>
      <c r="I998" s="69" t="s">
        <v>2433</v>
      </c>
      <c r="J998" s="69" t="s">
        <v>2427</v>
      </c>
      <c r="K998" s="69"/>
      <c r="L998" s="72" t="s">
        <v>2387</v>
      </c>
      <c r="M998" s="72" t="b">
        <f t="shared" si="16"/>
        <v>1</v>
      </c>
    </row>
    <row r="999" spans="1:13" x14ac:dyDescent="0.25">
      <c r="A999" s="69" t="s">
        <v>2134</v>
      </c>
      <c r="B999" s="70" t="s">
        <v>3122</v>
      </c>
      <c r="C999" s="69" t="s">
        <v>3123</v>
      </c>
      <c r="D999" s="71" t="s">
        <v>2387</v>
      </c>
      <c r="E999" s="69" t="s">
        <v>2388</v>
      </c>
      <c r="F999" s="69">
        <v>30</v>
      </c>
      <c r="G999" s="69">
        <v>0</v>
      </c>
      <c r="H999" s="69" t="s">
        <v>2399</v>
      </c>
      <c r="I999" s="69" t="s">
        <v>2433</v>
      </c>
      <c r="J999" s="69" t="s">
        <v>2427</v>
      </c>
      <c r="K999" s="69"/>
      <c r="L999" s="72" t="s">
        <v>2387</v>
      </c>
      <c r="M999" s="72" t="b">
        <f t="shared" si="16"/>
        <v>1</v>
      </c>
    </row>
    <row r="1000" spans="1:13" x14ac:dyDescent="0.25">
      <c r="A1000" s="69" t="s">
        <v>88</v>
      </c>
      <c r="B1000" s="70" t="s">
        <v>3122</v>
      </c>
      <c r="C1000" s="69" t="s">
        <v>3123</v>
      </c>
      <c r="D1000" s="71" t="s">
        <v>2387</v>
      </c>
      <c r="E1000" s="69" t="s">
        <v>2388</v>
      </c>
      <c r="F1000" s="69">
        <v>30</v>
      </c>
      <c r="G1000" s="69">
        <v>30</v>
      </c>
      <c r="H1000" s="69" t="s">
        <v>2391</v>
      </c>
      <c r="I1000" s="69" t="s">
        <v>2433</v>
      </c>
      <c r="J1000" s="69" t="s">
        <v>2435</v>
      </c>
      <c r="K1000" s="69"/>
      <c r="L1000" s="72" t="s">
        <v>2387</v>
      </c>
      <c r="M1000" s="72" t="b">
        <f t="shared" si="16"/>
        <v>1</v>
      </c>
    </row>
    <row r="1001" spans="1:13" x14ac:dyDescent="0.25">
      <c r="A1001" s="69" t="s">
        <v>2053</v>
      </c>
      <c r="B1001" s="70" t="s">
        <v>3122</v>
      </c>
      <c r="C1001" s="69" t="s">
        <v>3123</v>
      </c>
      <c r="D1001" s="71" t="s">
        <v>2387</v>
      </c>
      <c r="E1001" s="69" t="s">
        <v>2388</v>
      </c>
      <c r="F1001" s="69">
        <v>30</v>
      </c>
      <c r="G1001" s="69">
        <v>30</v>
      </c>
      <c r="H1001" s="69" t="s">
        <v>2391</v>
      </c>
      <c r="I1001" s="69" t="s">
        <v>2433</v>
      </c>
      <c r="J1001" s="69" t="s">
        <v>2435</v>
      </c>
      <c r="K1001" s="69"/>
      <c r="L1001" s="72" t="s">
        <v>2387</v>
      </c>
      <c r="M1001" s="72" t="b">
        <f t="shared" si="16"/>
        <v>1</v>
      </c>
    </row>
    <row r="1002" spans="1:13" x14ac:dyDescent="0.25">
      <c r="A1002" s="69" t="s">
        <v>1992</v>
      </c>
      <c r="B1002" s="70" t="s">
        <v>3122</v>
      </c>
      <c r="C1002" s="69" t="s">
        <v>3123</v>
      </c>
      <c r="D1002" s="71" t="s">
        <v>2387</v>
      </c>
      <c r="E1002" s="69" t="s">
        <v>2388</v>
      </c>
      <c r="F1002" s="69">
        <v>30</v>
      </c>
      <c r="G1002" s="69">
        <v>30</v>
      </c>
      <c r="H1002" s="69" t="s">
        <v>2391</v>
      </c>
      <c r="I1002" s="69" t="s">
        <v>2433</v>
      </c>
      <c r="J1002" s="69" t="s">
        <v>2435</v>
      </c>
      <c r="K1002" s="69"/>
      <c r="L1002" s="72" t="s">
        <v>2387</v>
      </c>
      <c r="M1002" s="72" t="b">
        <f t="shared" si="16"/>
        <v>1</v>
      </c>
    </row>
    <row r="1003" spans="1:13" x14ac:dyDescent="0.25">
      <c r="A1003" s="69" t="s">
        <v>1989</v>
      </c>
      <c r="B1003" s="70" t="s">
        <v>3122</v>
      </c>
      <c r="C1003" s="69" t="s">
        <v>3123</v>
      </c>
      <c r="D1003" s="71" t="s">
        <v>2387</v>
      </c>
      <c r="E1003" s="69" t="s">
        <v>2388</v>
      </c>
      <c r="F1003" s="69">
        <v>30</v>
      </c>
      <c r="G1003" s="69">
        <v>30</v>
      </c>
      <c r="H1003" s="69" t="s">
        <v>2391</v>
      </c>
      <c r="I1003" s="69" t="s">
        <v>2433</v>
      </c>
      <c r="J1003" s="69" t="s">
        <v>2435</v>
      </c>
      <c r="K1003" s="69"/>
      <c r="L1003" s="72" t="s">
        <v>2387</v>
      </c>
      <c r="M1003" s="72" t="b">
        <f t="shared" si="16"/>
        <v>1</v>
      </c>
    </row>
    <row r="1004" spans="1:13" x14ac:dyDescent="0.25">
      <c r="A1004" s="69" t="s">
        <v>2032</v>
      </c>
      <c r="B1004" s="70" t="s">
        <v>3122</v>
      </c>
      <c r="C1004" s="69" t="s">
        <v>3123</v>
      </c>
      <c r="D1004" s="71" t="s">
        <v>2387</v>
      </c>
      <c r="E1004" s="69" t="s">
        <v>2388</v>
      </c>
      <c r="F1004" s="69">
        <v>30</v>
      </c>
      <c r="G1004" s="69">
        <v>30</v>
      </c>
      <c r="H1004" s="69" t="s">
        <v>2391</v>
      </c>
      <c r="I1004" s="69" t="s">
        <v>2433</v>
      </c>
      <c r="J1004" s="69" t="s">
        <v>2435</v>
      </c>
      <c r="K1004" s="69"/>
      <c r="L1004" s="72" t="s">
        <v>2387</v>
      </c>
      <c r="M1004" s="72" t="b">
        <f t="shared" si="16"/>
        <v>1</v>
      </c>
    </row>
    <row r="1005" spans="1:13" x14ac:dyDescent="0.25">
      <c r="A1005" s="69" t="s">
        <v>2057</v>
      </c>
      <c r="B1005" s="70" t="s">
        <v>3122</v>
      </c>
      <c r="C1005" s="69" t="s">
        <v>3123</v>
      </c>
      <c r="D1005" s="71" t="s">
        <v>2387</v>
      </c>
      <c r="E1005" s="69" t="s">
        <v>2388</v>
      </c>
      <c r="F1005" s="69">
        <v>30</v>
      </c>
      <c r="G1005" s="69">
        <v>30</v>
      </c>
      <c r="H1005" s="69" t="s">
        <v>2391</v>
      </c>
      <c r="I1005" s="69" t="s">
        <v>2433</v>
      </c>
      <c r="J1005" s="69" t="s">
        <v>2435</v>
      </c>
      <c r="K1005" s="69"/>
      <c r="L1005" s="72" t="s">
        <v>2387</v>
      </c>
      <c r="M1005" s="72" t="b">
        <f t="shared" si="16"/>
        <v>1</v>
      </c>
    </row>
    <row r="1006" spans="1:13" x14ac:dyDescent="0.25">
      <c r="A1006" s="69" t="s">
        <v>2052</v>
      </c>
      <c r="B1006" s="70" t="s">
        <v>3122</v>
      </c>
      <c r="C1006" s="69" t="s">
        <v>3123</v>
      </c>
      <c r="D1006" s="71" t="s">
        <v>2387</v>
      </c>
      <c r="E1006" s="69" t="s">
        <v>2388</v>
      </c>
      <c r="F1006" s="69">
        <v>30</v>
      </c>
      <c r="G1006" s="69">
        <v>30</v>
      </c>
      <c r="H1006" s="69" t="s">
        <v>2391</v>
      </c>
      <c r="I1006" s="69" t="s">
        <v>2433</v>
      </c>
      <c r="J1006" s="69" t="s">
        <v>2436</v>
      </c>
      <c r="K1006" s="69"/>
      <c r="L1006" s="72" t="s">
        <v>2387</v>
      </c>
      <c r="M1006" s="72" t="b">
        <f t="shared" si="16"/>
        <v>1</v>
      </c>
    </row>
    <row r="1007" spans="1:13" x14ac:dyDescent="0.25">
      <c r="A1007" s="69" t="s">
        <v>2467</v>
      </c>
      <c r="B1007" s="70" t="s">
        <v>3122</v>
      </c>
      <c r="C1007" s="69" t="s">
        <v>3123</v>
      </c>
      <c r="D1007" s="71" t="s">
        <v>2387</v>
      </c>
      <c r="E1007" s="69" t="s">
        <v>2388</v>
      </c>
      <c r="F1007" s="69">
        <v>30</v>
      </c>
      <c r="G1007" s="69">
        <v>30</v>
      </c>
      <c r="H1007" s="69" t="s">
        <v>2412</v>
      </c>
      <c r="I1007" s="69" t="s">
        <v>2410</v>
      </c>
      <c r="J1007" s="69" t="s">
        <v>2401</v>
      </c>
      <c r="K1007" s="69" t="s">
        <v>3026</v>
      </c>
      <c r="L1007" s="72" t="s">
        <v>2387</v>
      </c>
      <c r="M1007" s="72" t="b">
        <f t="shared" si="16"/>
        <v>1</v>
      </c>
    </row>
    <row r="1008" spans="1:13" x14ac:dyDescent="0.25">
      <c r="A1008" s="69" t="s">
        <v>1993</v>
      </c>
      <c r="B1008" s="70" t="s">
        <v>3122</v>
      </c>
      <c r="C1008" s="69" t="s">
        <v>3123</v>
      </c>
      <c r="D1008" s="71" t="s">
        <v>2387</v>
      </c>
      <c r="E1008" s="69" t="s">
        <v>2388</v>
      </c>
      <c r="F1008" s="69">
        <v>30</v>
      </c>
      <c r="G1008" s="69">
        <v>30</v>
      </c>
      <c r="H1008" s="69" t="s">
        <v>2391</v>
      </c>
      <c r="I1008" s="69" t="s">
        <v>2433</v>
      </c>
      <c r="J1008" s="69" t="s">
        <v>2435</v>
      </c>
      <c r="K1008" s="69"/>
      <c r="L1008" s="72" t="s">
        <v>2387</v>
      </c>
      <c r="M1008" s="72" t="b">
        <f t="shared" si="16"/>
        <v>1</v>
      </c>
    </row>
    <row r="1009" spans="1:13" x14ac:dyDescent="0.25">
      <c r="A1009" s="69" t="s">
        <v>2004</v>
      </c>
      <c r="B1009" s="70" t="s">
        <v>3122</v>
      </c>
      <c r="C1009" s="69" t="s">
        <v>3123</v>
      </c>
      <c r="D1009" s="71" t="s">
        <v>2387</v>
      </c>
      <c r="E1009" s="69" t="s">
        <v>2388</v>
      </c>
      <c r="F1009" s="69">
        <v>30</v>
      </c>
      <c r="G1009" s="69">
        <v>30</v>
      </c>
      <c r="H1009" s="69" t="s">
        <v>2391</v>
      </c>
      <c r="I1009" s="69" t="s">
        <v>2433</v>
      </c>
      <c r="J1009" s="69" t="s">
        <v>2435</v>
      </c>
      <c r="K1009" s="69"/>
      <c r="L1009" s="72" t="s">
        <v>2387</v>
      </c>
      <c r="M1009" s="72" t="b">
        <f t="shared" si="16"/>
        <v>1</v>
      </c>
    </row>
    <row r="1010" spans="1:13" x14ac:dyDescent="0.25">
      <c r="A1010" s="69" t="s">
        <v>1933</v>
      </c>
      <c r="B1010" s="70" t="s">
        <v>3122</v>
      </c>
      <c r="C1010" s="69" t="s">
        <v>3123</v>
      </c>
      <c r="D1010" s="71" t="s">
        <v>2387</v>
      </c>
      <c r="E1010" s="69" t="s">
        <v>2388</v>
      </c>
      <c r="F1010" s="69">
        <v>30</v>
      </c>
      <c r="G1010" s="69">
        <v>30</v>
      </c>
      <c r="H1010" s="69" t="s">
        <v>2391</v>
      </c>
      <c r="I1010" s="69" t="s">
        <v>2433</v>
      </c>
      <c r="J1010" s="69" t="s">
        <v>2435</v>
      </c>
      <c r="K1010" s="69"/>
      <c r="L1010" s="72" t="s">
        <v>2387</v>
      </c>
      <c r="M1010" s="72" t="b">
        <f t="shared" si="16"/>
        <v>1</v>
      </c>
    </row>
    <row r="1011" spans="1:13" x14ac:dyDescent="0.25">
      <c r="A1011" s="69" t="s">
        <v>2043</v>
      </c>
      <c r="B1011" s="70" t="s">
        <v>3125</v>
      </c>
      <c r="C1011" s="69" t="s">
        <v>999</v>
      </c>
      <c r="D1011" s="71" t="s">
        <v>2961</v>
      </c>
      <c r="E1011" s="69" t="s">
        <v>2388</v>
      </c>
      <c r="F1011" s="69">
        <v>30</v>
      </c>
      <c r="G1011" s="69">
        <v>45</v>
      </c>
      <c r="H1011" s="69" t="s">
        <v>2391</v>
      </c>
      <c r="I1011" s="69" t="s">
        <v>2431</v>
      </c>
      <c r="J1011" s="69" t="s">
        <v>2398</v>
      </c>
      <c r="K1011" s="69" t="s">
        <v>3091</v>
      </c>
      <c r="L1011" s="72" t="s">
        <v>2392</v>
      </c>
      <c r="M1011" s="72" t="b">
        <f t="shared" si="16"/>
        <v>0</v>
      </c>
    </row>
    <row r="1012" spans="1:13" x14ac:dyDescent="0.25">
      <c r="A1012" s="81" t="s">
        <v>1159</v>
      </c>
      <c r="B1012" s="70">
        <v>44000020</v>
      </c>
      <c r="C1012" s="69" t="s">
        <v>1141</v>
      </c>
      <c r="D1012" s="71" t="s">
        <v>2961</v>
      </c>
      <c r="E1012" s="69" t="s">
        <v>2388</v>
      </c>
      <c r="F1012" s="69">
        <v>30</v>
      </c>
      <c r="G1012" s="69">
        <v>45</v>
      </c>
      <c r="H1012" s="69" t="s">
        <v>2399</v>
      </c>
      <c r="I1012" s="69" t="s">
        <v>2414</v>
      </c>
      <c r="J1012" s="69" t="s">
        <v>2424</v>
      </c>
      <c r="K1012" s="69" t="s">
        <v>3116</v>
      </c>
      <c r="L1012" s="72" t="s">
        <v>2392</v>
      </c>
      <c r="M1012" s="72" t="b">
        <f t="shared" si="16"/>
        <v>0</v>
      </c>
    </row>
    <row r="1013" spans="1:13" x14ac:dyDescent="0.25">
      <c r="A1013" s="81" t="s">
        <v>1153</v>
      </c>
      <c r="B1013" s="70">
        <v>44000020</v>
      </c>
      <c r="C1013" s="69" t="s">
        <v>1141</v>
      </c>
      <c r="D1013" s="71" t="s">
        <v>2961</v>
      </c>
      <c r="E1013" s="69" t="s">
        <v>2388</v>
      </c>
      <c r="F1013" s="69">
        <v>30</v>
      </c>
      <c r="G1013" s="69">
        <v>45</v>
      </c>
      <c r="H1013" s="69" t="s">
        <v>2399</v>
      </c>
      <c r="I1013" s="69" t="s">
        <v>2414</v>
      </c>
      <c r="J1013" s="69" t="s">
        <v>2424</v>
      </c>
      <c r="K1013" s="69" t="s">
        <v>3126</v>
      </c>
      <c r="L1013" s="72" t="s">
        <v>2392</v>
      </c>
      <c r="M1013" s="72" t="b">
        <f t="shared" si="16"/>
        <v>0</v>
      </c>
    </row>
    <row r="1014" spans="1:13" x14ac:dyDescent="0.25">
      <c r="A1014" s="81" t="s">
        <v>1156</v>
      </c>
      <c r="B1014" s="70">
        <v>44000020</v>
      </c>
      <c r="C1014" s="69" t="s">
        <v>1141</v>
      </c>
      <c r="D1014" s="71" t="s">
        <v>2961</v>
      </c>
      <c r="E1014" s="69" t="s">
        <v>2388</v>
      </c>
      <c r="F1014" s="69">
        <v>30</v>
      </c>
      <c r="G1014" s="69">
        <v>45</v>
      </c>
      <c r="H1014" s="69" t="s">
        <v>2399</v>
      </c>
      <c r="I1014" s="69" t="s">
        <v>2414</v>
      </c>
      <c r="J1014" s="69" t="s">
        <v>2424</v>
      </c>
      <c r="K1014" s="69" t="s">
        <v>3114</v>
      </c>
      <c r="L1014" s="72" t="s">
        <v>2392</v>
      </c>
      <c r="M1014" s="72" t="b">
        <f t="shared" si="16"/>
        <v>0</v>
      </c>
    </row>
    <row r="1015" spans="1:13" x14ac:dyDescent="0.25">
      <c r="A1015" s="69" t="s">
        <v>2043</v>
      </c>
      <c r="B1015" s="70" t="s">
        <v>3127</v>
      </c>
      <c r="C1015" s="69" t="s">
        <v>3128</v>
      </c>
      <c r="D1015" s="71" t="s">
        <v>2387</v>
      </c>
      <c r="E1015" s="69" t="s">
        <v>2388</v>
      </c>
      <c r="F1015" s="69">
        <v>30</v>
      </c>
      <c r="G1015" s="69">
        <v>40</v>
      </c>
      <c r="H1015" s="69" t="s">
        <v>2391</v>
      </c>
      <c r="I1015" s="69" t="s">
        <v>2431</v>
      </c>
      <c r="J1015" s="69" t="s">
        <v>2398</v>
      </c>
      <c r="K1015" s="69"/>
      <c r="L1015" s="72" t="s">
        <v>2392</v>
      </c>
      <c r="M1015" s="72" t="b">
        <f t="shared" si="16"/>
        <v>0</v>
      </c>
    </row>
    <row r="1016" spans="1:13" x14ac:dyDescent="0.25">
      <c r="A1016" s="69" t="s">
        <v>2020</v>
      </c>
      <c r="B1016" s="70" t="s">
        <v>3127</v>
      </c>
      <c r="C1016" s="69" t="s">
        <v>3128</v>
      </c>
      <c r="D1016" s="71" t="s">
        <v>2387</v>
      </c>
      <c r="E1016" s="69" t="s">
        <v>2388</v>
      </c>
      <c r="F1016" s="69">
        <v>30</v>
      </c>
      <c r="G1016" s="69">
        <v>40</v>
      </c>
      <c r="H1016" s="69" t="s">
        <v>2391</v>
      </c>
      <c r="I1016" s="69" t="s">
        <v>2431</v>
      </c>
      <c r="J1016" s="69" t="s">
        <v>2398</v>
      </c>
      <c r="K1016" s="69"/>
      <c r="L1016" s="72" t="s">
        <v>2392</v>
      </c>
      <c r="M1016" s="72" t="b">
        <f t="shared" si="16"/>
        <v>0</v>
      </c>
    </row>
    <row r="1017" spans="1:13" x14ac:dyDescent="0.25">
      <c r="A1017" s="75" t="s">
        <v>1148</v>
      </c>
      <c r="B1017" s="70">
        <v>44000010</v>
      </c>
      <c r="C1017" s="69" t="s">
        <v>28</v>
      </c>
      <c r="D1017" s="71" t="s">
        <v>2387</v>
      </c>
      <c r="E1017" s="69" t="s">
        <v>2388</v>
      </c>
      <c r="F1017" s="69">
        <v>30</v>
      </c>
      <c r="G1017" s="69">
        <v>60</v>
      </c>
      <c r="H1017" s="69" t="s">
        <v>2399</v>
      </c>
      <c r="I1017" s="69" t="s">
        <v>2471</v>
      </c>
      <c r="J1017" s="69" t="s">
        <v>2415</v>
      </c>
      <c r="K1017" s="69"/>
      <c r="L1017" s="72" t="s">
        <v>2387</v>
      </c>
      <c r="M1017" s="72" t="b">
        <f t="shared" si="16"/>
        <v>1</v>
      </c>
    </row>
    <row r="1018" spans="1:13" x14ac:dyDescent="0.25">
      <c r="A1018" s="75" t="s">
        <v>1145</v>
      </c>
      <c r="B1018" s="70">
        <v>44000010</v>
      </c>
      <c r="C1018" s="69" t="s">
        <v>28</v>
      </c>
      <c r="D1018" s="71" t="s">
        <v>2387</v>
      </c>
      <c r="E1018" s="69" t="s">
        <v>2388</v>
      </c>
      <c r="F1018" s="69">
        <v>30</v>
      </c>
      <c r="G1018" s="69">
        <v>60</v>
      </c>
      <c r="H1018" s="69" t="s">
        <v>2399</v>
      </c>
      <c r="I1018" s="69" t="s">
        <v>2471</v>
      </c>
      <c r="J1018" s="69" t="s">
        <v>2415</v>
      </c>
      <c r="K1018" s="69"/>
      <c r="L1018" s="72" t="s">
        <v>2387</v>
      </c>
      <c r="M1018" s="72" t="b">
        <f t="shared" si="16"/>
        <v>1</v>
      </c>
    </row>
    <row r="1019" spans="1:13" x14ac:dyDescent="0.25">
      <c r="A1019" s="69" t="s">
        <v>392</v>
      </c>
      <c r="B1019" s="70" t="s">
        <v>3129</v>
      </c>
      <c r="C1019" s="69" t="s">
        <v>395</v>
      </c>
      <c r="D1019" s="71" t="s">
        <v>2961</v>
      </c>
      <c r="E1019" s="69" t="s">
        <v>2388</v>
      </c>
      <c r="F1019" s="69">
        <v>15</v>
      </c>
      <c r="G1019" s="69">
        <v>90</v>
      </c>
      <c r="H1019" s="69" t="s">
        <v>2399</v>
      </c>
      <c r="I1019" s="69" t="s">
        <v>2405</v>
      </c>
      <c r="J1019" s="69" t="s">
        <v>2406</v>
      </c>
      <c r="K1019" s="69"/>
      <c r="L1019" s="72" t="s">
        <v>2387</v>
      </c>
      <c r="M1019" s="72" t="b">
        <f t="shared" si="16"/>
        <v>0</v>
      </c>
    </row>
    <row r="1020" spans="1:13" x14ac:dyDescent="0.25">
      <c r="A1020" s="69" t="s">
        <v>2016</v>
      </c>
      <c r="B1020" s="70" t="s">
        <v>3130</v>
      </c>
      <c r="C1020" s="69" t="s">
        <v>3131</v>
      </c>
      <c r="D1020" s="71" t="s">
        <v>2387</v>
      </c>
      <c r="E1020" s="69" t="s">
        <v>2388</v>
      </c>
      <c r="F1020" s="69">
        <v>30</v>
      </c>
      <c r="G1020" s="69">
        <v>40</v>
      </c>
      <c r="H1020" s="69" t="s">
        <v>2391</v>
      </c>
      <c r="I1020" s="69" t="s">
        <v>2431</v>
      </c>
      <c r="J1020" s="69" t="s">
        <v>2398</v>
      </c>
      <c r="K1020" s="69"/>
      <c r="L1020" s="72" t="s">
        <v>2392</v>
      </c>
      <c r="M1020" s="72" t="b">
        <f t="shared" si="16"/>
        <v>0</v>
      </c>
    </row>
    <row r="1021" spans="1:13" x14ac:dyDescent="0.25">
      <c r="A1021" s="69" t="s">
        <v>2019</v>
      </c>
      <c r="B1021" s="70" t="s">
        <v>3130</v>
      </c>
      <c r="C1021" s="69" t="s">
        <v>3131</v>
      </c>
      <c r="D1021" s="71" t="s">
        <v>2961</v>
      </c>
      <c r="E1021" s="69" t="s">
        <v>2388</v>
      </c>
      <c r="F1021" s="69">
        <v>30</v>
      </c>
      <c r="G1021" s="69">
        <v>40</v>
      </c>
      <c r="H1021" s="69" t="s">
        <v>2391</v>
      </c>
      <c r="I1021" s="69" t="s">
        <v>2431</v>
      </c>
      <c r="J1021" s="69" t="s">
        <v>2398</v>
      </c>
      <c r="K1021" s="69"/>
      <c r="L1021" s="72" t="s">
        <v>2392</v>
      </c>
      <c r="M1021" s="72" t="b">
        <f t="shared" si="16"/>
        <v>0</v>
      </c>
    </row>
    <row r="1022" spans="1:13" x14ac:dyDescent="0.25">
      <c r="A1022" s="69" t="s">
        <v>747</v>
      </c>
      <c r="B1022" s="70" t="s">
        <v>3132</v>
      </c>
      <c r="C1022" s="69" t="s">
        <v>2547</v>
      </c>
      <c r="D1022" s="71" t="s">
        <v>2387</v>
      </c>
      <c r="E1022" s="69" t="s">
        <v>2388</v>
      </c>
      <c r="F1022" s="69">
        <v>30</v>
      </c>
      <c r="G1022" s="69">
        <v>90</v>
      </c>
      <c r="H1022" s="69" t="s">
        <v>2399</v>
      </c>
      <c r="I1022" s="69" t="s">
        <v>2456</v>
      </c>
      <c r="J1022" s="69" t="s">
        <v>2488</v>
      </c>
      <c r="K1022" s="69"/>
      <c r="L1022" s="72" t="s">
        <v>2387</v>
      </c>
      <c r="M1022" s="72" t="b">
        <f t="shared" si="16"/>
        <v>1</v>
      </c>
    </row>
    <row r="1023" spans="1:13" x14ac:dyDescent="0.25">
      <c r="A1023" s="69" t="s">
        <v>292</v>
      </c>
      <c r="B1023" s="70">
        <v>44001833</v>
      </c>
      <c r="C1023" s="69" t="s">
        <v>15</v>
      </c>
      <c r="D1023" s="71" t="s">
        <v>2387</v>
      </c>
      <c r="E1023" s="69" t="s">
        <v>2388</v>
      </c>
      <c r="F1023" s="69">
        <v>30</v>
      </c>
      <c r="G1023" s="69">
        <v>60</v>
      </c>
      <c r="H1023" s="69" t="s">
        <v>2399</v>
      </c>
      <c r="I1023" s="69" t="s">
        <v>2479</v>
      </c>
      <c r="J1023" s="69" t="s">
        <v>2424</v>
      </c>
      <c r="K1023" s="69"/>
      <c r="L1023" s="72" t="s">
        <v>2387</v>
      </c>
      <c r="M1023" s="72" t="b">
        <f t="shared" si="16"/>
        <v>1</v>
      </c>
    </row>
    <row r="1024" spans="1:13" x14ac:dyDescent="0.25">
      <c r="A1024" s="69" t="s">
        <v>2254</v>
      </c>
      <c r="B1024" s="70">
        <v>44001833</v>
      </c>
      <c r="C1024" s="69" t="s">
        <v>15</v>
      </c>
      <c r="D1024" s="71" t="s">
        <v>2387</v>
      </c>
      <c r="E1024" s="69" t="s">
        <v>2388</v>
      </c>
      <c r="F1024" s="69">
        <v>30</v>
      </c>
      <c r="G1024" s="69">
        <v>60</v>
      </c>
      <c r="H1024" s="69" t="s">
        <v>2399</v>
      </c>
      <c r="I1024" s="69" t="s">
        <v>2479</v>
      </c>
      <c r="J1024" s="69" t="s">
        <v>2424</v>
      </c>
      <c r="K1024" s="69"/>
      <c r="L1024" s="72" t="s">
        <v>2387</v>
      </c>
      <c r="M1024" s="72" t="b">
        <f t="shared" si="16"/>
        <v>1</v>
      </c>
    </row>
    <row r="1025" spans="1:13" x14ac:dyDescent="0.25">
      <c r="A1025" s="69" t="s">
        <v>2307</v>
      </c>
      <c r="B1025" s="70" t="s">
        <v>3132</v>
      </c>
      <c r="C1025" s="69" t="s">
        <v>2547</v>
      </c>
      <c r="D1025" s="71" t="s">
        <v>2387</v>
      </c>
      <c r="E1025" s="69" t="s">
        <v>2388</v>
      </c>
      <c r="F1025" s="69">
        <v>30</v>
      </c>
      <c r="G1025" s="69">
        <v>90</v>
      </c>
      <c r="H1025" s="69" t="s">
        <v>2399</v>
      </c>
      <c r="I1025" s="69" t="s">
        <v>2456</v>
      </c>
      <c r="J1025" s="69" t="s">
        <v>2401</v>
      </c>
      <c r="K1025" s="69"/>
      <c r="L1025" s="72" t="s">
        <v>2387</v>
      </c>
      <c r="M1025" s="72" t="b">
        <f t="shared" si="16"/>
        <v>1</v>
      </c>
    </row>
    <row r="1026" spans="1:13" x14ac:dyDescent="0.25">
      <c r="A1026" s="69" t="s">
        <v>340</v>
      </c>
      <c r="B1026" s="70">
        <v>44006051</v>
      </c>
      <c r="C1026" s="69" t="s">
        <v>2548</v>
      </c>
      <c r="D1026" s="71" t="s">
        <v>2392</v>
      </c>
      <c r="E1026" s="69" t="s">
        <v>2388</v>
      </c>
      <c r="F1026" s="69">
        <v>30</v>
      </c>
      <c r="G1026" s="69">
        <v>30</v>
      </c>
      <c r="H1026" s="69" t="s">
        <v>2395</v>
      </c>
      <c r="I1026" s="69" t="s">
        <v>2463</v>
      </c>
      <c r="J1026" s="69" t="s">
        <v>2444</v>
      </c>
      <c r="K1026" s="69"/>
      <c r="L1026" s="72" t="s">
        <v>2392</v>
      </c>
      <c r="M1026" s="72" t="b">
        <f t="shared" si="16"/>
        <v>1</v>
      </c>
    </row>
    <row r="1027" spans="1:13" x14ac:dyDescent="0.25">
      <c r="A1027" s="69" t="s">
        <v>343</v>
      </c>
      <c r="B1027" s="70">
        <v>44000454</v>
      </c>
      <c r="C1027" s="69" t="s">
        <v>2487</v>
      </c>
      <c r="D1027" s="71" t="s">
        <v>2392</v>
      </c>
      <c r="E1027" s="69" t="s">
        <v>2388</v>
      </c>
      <c r="F1027" s="69">
        <v>30</v>
      </c>
      <c r="G1027" s="69">
        <v>30</v>
      </c>
      <c r="H1027" s="69" t="s">
        <v>2395</v>
      </c>
      <c r="I1027" s="69" t="s">
        <v>2463</v>
      </c>
      <c r="J1027" s="69" t="s">
        <v>2444</v>
      </c>
      <c r="K1027" s="69"/>
      <c r="L1027" s="72" t="s">
        <v>2387</v>
      </c>
      <c r="M1027" s="72" t="b">
        <f t="shared" si="16"/>
        <v>0</v>
      </c>
    </row>
    <row r="1028" spans="1:13" x14ac:dyDescent="0.25">
      <c r="A1028" s="69" t="s">
        <v>1151</v>
      </c>
      <c r="B1028" s="70" t="s">
        <v>3118</v>
      </c>
      <c r="C1028" s="69" t="s">
        <v>1131</v>
      </c>
      <c r="D1028" s="71" t="s">
        <v>2387</v>
      </c>
      <c r="E1028" s="69" t="s">
        <v>2388</v>
      </c>
      <c r="F1028" s="69">
        <v>30</v>
      </c>
      <c r="G1028" s="69">
        <v>45</v>
      </c>
      <c r="H1028" s="69" t="s">
        <v>2399</v>
      </c>
      <c r="I1028" s="69" t="s">
        <v>2414</v>
      </c>
      <c r="J1028" s="69" t="s">
        <v>2415</v>
      </c>
      <c r="K1028" s="69"/>
      <c r="L1028" s="72" t="s">
        <v>2387</v>
      </c>
      <c r="M1028" s="72" t="b">
        <f t="shared" si="16"/>
        <v>1</v>
      </c>
    </row>
    <row r="1029" spans="1:13" x14ac:dyDescent="0.25">
      <c r="A1029" s="69" t="s">
        <v>1090</v>
      </c>
      <c r="B1029" s="70" t="s">
        <v>3119</v>
      </c>
      <c r="C1029" s="69" t="s">
        <v>903</v>
      </c>
      <c r="D1029" s="71" t="s">
        <v>2392</v>
      </c>
      <c r="E1029" s="69" t="s">
        <v>2393</v>
      </c>
      <c r="F1029" s="69">
        <v>30</v>
      </c>
      <c r="G1029" s="69">
        <v>900</v>
      </c>
      <c r="H1029" s="69" t="s">
        <v>2399</v>
      </c>
      <c r="I1029" s="69" t="s">
        <v>2397</v>
      </c>
      <c r="J1029" s="69" t="s">
        <v>2398</v>
      </c>
      <c r="K1029" s="69" t="s">
        <v>3133</v>
      </c>
      <c r="L1029" s="72" t="s">
        <v>2392</v>
      </c>
      <c r="M1029" s="72" t="b">
        <f t="shared" si="16"/>
        <v>1</v>
      </c>
    </row>
    <row r="1030" spans="1:13" x14ac:dyDescent="0.25">
      <c r="A1030" s="69" t="s">
        <v>2294</v>
      </c>
      <c r="B1030" s="70">
        <v>44007289</v>
      </c>
      <c r="C1030" s="69" t="s">
        <v>2549</v>
      </c>
      <c r="D1030" s="71" t="s">
        <v>2392</v>
      </c>
      <c r="E1030" s="69" t="s">
        <v>2393</v>
      </c>
      <c r="F1030" s="69">
        <v>30</v>
      </c>
      <c r="G1030" s="69">
        <v>0</v>
      </c>
      <c r="H1030" s="69" t="s">
        <v>2412</v>
      </c>
      <c r="I1030" s="69" t="s">
        <v>2410</v>
      </c>
      <c r="J1030" s="69" t="s">
        <v>2410</v>
      </c>
      <c r="K1030" s="69"/>
      <c r="L1030" s="72" t="s">
        <v>2392</v>
      </c>
      <c r="M1030" s="72" t="b">
        <f t="shared" si="16"/>
        <v>1</v>
      </c>
    </row>
    <row r="1031" spans="1:13" x14ac:dyDescent="0.25">
      <c r="A1031" s="69" t="s">
        <v>2101</v>
      </c>
      <c r="B1031" s="70" t="s">
        <v>3134</v>
      </c>
      <c r="C1031" s="69" t="s">
        <v>1006</v>
      </c>
      <c r="D1031" s="71" t="s">
        <v>2392</v>
      </c>
      <c r="E1031" s="69" t="s">
        <v>2393</v>
      </c>
      <c r="F1031" s="69">
        <v>30</v>
      </c>
      <c r="G1031" s="69">
        <v>0</v>
      </c>
      <c r="H1031" s="69" t="s">
        <v>2412</v>
      </c>
      <c r="I1031" s="69" t="s">
        <v>2410</v>
      </c>
      <c r="J1031" s="69" t="s">
        <v>2410</v>
      </c>
      <c r="K1031" s="69"/>
      <c r="L1031" s="72" t="s">
        <v>2392</v>
      </c>
      <c r="M1031" s="72" t="b">
        <f t="shared" ref="M1031:M1080" si="17">L1031=D1031</f>
        <v>1</v>
      </c>
    </row>
    <row r="1032" spans="1:13" x14ac:dyDescent="0.25">
      <c r="A1032" s="69" t="s">
        <v>2101</v>
      </c>
      <c r="B1032" s="70" t="s">
        <v>3135</v>
      </c>
      <c r="C1032" s="69" t="s">
        <v>3136</v>
      </c>
      <c r="D1032" s="71" t="s">
        <v>2392</v>
      </c>
      <c r="E1032" s="69" t="s">
        <v>2393</v>
      </c>
      <c r="F1032" s="69">
        <v>30</v>
      </c>
      <c r="G1032" s="69">
        <v>0</v>
      </c>
      <c r="H1032" s="69" t="s">
        <v>2412</v>
      </c>
      <c r="I1032" s="69" t="s">
        <v>2410</v>
      </c>
      <c r="J1032" s="69" t="s">
        <v>2410</v>
      </c>
      <c r="K1032" s="69"/>
      <c r="L1032" s="72" t="s">
        <v>2392</v>
      </c>
      <c r="M1032" s="72" t="b">
        <f t="shared" si="17"/>
        <v>1</v>
      </c>
    </row>
    <row r="1033" spans="1:13" x14ac:dyDescent="0.25">
      <c r="A1033" s="69" t="s">
        <v>1123</v>
      </c>
      <c r="B1033" s="70">
        <v>40004588</v>
      </c>
      <c r="C1033" s="69" t="s">
        <v>2396</v>
      </c>
      <c r="D1033" s="71" t="s">
        <v>2392</v>
      </c>
      <c r="E1033" s="69" t="s">
        <v>2393</v>
      </c>
      <c r="F1033" s="69">
        <v>30</v>
      </c>
      <c r="G1033" s="69">
        <v>900</v>
      </c>
      <c r="H1033" s="69" t="s">
        <v>2399</v>
      </c>
      <c r="I1033" s="69" t="s">
        <v>2397</v>
      </c>
      <c r="J1033" s="69" t="s">
        <v>2398</v>
      </c>
      <c r="K1033" s="69" t="s">
        <v>3137</v>
      </c>
      <c r="L1033" s="72" t="s">
        <v>2392</v>
      </c>
      <c r="M1033" s="72" t="b">
        <f t="shared" si="17"/>
        <v>1</v>
      </c>
    </row>
    <row r="1034" spans="1:13" x14ac:dyDescent="0.25">
      <c r="A1034" s="69" t="s">
        <v>1943</v>
      </c>
      <c r="B1034" s="70">
        <v>44004662</v>
      </c>
      <c r="C1034" s="69" t="s">
        <v>1006</v>
      </c>
      <c r="D1034" s="71" t="s">
        <v>2392</v>
      </c>
      <c r="E1034" s="69" t="s">
        <v>2393</v>
      </c>
      <c r="F1034" s="69">
        <v>30</v>
      </c>
      <c r="G1034" s="69">
        <f>6*30</f>
        <v>180</v>
      </c>
      <c r="H1034" s="69" t="s">
        <v>2486</v>
      </c>
      <c r="I1034" s="69" t="s">
        <v>2447</v>
      </c>
      <c r="J1034" s="69" t="s">
        <v>2408</v>
      </c>
      <c r="K1034" s="69" t="s">
        <v>3138</v>
      </c>
      <c r="L1034" s="72" t="s">
        <v>2392</v>
      </c>
      <c r="M1034" s="72" t="b">
        <f t="shared" si="17"/>
        <v>1</v>
      </c>
    </row>
    <row r="1035" spans="1:13" x14ac:dyDescent="0.25">
      <c r="A1035" s="69" t="s">
        <v>2165</v>
      </c>
      <c r="B1035" s="70" t="s">
        <v>3117</v>
      </c>
      <c r="C1035" s="69" t="s">
        <v>1946</v>
      </c>
      <c r="D1035" s="71" t="s">
        <v>2392</v>
      </c>
      <c r="E1035" s="69" t="s">
        <v>2388</v>
      </c>
      <c r="F1035" s="69"/>
      <c r="G1035" s="69">
        <v>0</v>
      </c>
      <c r="H1035" s="69" t="s">
        <v>2412</v>
      </c>
      <c r="I1035" s="69" t="s">
        <v>2410</v>
      </c>
      <c r="J1035" s="69" t="s">
        <v>2408</v>
      </c>
      <c r="K1035" s="69" t="s">
        <v>3009</v>
      </c>
      <c r="L1035" s="72" t="s">
        <v>2392</v>
      </c>
      <c r="M1035" s="72" t="b">
        <f t="shared" si="17"/>
        <v>1</v>
      </c>
    </row>
    <row r="1036" spans="1:13" x14ac:dyDescent="0.25">
      <c r="A1036" s="69" t="s">
        <v>2030</v>
      </c>
      <c r="B1036" s="70" t="s">
        <v>3023</v>
      </c>
      <c r="C1036" s="69" t="s">
        <v>2465</v>
      </c>
      <c r="D1036" s="71" t="s">
        <v>2392</v>
      </c>
      <c r="E1036" s="69" t="s">
        <v>2388</v>
      </c>
      <c r="F1036" s="69">
        <v>30</v>
      </c>
      <c r="G1036" s="69"/>
      <c r="H1036" s="69" t="s">
        <v>2395</v>
      </c>
      <c r="I1036" s="69" t="s">
        <v>2463</v>
      </c>
      <c r="J1036" s="69" t="s">
        <v>2444</v>
      </c>
      <c r="K1036" s="69" t="s">
        <v>3013</v>
      </c>
      <c r="L1036" s="72" t="s">
        <v>2387</v>
      </c>
      <c r="M1036" s="72" t="b">
        <f t="shared" si="17"/>
        <v>0</v>
      </c>
    </row>
    <row r="1037" spans="1:13" x14ac:dyDescent="0.25">
      <c r="A1037" s="69" t="s">
        <v>2029</v>
      </c>
      <c r="B1037" s="70" t="s">
        <v>3023</v>
      </c>
      <c r="C1037" s="69" t="s">
        <v>2465</v>
      </c>
      <c r="D1037" s="71" t="s">
        <v>2392</v>
      </c>
      <c r="E1037" s="69" t="s">
        <v>2388</v>
      </c>
      <c r="F1037" s="69">
        <v>30</v>
      </c>
      <c r="G1037" s="69"/>
      <c r="H1037" s="69" t="s">
        <v>2395</v>
      </c>
      <c r="I1037" s="69" t="s">
        <v>2463</v>
      </c>
      <c r="J1037" s="69" t="s">
        <v>2444</v>
      </c>
      <c r="K1037" s="69" t="s">
        <v>3013</v>
      </c>
      <c r="L1037" s="72" t="s">
        <v>2387</v>
      </c>
      <c r="M1037" s="72" t="b">
        <f t="shared" si="17"/>
        <v>0</v>
      </c>
    </row>
    <row r="1038" spans="1:13" x14ac:dyDescent="0.25">
      <c r="A1038" s="69" t="s">
        <v>1947</v>
      </c>
      <c r="B1038" s="70" t="s">
        <v>3134</v>
      </c>
      <c r="C1038" s="69" t="s">
        <v>1006</v>
      </c>
      <c r="D1038" s="71" t="s">
        <v>2392</v>
      </c>
      <c r="E1038" s="69" t="s">
        <v>2393</v>
      </c>
      <c r="F1038" s="69">
        <v>30</v>
      </c>
      <c r="G1038" s="69">
        <v>180</v>
      </c>
      <c r="H1038" s="69" t="s">
        <v>2486</v>
      </c>
      <c r="I1038" s="69" t="s">
        <v>2447</v>
      </c>
      <c r="J1038" s="69" t="s">
        <v>2408</v>
      </c>
      <c r="K1038" s="69"/>
      <c r="L1038" s="72" t="s">
        <v>2392</v>
      </c>
      <c r="M1038" s="72" t="b">
        <f t="shared" si="17"/>
        <v>1</v>
      </c>
    </row>
    <row r="1039" spans="1:13" x14ac:dyDescent="0.25">
      <c r="A1039" s="69" t="s">
        <v>1950</v>
      </c>
      <c r="B1039" s="70" t="s">
        <v>3117</v>
      </c>
      <c r="C1039" s="69" t="s">
        <v>1946</v>
      </c>
      <c r="D1039" s="71" t="s">
        <v>2392</v>
      </c>
      <c r="E1039" s="69" t="s">
        <v>2388</v>
      </c>
      <c r="F1039" s="69">
        <v>30</v>
      </c>
      <c r="G1039" s="69">
        <f>6*30</f>
        <v>180</v>
      </c>
      <c r="H1039" s="69" t="s">
        <v>2399</v>
      </c>
      <c r="I1039" s="69" t="s">
        <v>2447</v>
      </c>
      <c r="J1039" s="69" t="s">
        <v>2550</v>
      </c>
      <c r="K1039" s="69" t="s">
        <v>3139</v>
      </c>
      <c r="L1039" s="72" t="s">
        <v>2392</v>
      </c>
      <c r="M1039" s="72" t="b">
        <f t="shared" si="17"/>
        <v>1</v>
      </c>
    </row>
    <row r="1040" spans="1:13" x14ac:dyDescent="0.25">
      <c r="A1040" s="69" t="s">
        <v>1504</v>
      </c>
      <c r="B1040" s="70">
        <v>44001889</v>
      </c>
      <c r="C1040" s="69" t="s">
        <v>2445</v>
      </c>
      <c r="D1040" s="71" t="s">
        <v>2387</v>
      </c>
      <c r="E1040" s="69" t="s">
        <v>2388</v>
      </c>
      <c r="F1040" s="69">
        <v>30</v>
      </c>
      <c r="G1040" s="69">
        <v>90</v>
      </c>
      <c r="H1040" s="69" t="s">
        <v>2399</v>
      </c>
      <c r="I1040" s="69" t="s">
        <v>2453</v>
      </c>
      <c r="J1040" s="69" t="s">
        <v>2415</v>
      </c>
      <c r="K1040" s="69"/>
      <c r="L1040" s="72" t="s">
        <v>2392</v>
      </c>
      <c r="M1040" s="72" t="b">
        <f t="shared" si="17"/>
        <v>0</v>
      </c>
    </row>
    <row r="1041" spans="1:13" x14ac:dyDescent="0.25">
      <c r="A1041" s="69" t="s">
        <v>2007</v>
      </c>
      <c r="B1041" s="70" t="s">
        <v>3140</v>
      </c>
      <c r="C1041" s="69" t="s">
        <v>2942</v>
      </c>
      <c r="D1041" s="71" t="s">
        <v>2387</v>
      </c>
      <c r="E1041" s="69" t="s">
        <v>2388</v>
      </c>
      <c r="F1041" s="69">
        <v>30</v>
      </c>
      <c r="G1041" s="69">
        <v>30</v>
      </c>
      <c r="H1041" s="69" t="s">
        <v>2391</v>
      </c>
      <c r="I1041" s="69" t="s">
        <v>2431</v>
      </c>
      <c r="J1041" s="69" t="s">
        <v>2432</v>
      </c>
      <c r="K1041" s="69"/>
      <c r="L1041" s="72" t="s">
        <v>2387</v>
      </c>
      <c r="M1041" s="72" t="b">
        <f t="shared" si="17"/>
        <v>1</v>
      </c>
    </row>
    <row r="1042" spans="1:13" x14ac:dyDescent="0.25">
      <c r="A1042" s="69" t="s">
        <v>1504</v>
      </c>
      <c r="B1042" s="70" t="s">
        <v>3141</v>
      </c>
      <c r="C1042" s="69" t="s">
        <v>3142</v>
      </c>
      <c r="D1042" s="71" t="s">
        <v>2387</v>
      </c>
      <c r="E1042" s="69" t="s">
        <v>2388</v>
      </c>
      <c r="F1042" s="69">
        <v>30</v>
      </c>
      <c r="G1042" s="69">
        <v>90</v>
      </c>
      <c r="H1042" s="69" t="s">
        <v>2399</v>
      </c>
      <c r="I1042" s="69" t="s">
        <v>2453</v>
      </c>
      <c r="J1042" s="69" t="s">
        <v>2415</v>
      </c>
      <c r="K1042" s="69"/>
      <c r="L1042" s="72" t="s">
        <v>2392</v>
      </c>
      <c r="M1042" s="72" t="b">
        <f t="shared" si="17"/>
        <v>0</v>
      </c>
    </row>
    <row r="1043" spans="1:13" x14ac:dyDescent="0.25">
      <c r="A1043" s="69" t="s">
        <v>2016</v>
      </c>
      <c r="B1043" s="70" t="s">
        <v>3143</v>
      </c>
      <c r="C1043" s="69" t="s">
        <v>3131</v>
      </c>
      <c r="D1043" s="71" t="s">
        <v>2387</v>
      </c>
      <c r="E1043" s="69" t="s">
        <v>2388</v>
      </c>
      <c r="F1043" s="69">
        <v>30</v>
      </c>
      <c r="G1043" s="69">
        <v>90</v>
      </c>
      <c r="H1043" s="69" t="s">
        <v>2391</v>
      </c>
      <c r="I1043" s="69" t="s">
        <v>2431</v>
      </c>
      <c r="J1043" s="69" t="s">
        <v>2398</v>
      </c>
      <c r="K1043" s="69"/>
      <c r="L1043" s="72" t="s">
        <v>2392</v>
      </c>
      <c r="M1043" s="72" t="b">
        <f t="shared" si="17"/>
        <v>0</v>
      </c>
    </row>
    <row r="1044" spans="1:13" x14ac:dyDescent="0.25">
      <c r="A1044" s="69" t="s">
        <v>2143</v>
      </c>
      <c r="B1044" s="70"/>
      <c r="C1044" s="69"/>
      <c r="D1044" s="71" t="s">
        <v>2961</v>
      </c>
      <c r="E1044" s="69" t="s">
        <v>2388</v>
      </c>
      <c r="F1044" s="69">
        <v>30</v>
      </c>
      <c r="G1044" s="69">
        <v>60</v>
      </c>
      <c r="H1044" s="69" t="s">
        <v>2399</v>
      </c>
      <c r="I1044" s="69" t="s">
        <v>2429</v>
      </c>
      <c r="J1044" s="69" t="s">
        <v>2427</v>
      </c>
      <c r="K1044" s="69"/>
      <c r="L1044" s="72" t="s">
        <v>2387</v>
      </c>
      <c r="M1044" s="72" t="b">
        <f t="shared" si="17"/>
        <v>0</v>
      </c>
    </row>
    <row r="1045" spans="1:13" x14ac:dyDescent="0.25">
      <c r="A1045" s="69" t="s">
        <v>2257</v>
      </c>
      <c r="B1045" s="70" t="s">
        <v>3144</v>
      </c>
      <c r="C1045" s="69" t="s">
        <v>2551</v>
      </c>
      <c r="D1045" s="71" t="s">
        <v>2392</v>
      </c>
      <c r="E1045" s="69" t="s">
        <v>2388</v>
      </c>
      <c r="F1045" s="69">
        <v>30</v>
      </c>
      <c r="G1045" s="69">
        <f t="shared" ref="G1045:G1061" si="18">30*3</f>
        <v>90</v>
      </c>
      <c r="H1045" s="69" t="s">
        <v>2395</v>
      </c>
      <c r="I1045" s="69" t="s">
        <v>2506</v>
      </c>
      <c r="J1045" s="69" t="s">
        <v>2415</v>
      </c>
      <c r="K1045" s="69"/>
      <c r="L1045" s="72" t="s">
        <v>2392</v>
      </c>
      <c r="M1045" s="72" t="b">
        <f t="shared" si="17"/>
        <v>1</v>
      </c>
    </row>
    <row r="1046" spans="1:13" x14ac:dyDescent="0.25">
      <c r="A1046" s="69" t="s">
        <v>2256</v>
      </c>
      <c r="B1046" s="70" t="s">
        <v>3144</v>
      </c>
      <c r="C1046" s="69" t="s">
        <v>2551</v>
      </c>
      <c r="D1046" s="71" t="s">
        <v>2392</v>
      </c>
      <c r="E1046" s="69" t="s">
        <v>2388</v>
      </c>
      <c r="F1046" s="69">
        <v>30</v>
      </c>
      <c r="G1046" s="69">
        <f t="shared" si="18"/>
        <v>90</v>
      </c>
      <c r="H1046" s="69" t="s">
        <v>2395</v>
      </c>
      <c r="I1046" s="69" t="s">
        <v>2506</v>
      </c>
      <c r="J1046" s="69" t="s">
        <v>2415</v>
      </c>
      <c r="K1046" s="69"/>
      <c r="L1046" s="72" t="s">
        <v>2392</v>
      </c>
      <c r="M1046" s="72" t="b">
        <f t="shared" si="17"/>
        <v>1</v>
      </c>
    </row>
    <row r="1047" spans="1:13" x14ac:dyDescent="0.25">
      <c r="A1047" s="69" t="s">
        <v>2258</v>
      </c>
      <c r="B1047" s="70" t="s">
        <v>3144</v>
      </c>
      <c r="C1047" s="69" t="s">
        <v>2551</v>
      </c>
      <c r="D1047" s="71" t="s">
        <v>2392</v>
      </c>
      <c r="E1047" s="69" t="s">
        <v>2388</v>
      </c>
      <c r="F1047" s="69">
        <v>30</v>
      </c>
      <c r="G1047" s="69">
        <f t="shared" si="18"/>
        <v>90</v>
      </c>
      <c r="H1047" s="69" t="s">
        <v>2395</v>
      </c>
      <c r="I1047" s="69" t="s">
        <v>2506</v>
      </c>
      <c r="J1047" s="69" t="s">
        <v>2415</v>
      </c>
      <c r="K1047" s="69"/>
      <c r="L1047" s="72" t="s">
        <v>2392</v>
      </c>
      <c r="M1047" s="72" t="b">
        <f t="shared" si="17"/>
        <v>1</v>
      </c>
    </row>
    <row r="1048" spans="1:13" x14ac:dyDescent="0.25">
      <c r="A1048" s="69" t="s">
        <v>2264</v>
      </c>
      <c r="B1048" s="70" t="s">
        <v>3144</v>
      </c>
      <c r="C1048" s="69" t="s">
        <v>2551</v>
      </c>
      <c r="D1048" s="71" t="s">
        <v>2392</v>
      </c>
      <c r="E1048" s="69" t="s">
        <v>2388</v>
      </c>
      <c r="F1048" s="69">
        <v>30</v>
      </c>
      <c r="G1048" s="69">
        <f t="shared" si="18"/>
        <v>90</v>
      </c>
      <c r="H1048" s="69" t="s">
        <v>2395</v>
      </c>
      <c r="I1048" s="69" t="s">
        <v>2506</v>
      </c>
      <c r="J1048" s="69" t="s">
        <v>2415</v>
      </c>
      <c r="K1048" s="69"/>
      <c r="L1048" s="72" t="s">
        <v>2392</v>
      </c>
      <c r="M1048" s="72" t="b">
        <f t="shared" si="17"/>
        <v>1</v>
      </c>
    </row>
    <row r="1049" spans="1:13" x14ac:dyDescent="0.25">
      <c r="A1049" s="69" t="s">
        <v>2263</v>
      </c>
      <c r="B1049" s="70" t="s">
        <v>3144</v>
      </c>
      <c r="C1049" s="69" t="s">
        <v>2551</v>
      </c>
      <c r="D1049" s="71" t="s">
        <v>2392</v>
      </c>
      <c r="E1049" s="69" t="s">
        <v>2388</v>
      </c>
      <c r="F1049" s="69">
        <v>30</v>
      </c>
      <c r="G1049" s="69">
        <f t="shared" si="18"/>
        <v>90</v>
      </c>
      <c r="H1049" s="69" t="s">
        <v>2395</v>
      </c>
      <c r="I1049" s="69" t="s">
        <v>2506</v>
      </c>
      <c r="J1049" s="69" t="s">
        <v>2415</v>
      </c>
      <c r="K1049" s="69"/>
      <c r="L1049" s="72" t="s">
        <v>2392</v>
      </c>
      <c r="M1049" s="72" t="b">
        <f t="shared" si="17"/>
        <v>1</v>
      </c>
    </row>
    <row r="1050" spans="1:13" x14ac:dyDescent="0.25">
      <c r="A1050" s="69" t="s">
        <v>2262</v>
      </c>
      <c r="B1050" s="70" t="s">
        <v>3144</v>
      </c>
      <c r="C1050" s="69" t="s">
        <v>2551</v>
      </c>
      <c r="D1050" s="71" t="s">
        <v>2392</v>
      </c>
      <c r="E1050" s="69" t="s">
        <v>2388</v>
      </c>
      <c r="F1050" s="69">
        <v>30</v>
      </c>
      <c r="G1050" s="69">
        <f t="shared" si="18"/>
        <v>90</v>
      </c>
      <c r="H1050" s="69" t="s">
        <v>2395</v>
      </c>
      <c r="I1050" s="69" t="s">
        <v>2506</v>
      </c>
      <c r="J1050" s="69" t="s">
        <v>2415</v>
      </c>
      <c r="K1050" s="69"/>
      <c r="L1050" s="72" t="s">
        <v>2392</v>
      </c>
      <c r="M1050" s="72" t="b">
        <f t="shared" si="17"/>
        <v>1</v>
      </c>
    </row>
    <row r="1051" spans="1:13" x14ac:dyDescent="0.25">
      <c r="A1051" s="69" t="s">
        <v>2259</v>
      </c>
      <c r="B1051" s="70" t="s">
        <v>3144</v>
      </c>
      <c r="C1051" s="69" t="s">
        <v>2551</v>
      </c>
      <c r="D1051" s="71" t="s">
        <v>2392</v>
      </c>
      <c r="E1051" s="69" t="s">
        <v>2388</v>
      </c>
      <c r="F1051" s="69">
        <v>30</v>
      </c>
      <c r="G1051" s="69">
        <f t="shared" si="18"/>
        <v>90</v>
      </c>
      <c r="H1051" s="69" t="s">
        <v>2395</v>
      </c>
      <c r="I1051" s="69" t="s">
        <v>2506</v>
      </c>
      <c r="J1051" s="69" t="s">
        <v>2415</v>
      </c>
      <c r="K1051" s="69"/>
      <c r="L1051" s="72" t="s">
        <v>2392</v>
      </c>
      <c r="M1051" s="72" t="b">
        <f t="shared" si="17"/>
        <v>1</v>
      </c>
    </row>
    <row r="1052" spans="1:13" x14ac:dyDescent="0.25">
      <c r="A1052" s="69" t="s">
        <v>2226</v>
      </c>
      <c r="B1052" s="70" t="s">
        <v>3144</v>
      </c>
      <c r="C1052" s="69" t="s">
        <v>2551</v>
      </c>
      <c r="D1052" s="71" t="s">
        <v>2392</v>
      </c>
      <c r="E1052" s="69" t="s">
        <v>2388</v>
      </c>
      <c r="F1052" s="69">
        <v>30</v>
      </c>
      <c r="G1052" s="69">
        <f t="shared" si="18"/>
        <v>90</v>
      </c>
      <c r="H1052" s="69" t="s">
        <v>2395</v>
      </c>
      <c r="I1052" s="69" t="s">
        <v>2506</v>
      </c>
      <c r="J1052" s="69" t="s">
        <v>2415</v>
      </c>
      <c r="K1052" s="69"/>
      <c r="L1052" s="72" t="s">
        <v>2392</v>
      </c>
      <c r="M1052" s="72" t="b">
        <f t="shared" si="17"/>
        <v>1</v>
      </c>
    </row>
    <row r="1053" spans="1:13" x14ac:dyDescent="0.25">
      <c r="A1053" s="69" t="s">
        <v>2261</v>
      </c>
      <c r="B1053" s="70" t="s">
        <v>3144</v>
      </c>
      <c r="C1053" s="69" t="s">
        <v>2551</v>
      </c>
      <c r="D1053" s="71" t="s">
        <v>2392</v>
      </c>
      <c r="E1053" s="69" t="s">
        <v>2388</v>
      </c>
      <c r="F1053" s="69">
        <v>30</v>
      </c>
      <c r="G1053" s="69">
        <f t="shared" si="18"/>
        <v>90</v>
      </c>
      <c r="H1053" s="69" t="s">
        <v>2395</v>
      </c>
      <c r="I1053" s="69" t="s">
        <v>2506</v>
      </c>
      <c r="J1053" s="69" t="s">
        <v>2415</v>
      </c>
      <c r="K1053" s="69"/>
      <c r="L1053" s="72" t="s">
        <v>2392</v>
      </c>
      <c r="M1053" s="72" t="b">
        <f t="shared" si="17"/>
        <v>1</v>
      </c>
    </row>
    <row r="1054" spans="1:13" x14ac:dyDescent="0.25">
      <c r="A1054" s="69" t="s">
        <v>2260</v>
      </c>
      <c r="B1054" s="70" t="s">
        <v>3144</v>
      </c>
      <c r="C1054" s="69" t="s">
        <v>2551</v>
      </c>
      <c r="D1054" s="71" t="s">
        <v>2392</v>
      </c>
      <c r="E1054" s="69" t="s">
        <v>2388</v>
      </c>
      <c r="F1054" s="69">
        <v>30</v>
      </c>
      <c r="G1054" s="69">
        <f t="shared" si="18"/>
        <v>90</v>
      </c>
      <c r="H1054" s="69" t="s">
        <v>2395</v>
      </c>
      <c r="I1054" s="69" t="s">
        <v>2506</v>
      </c>
      <c r="J1054" s="69" t="s">
        <v>2415</v>
      </c>
      <c r="K1054" s="69"/>
      <c r="L1054" s="72" t="s">
        <v>2392</v>
      </c>
      <c r="M1054" s="72" t="b">
        <f t="shared" si="17"/>
        <v>1</v>
      </c>
    </row>
    <row r="1055" spans="1:13" x14ac:dyDescent="0.25">
      <c r="A1055" s="69" t="s">
        <v>2230</v>
      </c>
      <c r="B1055" s="70" t="s">
        <v>3144</v>
      </c>
      <c r="C1055" s="69" t="s">
        <v>2551</v>
      </c>
      <c r="D1055" s="71" t="s">
        <v>2392</v>
      </c>
      <c r="E1055" s="69" t="s">
        <v>2388</v>
      </c>
      <c r="F1055" s="69">
        <v>30</v>
      </c>
      <c r="G1055" s="69">
        <f t="shared" si="18"/>
        <v>90</v>
      </c>
      <c r="H1055" s="69" t="s">
        <v>2395</v>
      </c>
      <c r="I1055" s="69" t="s">
        <v>2506</v>
      </c>
      <c r="J1055" s="69" t="s">
        <v>2415</v>
      </c>
      <c r="K1055" s="69"/>
      <c r="L1055" s="72" t="s">
        <v>2392</v>
      </c>
      <c r="M1055" s="72" t="b">
        <f t="shared" si="17"/>
        <v>1</v>
      </c>
    </row>
    <row r="1056" spans="1:13" x14ac:dyDescent="0.25">
      <c r="A1056" s="69" t="s">
        <v>2232</v>
      </c>
      <c r="B1056" s="70" t="s">
        <v>3144</v>
      </c>
      <c r="C1056" s="69" t="s">
        <v>2551</v>
      </c>
      <c r="D1056" s="71" t="s">
        <v>2392</v>
      </c>
      <c r="E1056" s="69" t="s">
        <v>2388</v>
      </c>
      <c r="F1056" s="69">
        <v>30</v>
      </c>
      <c r="G1056" s="69">
        <f t="shared" si="18"/>
        <v>90</v>
      </c>
      <c r="H1056" s="69" t="s">
        <v>2395</v>
      </c>
      <c r="I1056" s="69" t="s">
        <v>2506</v>
      </c>
      <c r="J1056" s="69" t="s">
        <v>2415</v>
      </c>
      <c r="K1056" s="69"/>
      <c r="L1056" s="72" t="s">
        <v>2392</v>
      </c>
      <c r="M1056" s="72" t="b">
        <f t="shared" si="17"/>
        <v>1</v>
      </c>
    </row>
    <row r="1057" spans="1:13" x14ac:dyDescent="0.25">
      <c r="A1057" s="69" t="s">
        <v>2233</v>
      </c>
      <c r="B1057" s="70" t="s">
        <v>3144</v>
      </c>
      <c r="C1057" s="69" t="s">
        <v>2551</v>
      </c>
      <c r="D1057" s="71" t="s">
        <v>2392</v>
      </c>
      <c r="E1057" s="69" t="s">
        <v>2388</v>
      </c>
      <c r="F1057" s="69">
        <v>30</v>
      </c>
      <c r="G1057" s="69">
        <f t="shared" si="18"/>
        <v>90</v>
      </c>
      <c r="H1057" s="69" t="s">
        <v>2395</v>
      </c>
      <c r="I1057" s="69" t="s">
        <v>2506</v>
      </c>
      <c r="J1057" s="69" t="s">
        <v>2415</v>
      </c>
      <c r="K1057" s="69"/>
      <c r="L1057" s="72" t="s">
        <v>2392</v>
      </c>
      <c r="M1057" s="72" t="b">
        <f t="shared" si="17"/>
        <v>1</v>
      </c>
    </row>
    <row r="1058" spans="1:13" x14ac:dyDescent="0.25">
      <c r="A1058" s="69" t="s">
        <v>2231</v>
      </c>
      <c r="B1058" s="70" t="s">
        <v>3144</v>
      </c>
      <c r="C1058" s="69" t="s">
        <v>2551</v>
      </c>
      <c r="D1058" s="71" t="s">
        <v>2392</v>
      </c>
      <c r="E1058" s="69" t="s">
        <v>2388</v>
      </c>
      <c r="F1058" s="69">
        <v>30</v>
      </c>
      <c r="G1058" s="69">
        <f t="shared" si="18"/>
        <v>90</v>
      </c>
      <c r="H1058" s="69" t="s">
        <v>2395</v>
      </c>
      <c r="I1058" s="69" t="s">
        <v>2506</v>
      </c>
      <c r="J1058" s="69" t="s">
        <v>2415</v>
      </c>
      <c r="K1058" s="69"/>
      <c r="L1058" s="72" t="s">
        <v>2392</v>
      </c>
      <c r="M1058" s="72" t="b">
        <f t="shared" si="17"/>
        <v>1</v>
      </c>
    </row>
    <row r="1059" spans="1:13" x14ac:dyDescent="0.25">
      <c r="A1059" s="69" t="s">
        <v>2265</v>
      </c>
      <c r="B1059" s="70" t="s">
        <v>3144</v>
      </c>
      <c r="C1059" s="69" t="s">
        <v>2551</v>
      </c>
      <c r="D1059" s="71" t="s">
        <v>2392</v>
      </c>
      <c r="E1059" s="69" t="s">
        <v>2388</v>
      </c>
      <c r="F1059" s="69">
        <v>30</v>
      </c>
      <c r="G1059" s="69">
        <f t="shared" si="18"/>
        <v>90</v>
      </c>
      <c r="H1059" s="69" t="s">
        <v>2395</v>
      </c>
      <c r="I1059" s="69" t="s">
        <v>2506</v>
      </c>
      <c r="J1059" s="69" t="s">
        <v>2415</v>
      </c>
      <c r="K1059" s="69"/>
      <c r="L1059" s="72" t="s">
        <v>2392</v>
      </c>
      <c r="M1059" s="72" t="b">
        <f t="shared" si="17"/>
        <v>1</v>
      </c>
    </row>
    <row r="1060" spans="1:13" x14ac:dyDescent="0.25">
      <c r="A1060" s="69" t="s">
        <v>2219</v>
      </c>
      <c r="B1060" s="70" t="s">
        <v>3144</v>
      </c>
      <c r="C1060" s="69" t="s">
        <v>2551</v>
      </c>
      <c r="D1060" s="71" t="s">
        <v>2392</v>
      </c>
      <c r="E1060" s="69" t="s">
        <v>2388</v>
      </c>
      <c r="F1060" s="69">
        <v>30</v>
      </c>
      <c r="G1060" s="69">
        <f t="shared" si="18"/>
        <v>90</v>
      </c>
      <c r="H1060" s="69" t="s">
        <v>2395</v>
      </c>
      <c r="I1060" s="69" t="s">
        <v>2506</v>
      </c>
      <c r="J1060" s="69" t="s">
        <v>2415</v>
      </c>
      <c r="K1060" s="69"/>
      <c r="L1060" s="72" t="s">
        <v>2392</v>
      </c>
      <c r="M1060" s="72" t="b">
        <f t="shared" si="17"/>
        <v>1</v>
      </c>
    </row>
    <row r="1061" spans="1:13" x14ac:dyDescent="0.25">
      <c r="A1061" s="69" t="s">
        <v>2221</v>
      </c>
      <c r="B1061" s="70" t="s">
        <v>3144</v>
      </c>
      <c r="C1061" s="69" t="s">
        <v>2551</v>
      </c>
      <c r="D1061" s="71" t="s">
        <v>2392</v>
      </c>
      <c r="E1061" s="69" t="s">
        <v>2388</v>
      </c>
      <c r="F1061" s="69">
        <v>30</v>
      </c>
      <c r="G1061" s="69">
        <f t="shared" si="18"/>
        <v>90</v>
      </c>
      <c r="H1061" s="69" t="s">
        <v>2395</v>
      </c>
      <c r="I1061" s="69" t="s">
        <v>2506</v>
      </c>
      <c r="J1061" s="69" t="s">
        <v>2415</v>
      </c>
      <c r="K1061" s="69"/>
      <c r="L1061" s="72" t="s">
        <v>2392</v>
      </c>
      <c r="M1061" s="72" t="b">
        <f t="shared" si="17"/>
        <v>1</v>
      </c>
    </row>
    <row r="1062" spans="1:13" x14ac:dyDescent="0.25">
      <c r="A1062" s="69" t="s">
        <v>2016</v>
      </c>
      <c r="B1062" s="70" t="s">
        <v>3145</v>
      </c>
      <c r="C1062" s="69" t="s">
        <v>3146</v>
      </c>
      <c r="D1062" s="71" t="s">
        <v>2387</v>
      </c>
      <c r="E1062" s="69" t="s">
        <v>2388</v>
      </c>
      <c r="F1062" s="69">
        <v>30</v>
      </c>
      <c r="G1062" s="69">
        <v>90</v>
      </c>
      <c r="H1062" s="69" t="s">
        <v>2391</v>
      </c>
      <c r="I1062" s="69" t="s">
        <v>2431</v>
      </c>
      <c r="J1062" s="69" t="s">
        <v>2398</v>
      </c>
      <c r="K1062" s="69"/>
      <c r="L1062" s="72" t="s">
        <v>2392</v>
      </c>
      <c r="M1062" s="72" t="b">
        <f t="shared" si="17"/>
        <v>0</v>
      </c>
    </row>
    <row r="1063" spans="1:13" x14ac:dyDescent="0.25">
      <c r="A1063" s="69" t="s">
        <v>2287</v>
      </c>
      <c r="B1063" s="70">
        <v>44001733</v>
      </c>
      <c r="C1063" s="69" t="s">
        <v>41</v>
      </c>
      <c r="D1063" s="71" t="s">
        <v>2961</v>
      </c>
      <c r="E1063" s="69" t="s">
        <v>2388</v>
      </c>
      <c r="F1063" s="69">
        <v>30</v>
      </c>
      <c r="G1063" s="69">
        <v>45</v>
      </c>
      <c r="H1063" s="69" t="s">
        <v>2391</v>
      </c>
      <c r="I1063" s="69" t="s">
        <v>2429</v>
      </c>
      <c r="J1063" s="69" t="s">
        <v>2470</v>
      </c>
      <c r="K1063" s="69"/>
      <c r="L1063" s="72" t="s">
        <v>2387</v>
      </c>
      <c r="M1063" s="72" t="b">
        <f t="shared" si="17"/>
        <v>0</v>
      </c>
    </row>
    <row r="1064" spans="1:13" x14ac:dyDescent="0.25">
      <c r="A1064" s="69" t="s">
        <v>2142</v>
      </c>
      <c r="B1064" s="70" t="s">
        <v>3147</v>
      </c>
      <c r="C1064" s="69" t="s">
        <v>2375</v>
      </c>
      <c r="D1064" s="71" t="s">
        <v>2392</v>
      </c>
      <c r="E1064" s="69" t="s">
        <v>2388</v>
      </c>
      <c r="F1064" s="69">
        <v>30</v>
      </c>
      <c r="G1064" s="69">
        <v>90</v>
      </c>
      <c r="H1064" s="69" t="s">
        <v>2399</v>
      </c>
      <c r="I1064" s="69" t="s">
        <v>2428</v>
      </c>
      <c r="J1064" s="69" t="s">
        <v>2427</v>
      </c>
      <c r="K1064" s="69"/>
      <c r="L1064" s="72" t="s">
        <v>2387</v>
      </c>
      <c r="M1064" s="72" t="b">
        <f t="shared" si="17"/>
        <v>0</v>
      </c>
    </row>
    <row r="1065" spans="1:13" x14ac:dyDescent="0.25">
      <c r="A1065" s="69" t="s">
        <v>2246</v>
      </c>
      <c r="B1065" s="70">
        <v>44001833</v>
      </c>
      <c r="C1065" s="69" t="s">
        <v>15</v>
      </c>
      <c r="D1065" s="71" t="s">
        <v>2387</v>
      </c>
      <c r="E1065" s="69" t="s">
        <v>2388</v>
      </c>
      <c r="F1065" s="69">
        <v>30</v>
      </c>
      <c r="G1065" s="69">
        <v>60</v>
      </c>
      <c r="H1065" s="69" t="s">
        <v>2399</v>
      </c>
      <c r="I1065" s="69" t="s">
        <v>2479</v>
      </c>
      <c r="J1065" s="69" t="s">
        <v>2424</v>
      </c>
      <c r="K1065" s="69"/>
      <c r="L1065" s="72" t="s">
        <v>2387</v>
      </c>
      <c r="M1065" s="72" t="b">
        <f t="shared" si="17"/>
        <v>1</v>
      </c>
    </row>
    <row r="1066" spans="1:13" x14ac:dyDescent="0.25">
      <c r="A1066" s="69" t="s">
        <v>295</v>
      </c>
      <c r="B1066" s="70">
        <v>44001833</v>
      </c>
      <c r="C1066" s="69" t="s">
        <v>15</v>
      </c>
      <c r="D1066" s="71" t="s">
        <v>2387</v>
      </c>
      <c r="E1066" s="69" t="s">
        <v>2388</v>
      </c>
      <c r="F1066" s="69">
        <v>30</v>
      </c>
      <c r="G1066" s="69">
        <v>60</v>
      </c>
      <c r="H1066" s="69" t="s">
        <v>2399</v>
      </c>
      <c r="I1066" s="69" t="s">
        <v>2479</v>
      </c>
      <c r="J1066" s="69" t="s">
        <v>2424</v>
      </c>
      <c r="K1066" s="69"/>
      <c r="L1066" s="72" t="s">
        <v>2387</v>
      </c>
      <c r="M1066" s="72" t="b">
        <f t="shared" si="17"/>
        <v>1</v>
      </c>
    </row>
    <row r="1067" spans="1:13" x14ac:dyDescent="0.25">
      <c r="A1067" s="69" t="s">
        <v>298</v>
      </c>
      <c r="B1067" s="70">
        <v>44001833</v>
      </c>
      <c r="C1067" s="69" t="s">
        <v>15</v>
      </c>
      <c r="D1067" s="71" t="s">
        <v>2387</v>
      </c>
      <c r="E1067" s="69" t="s">
        <v>2388</v>
      </c>
      <c r="F1067" s="69">
        <v>30</v>
      </c>
      <c r="G1067" s="69">
        <v>60</v>
      </c>
      <c r="H1067" s="69" t="s">
        <v>2399</v>
      </c>
      <c r="I1067" s="69" t="s">
        <v>2479</v>
      </c>
      <c r="J1067" s="69" t="s">
        <v>2424</v>
      </c>
      <c r="K1067" s="69"/>
      <c r="L1067" s="72" t="s">
        <v>2387</v>
      </c>
      <c r="M1067" s="72" t="b">
        <f t="shared" si="17"/>
        <v>1</v>
      </c>
    </row>
    <row r="1068" spans="1:13" x14ac:dyDescent="0.25">
      <c r="A1068" s="69" t="s">
        <v>1162</v>
      </c>
      <c r="B1068" s="70">
        <v>44001733</v>
      </c>
      <c r="C1068" s="69" t="s">
        <v>41</v>
      </c>
      <c r="D1068" s="71" t="s">
        <v>2961</v>
      </c>
      <c r="E1068" s="69" t="s">
        <v>2388</v>
      </c>
      <c r="F1068" s="69">
        <v>30</v>
      </c>
      <c r="G1068" s="69">
        <v>45</v>
      </c>
      <c r="H1068" s="69" t="s">
        <v>2391</v>
      </c>
      <c r="I1068" s="69" t="s">
        <v>2429</v>
      </c>
      <c r="J1068" s="69" t="s">
        <v>2424</v>
      </c>
      <c r="K1068" s="69"/>
      <c r="L1068" s="72" t="s">
        <v>2387</v>
      </c>
      <c r="M1068" s="72" t="b">
        <f t="shared" si="17"/>
        <v>0</v>
      </c>
    </row>
    <row r="1069" spans="1:13" x14ac:dyDescent="0.25">
      <c r="A1069" s="69" t="s">
        <v>2245</v>
      </c>
      <c r="B1069" s="70">
        <v>44001833</v>
      </c>
      <c r="C1069" s="69" t="s">
        <v>15</v>
      </c>
      <c r="D1069" s="71" t="s">
        <v>2387</v>
      </c>
      <c r="E1069" s="69" t="s">
        <v>2388</v>
      </c>
      <c r="F1069" s="69">
        <v>30</v>
      </c>
      <c r="G1069" s="69">
        <v>60</v>
      </c>
      <c r="H1069" s="69" t="s">
        <v>2399</v>
      </c>
      <c r="I1069" s="69" t="s">
        <v>2479</v>
      </c>
      <c r="J1069" s="69" t="s">
        <v>2424</v>
      </c>
      <c r="K1069" s="69"/>
      <c r="L1069" s="72" t="s">
        <v>2387</v>
      </c>
      <c r="M1069" s="72" t="b">
        <f t="shared" si="17"/>
        <v>1</v>
      </c>
    </row>
    <row r="1070" spans="1:13" x14ac:dyDescent="0.25">
      <c r="A1070" s="69" t="s">
        <v>2236</v>
      </c>
      <c r="B1070" s="70">
        <v>44001833</v>
      </c>
      <c r="C1070" s="69" t="s">
        <v>15</v>
      </c>
      <c r="D1070" s="71" t="s">
        <v>2387</v>
      </c>
      <c r="E1070" s="69" t="s">
        <v>2388</v>
      </c>
      <c r="F1070" s="69">
        <v>30</v>
      </c>
      <c r="G1070" s="69">
        <v>60</v>
      </c>
      <c r="H1070" s="69" t="s">
        <v>2399</v>
      </c>
      <c r="I1070" s="69" t="s">
        <v>2479</v>
      </c>
      <c r="J1070" s="69" t="s">
        <v>2424</v>
      </c>
      <c r="K1070" s="69"/>
      <c r="L1070" s="72" t="s">
        <v>2387</v>
      </c>
      <c r="M1070" s="72" t="b">
        <f t="shared" si="17"/>
        <v>1</v>
      </c>
    </row>
    <row r="1071" spans="1:13" x14ac:dyDescent="0.25">
      <c r="A1071" s="69" t="s">
        <v>2243</v>
      </c>
      <c r="B1071" s="70">
        <v>44001833</v>
      </c>
      <c r="C1071" s="69" t="s">
        <v>15</v>
      </c>
      <c r="D1071" s="71" t="s">
        <v>2387</v>
      </c>
      <c r="E1071" s="69" t="s">
        <v>2388</v>
      </c>
      <c r="F1071" s="69">
        <v>30</v>
      </c>
      <c r="G1071" s="69">
        <v>60</v>
      </c>
      <c r="H1071" s="69" t="s">
        <v>2399</v>
      </c>
      <c r="I1071" s="69" t="s">
        <v>2479</v>
      </c>
      <c r="J1071" s="69" t="s">
        <v>2424</v>
      </c>
      <c r="K1071" s="69"/>
      <c r="L1071" s="72" t="s">
        <v>2387</v>
      </c>
      <c r="M1071" s="72" t="b">
        <f t="shared" si="17"/>
        <v>1</v>
      </c>
    </row>
    <row r="1072" spans="1:13" x14ac:dyDescent="0.25">
      <c r="A1072" s="69" t="s">
        <v>2244</v>
      </c>
      <c r="B1072" s="70">
        <v>44001833</v>
      </c>
      <c r="C1072" s="69" t="s">
        <v>15</v>
      </c>
      <c r="D1072" s="71" t="s">
        <v>2387</v>
      </c>
      <c r="E1072" s="69" t="s">
        <v>2388</v>
      </c>
      <c r="F1072" s="69">
        <v>30</v>
      </c>
      <c r="G1072" s="69">
        <v>60</v>
      </c>
      <c r="H1072" s="69" t="s">
        <v>2399</v>
      </c>
      <c r="I1072" s="69" t="s">
        <v>2479</v>
      </c>
      <c r="J1072" s="69" t="s">
        <v>2424</v>
      </c>
      <c r="K1072" s="69"/>
      <c r="L1072" s="72" t="s">
        <v>2387</v>
      </c>
      <c r="M1072" s="72" t="b">
        <f t="shared" si="17"/>
        <v>1</v>
      </c>
    </row>
    <row r="1073" spans="1:13" x14ac:dyDescent="0.25">
      <c r="A1073" s="69" t="s">
        <v>1104</v>
      </c>
      <c r="B1073" s="70">
        <v>44000010</v>
      </c>
      <c r="C1073" s="69" t="s">
        <v>28</v>
      </c>
      <c r="D1073" s="71" t="s">
        <v>2387</v>
      </c>
      <c r="E1073" s="69" t="s">
        <v>2388</v>
      </c>
      <c r="F1073" s="69">
        <v>30</v>
      </c>
      <c r="G1073" s="69">
        <v>60</v>
      </c>
      <c r="H1073" s="69" t="s">
        <v>2399</v>
      </c>
      <c r="I1073" s="69" t="s">
        <v>2471</v>
      </c>
      <c r="J1073" s="69" t="s">
        <v>2415</v>
      </c>
      <c r="K1073" s="69"/>
      <c r="L1073" s="72" t="s">
        <v>2387</v>
      </c>
      <c r="M1073" s="72" t="b">
        <f t="shared" si="17"/>
        <v>1</v>
      </c>
    </row>
    <row r="1074" spans="1:13" x14ac:dyDescent="0.25">
      <c r="A1074" s="69" t="s">
        <v>1107</v>
      </c>
      <c r="B1074" s="70">
        <v>44000010</v>
      </c>
      <c r="C1074" s="69" t="s">
        <v>28</v>
      </c>
      <c r="D1074" s="71" t="s">
        <v>2387</v>
      </c>
      <c r="E1074" s="69" t="s">
        <v>2388</v>
      </c>
      <c r="F1074" s="69">
        <v>30</v>
      </c>
      <c r="G1074" s="69">
        <v>60</v>
      </c>
      <c r="H1074" s="69" t="s">
        <v>2399</v>
      </c>
      <c r="I1074" s="69" t="s">
        <v>2471</v>
      </c>
      <c r="J1074" s="69" t="s">
        <v>2415</v>
      </c>
      <c r="K1074" s="69"/>
      <c r="L1074" s="72" t="s">
        <v>2387</v>
      </c>
      <c r="M1074" s="72" t="b">
        <f t="shared" si="17"/>
        <v>1</v>
      </c>
    </row>
    <row r="1075" spans="1:13" x14ac:dyDescent="0.25">
      <c r="A1075" s="69" t="s">
        <v>1953</v>
      </c>
      <c r="B1075" s="70" t="s">
        <v>3117</v>
      </c>
      <c r="C1075" s="69" t="s">
        <v>1946</v>
      </c>
      <c r="D1075" s="71" t="s">
        <v>2392</v>
      </c>
      <c r="E1075" s="69" t="s">
        <v>2388</v>
      </c>
      <c r="F1075" s="69">
        <v>30</v>
      </c>
      <c r="G1075" s="69">
        <f>6*30</f>
        <v>180</v>
      </c>
      <c r="H1075" s="69" t="s">
        <v>2399</v>
      </c>
      <c r="I1075" s="69" t="s">
        <v>2447</v>
      </c>
      <c r="J1075" s="69" t="s">
        <v>2550</v>
      </c>
      <c r="K1075" s="69" t="s">
        <v>3139</v>
      </c>
      <c r="L1075" s="72" t="s">
        <v>2392</v>
      </c>
      <c r="M1075" s="72" t="b">
        <f t="shared" si="17"/>
        <v>1</v>
      </c>
    </row>
    <row r="1076" spans="1:13" x14ac:dyDescent="0.25">
      <c r="A1076" s="69" t="s">
        <v>2013</v>
      </c>
      <c r="B1076" s="70" t="s">
        <v>3148</v>
      </c>
      <c r="C1076" s="69" t="s">
        <v>3149</v>
      </c>
      <c r="D1076" s="71" t="s">
        <v>2387</v>
      </c>
      <c r="E1076" s="69" t="s">
        <v>2388</v>
      </c>
      <c r="F1076" s="69">
        <v>30</v>
      </c>
      <c r="G1076" s="69">
        <v>40</v>
      </c>
      <c r="H1076" s="69" t="s">
        <v>2391</v>
      </c>
      <c r="I1076" s="69" t="s">
        <v>2431</v>
      </c>
      <c r="J1076" s="69" t="s">
        <v>2461</v>
      </c>
      <c r="K1076" s="69"/>
      <c r="L1076" s="72" t="s">
        <v>2392</v>
      </c>
      <c r="M1076" s="72" t="b">
        <f t="shared" si="17"/>
        <v>0</v>
      </c>
    </row>
    <row r="1077" spans="1:13" x14ac:dyDescent="0.25">
      <c r="A1077" s="69" t="s">
        <v>2248</v>
      </c>
      <c r="B1077" s="70">
        <v>44001833</v>
      </c>
      <c r="C1077" s="69" t="s">
        <v>15</v>
      </c>
      <c r="D1077" s="71" t="s">
        <v>2387</v>
      </c>
      <c r="E1077" s="69" t="s">
        <v>2388</v>
      </c>
      <c r="F1077" s="69">
        <v>30</v>
      </c>
      <c r="G1077" s="69">
        <v>60</v>
      </c>
      <c r="H1077" s="69" t="s">
        <v>2399</v>
      </c>
      <c r="I1077" s="69" t="s">
        <v>2479</v>
      </c>
      <c r="J1077" s="69" t="s">
        <v>2401</v>
      </c>
      <c r="K1077" s="69"/>
      <c r="L1077" s="72" t="s">
        <v>2387</v>
      </c>
      <c r="M1077" s="72" t="b">
        <f t="shared" si="17"/>
        <v>1</v>
      </c>
    </row>
    <row r="1078" spans="1:13" x14ac:dyDescent="0.25">
      <c r="A1078" s="69" t="s">
        <v>1959</v>
      </c>
      <c r="B1078" s="70" t="s">
        <v>3117</v>
      </c>
      <c r="C1078" s="69" t="s">
        <v>1946</v>
      </c>
      <c r="D1078" s="71" t="s">
        <v>2392</v>
      </c>
      <c r="E1078" s="69" t="s">
        <v>2388</v>
      </c>
      <c r="F1078" s="69">
        <v>30</v>
      </c>
      <c r="G1078" s="69">
        <f>6*30</f>
        <v>180</v>
      </c>
      <c r="H1078" s="69" t="s">
        <v>2399</v>
      </c>
      <c r="I1078" s="69" t="s">
        <v>2447</v>
      </c>
      <c r="J1078" s="69" t="s">
        <v>2550</v>
      </c>
      <c r="K1078" s="69" t="s">
        <v>3139</v>
      </c>
      <c r="L1078" s="72" t="s">
        <v>2392</v>
      </c>
      <c r="M1078" s="72" t="b">
        <f t="shared" si="17"/>
        <v>1</v>
      </c>
    </row>
    <row r="1079" spans="1:13" x14ac:dyDescent="0.25">
      <c r="A1079" s="69" t="s">
        <v>2139</v>
      </c>
      <c r="B1079" s="70" t="s">
        <v>3117</v>
      </c>
      <c r="C1079" s="69" t="s">
        <v>1946</v>
      </c>
      <c r="D1079" s="71" t="s">
        <v>2392</v>
      </c>
      <c r="E1079" s="69" t="s">
        <v>2388</v>
      </c>
      <c r="F1079" s="69">
        <v>30</v>
      </c>
      <c r="G1079" s="69">
        <v>30</v>
      </c>
      <c r="H1079" s="69" t="s">
        <v>2412</v>
      </c>
      <c r="I1079" s="69" t="s">
        <v>2394</v>
      </c>
      <c r="J1079" s="69" t="e">
        <v>#N/A</v>
      </c>
      <c r="K1079" s="69" t="s">
        <v>3139</v>
      </c>
      <c r="L1079" s="72" t="s">
        <v>2392</v>
      </c>
      <c r="M1079" s="72" t="b">
        <f t="shared" si="17"/>
        <v>1</v>
      </c>
    </row>
    <row r="1080" spans="1:13" x14ac:dyDescent="0.25">
      <c r="A1080" s="69" t="s">
        <v>2144</v>
      </c>
      <c r="B1080" s="70"/>
      <c r="C1080" s="69"/>
      <c r="D1080" s="71" t="s">
        <v>2392</v>
      </c>
      <c r="E1080" s="69" t="s">
        <v>2393</v>
      </c>
      <c r="F1080" s="69"/>
      <c r="G1080" s="69"/>
      <c r="H1080" s="69" t="s">
        <v>2395</v>
      </c>
      <c r="I1080" s="69" t="s">
        <v>2410</v>
      </c>
      <c r="J1080" s="69" t="s">
        <v>2427</v>
      </c>
      <c r="K1080" s="69" t="s">
        <v>3150</v>
      </c>
      <c r="L1080" s="72" t="s">
        <v>2392</v>
      </c>
      <c r="M1080" s="72" t="b">
        <f t="shared" si="17"/>
        <v>1</v>
      </c>
    </row>
    <row r="1081" spans="1:13" x14ac:dyDescent="0.25">
      <c r="A1081" s="69" t="s">
        <v>2339</v>
      </c>
      <c r="B1081" s="70"/>
      <c r="C1081" s="69"/>
      <c r="D1081" s="71" t="s">
        <v>2392</v>
      </c>
      <c r="E1081" s="69" t="s">
        <v>2393</v>
      </c>
      <c r="F1081" s="69">
        <v>30</v>
      </c>
      <c r="G1081" s="69">
        <v>90</v>
      </c>
      <c r="H1081" s="69" t="s">
        <v>2412</v>
      </c>
      <c r="I1081" s="69" t="s">
        <v>2428</v>
      </c>
      <c r="J1081" s="69" t="s">
        <v>2427</v>
      </c>
      <c r="K1081" s="69" t="s">
        <v>3026</v>
      </c>
    </row>
    <row r="1082" spans="1:13" x14ac:dyDescent="0.25">
      <c r="A1082" s="69" t="s">
        <v>2366</v>
      </c>
      <c r="B1082" s="70"/>
      <c r="C1082" s="69"/>
      <c r="D1082" s="71" t="s">
        <v>2387</v>
      </c>
      <c r="E1082" s="69" t="s">
        <v>2393</v>
      </c>
      <c r="F1082" s="69"/>
      <c r="G1082" s="69">
        <v>0</v>
      </c>
      <c r="H1082" s="69" t="s">
        <v>2412</v>
      </c>
      <c r="I1082" s="69" t="s">
        <v>2410</v>
      </c>
      <c r="J1082" s="69" t="s">
        <v>2408</v>
      </c>
      <c r="K1082" s="69" t="s">
        <v>3009</v>
      </c>
      <c r="L1082" s="72" t="s">
        <v>2387</v>
      </c>
      <c r="M1082" s="72" t="b">
        <f t="shared" ref="M1082:M1092" si="19">L1082=D1082</f>
        <v>1</v>
      </c>
    </row>
    <row r="1083" spans="1:13" x14ac:dyDescent="0.25">
      <c r="A1083" s="69" t="s">
        <v>2335</v>
      </c>
      <c r="B1083" s="70"/>
      <c r="C1083" s="69"/>
      <c r="D1083" s="71" t="s">
        <v>2387</v>
      </c>
      <c r="E1083" s="69" t="s">
        <v>2393</v>
      </c>
      <c r="F1083" s="69"/>
      <c r="G1083" s="69">
        <v>0</v>
      </c>
      <c r="H1083" s="69" t="s">
        <v>2412</v>
      </c>
      <c r="I1083" s="69" t="s">
        <v>2410</v>
      </c>
      <c r="J1083" s="69" t="s">
        <v>2408</v>
      </c>
      <c r="K1083" s="69" t="s">
        <v>3009</v>
      </c>
      <c r="L1083" s="72" t="s">
        <v>2387</v>
      </c>
      <c r="M1083" s="72" t="b">
        <f t="shared" si="19"/>
        <v>1</v>
      </c>
    </row>
    <row r="1084" spans="1:13" x14ac:dyDescent="0.25">
      <c r="A1084" s="69" t="s">
        <v>715</v>
      </c>
      <c r="B1084" s="70" t="s">
        <v>3151</v>
      </c>
      <c r="C1084" s="69" t="s">
        <v>3152</v>
      </c>
      <c r="D1084" s="71" t="s">
        <v>2961</v>
      </c>
      <c r="E1084" s="69" t="s">
        <v>2388</v>
      </c>
      <c r="F1084" s="69">
        <v>30</v>
      </c>
      <c r="G1084" s="69">
        <v>30</v>
      </c>
      <c r="H1084" s="69" t="s">
        <v>2391</v>
      </c>
      <c r="I1084" s="69" t="s">
        <v>2442</v>
      </c>
      <c r="J1084" s="69" t="s">
        <v>2390</v>
      </c>
      <c r="K1084" s="69"/>
      <c r="L1084" s="72" t="s">
        <v>2387</v>
      </c>
      <c r="M1084" s="72" t="b">
        <f t="shared" si="19"/>
        <v>0</v>
      </c>
    </row>
    <row r="1085" spans="1:13" x14ac:dyDescent="0.25">
      <c r="A1085" s="69" t="s">
        <v>1696</v>
      </c>
      <c r="B1085" s="70" t="s">
        <v>3151</v>
      </c>
      <c r="C1085" s="69" t="s">
        <v>3152</v>
      </c>
      <c r="D1085" s="71" t="s">
        <v>2961</v>
      </c>
      <c r="E1085" s="69" t="s">
        <v>2388</v>
      </c>
      <c r="F1085" s="69">
        <v>30</v>
      </c>
      <c r="G1085" s="69">
        <v>30</v>
      </c>
      <c r="H1085" s="69" t="s">
        <v>2391</v>
      </c>
      <c r="I1085" s="69" t="s">
        <v>2442</v>
      </c>
      <c r="J1085" s="69" t="s">
        <v>2390</v>
      </c>
      <c r="K1085" s="69"/>
      <c r="L1085" s="72" t="s">
        <v>2387</v>
      </c>
      <c r="M1085" s="72" t="b">
        <f t="shared" si="19"/>
        <v>0</v>
      </c>
    </row>
    <row r="1086" spans="1:13" x14ac:dyDescent="0.25">
      <c r="A1086" s="69" t="s">
        <v>711</v>
      </c>
      <c r="B1086" s="70" t="s">
        <v>3151</v>
      </c>
      <c r="C1086" s="69" t="s">
        <v>3152</v>
      </c>
      <c r="D1086" s="71" t="s">
        <v>2961</v>
      </c>
      <c r="E1086" s="69" t="s">
        <v>2388</v>
      </c>
      <c r="F1086" s="69">
        <v>30</v>
      </c>
      <c r="G1086" s="69">
        <v>30</v>
      </c>
      <c r="H1086" s="69" t="s">
        <v>2391</v>
      </c>
      <c r="I1086" s="69" t="s">
        <v>2442</v>
      </c>
      <c r="J1086" s="69" t="s">
        <v>2390</v>
      </c>
      <c r="K1086" s="69"/>
      <c r="L1086" s="72" t="s">
        <v>2387</v>
      </c>
      <c r="M1086" s="72" t="b">
        <f t="shared" si="19"/>
        <v>0</v>
      </c>
    </row>
    <row r="1087" spans="1:13" x14ac:dyDescent="0.25">
      <c r="A1087" s="69" t="s">
        <v>1704</v>
      </c>
      <c r="B1087" s="70" t="s">
        <v>3151</v>
      </c>
      <c r="C1087" s="69" t="s">
        <v>3152</v>
      </c>
      <c r="D1087" s="71" t="s">
        <v>2961</v>
      </c>
      <c r="E1087" s="69" t="s">
        <v>2388</v>
      </c>
      <c r="F1087" s="69">
        <v>30</v>
      </c>
      <c r="G1087" s="69">
        <v>30</v>
      </c>
      <c r="H1087" s="69" t="s">
        <v>2391</v>
      </c>
      <c r="I1087" s="69" t="s">
        <v>2442</v>
      </c>
      <c r="J1087" s="69" t="s">
        <v>2390</v>
      </c>
      <c r="K1087" s="69"/>
      <c r="L1087" s="72" t="s">
        <v>2387</v>
      </c>
      <c r="M1087" s="72" t="b">
        <f t="shared" si="19"/>
        <v>0</v>
      </c>
    </row>
    <row r="1088" spans="1:13" x14ac:dyDescent="0.25">
      <c r="A1088" s="69" t="s">
        <v>1692</v>
      </c>
      <c r="B1088" s="70" t="s">
        <v>3151</v>
      </c>
      <c r="C1088" s="69" t="s">
        <v>3152</v>
      </c>
      <c r="D1088" s="71" t="s">
        <v>2961</v>
      </c>
      <c r="E1088" s="69" t="s">
        <v>2388</v>
      </c>
      <c r="F1088" s="69">
        <v>30</v>
      </c>
      <c r="G1088" s="69">
        <v>30</v>
      </c>
      <c r="H1088" s="69" t="s">
        <v>2391</v>
      </c>
      <c r="I1088" s="69" t="s">
        <v>2442</v>
      </c>
      <c r="J1088" s="69" t="s">
        <v>2390</v>
      </c>
      <c r="K1088" s="69"/>
      <c r="L1088" s="72" t="s">
        <v>2387</v>
      </c>
      <c r="M1088" s="72" t="b">
        <f t="shared" si="19"/>
        <v>0</v>
      </c>
    </row>
    <row r="1089" spans="1:13" x14ac:dyDescent="0.25">
      <c r="A1089" s="69" t="s">
        <v>1701</v>
      </c>
      <c r="B1089" s="70" t="s">
        <v>3151</v>
      </c>
      <c r="C1089" s="69" t="s">
        <v>3152</v>
      </c>
      <c r="D1089" s="71" t="s">
        <v>2961</v>
      </c>
      <c r="E1089" s="69" t="s">
        <v>2388</v>
      </c>
      <c r="F1089" s="69">
        <v>30</v>
      </c>
      <c r="G1089" s="69">
        <v>30</v>
      </c>
      <c r="H1089" s="69" t="s">
        <v>2391</v>
      </c>
      <c r="I1089" s="69" t="s">
        <v>2442</v>
      </c>
      <c r="J1089" s="69" t="s">
        <v>2390</v>
      </c>
      <c r="K1089" s="69"/>
      <c r="L1089" s="72" t="s">
        <v>2387</v>
      </c>
      <c r="M1089" s="72" t="b">
        <f t="shared" si="19"/>
        <v>0</v>
      </c>
    </row>
    <row r="1090" spans="1:13" x14ac:dyDescent="0.25">
      <c r="A1090" s="69" t="s">
        <v>1956</v>
      </c>
      <c r="B1090" s="70">
        <v>44005119</v>
      </c>
      <c r="C1090" s="69" t="s">
        <v>990</v>
      </c>
      <c r="D1090" s="71" t="s">
        <v>2392</v>
      </c>
      <c r="E1090" s="69" t="s">
        <v>2388</v>
      </c>
      <c r="F1090" s="69">
        <v>30</v>
      </c>
      <c r="G1090" s="69">
        <f>6*30</f>
        <v>180</v>
      </c>
      <c r="H1090" s="69" t="s">
        <v>2395</v>
      </c>
      <c r="I1090" s="69" t="s">
        <v>2447</v>
      </c>
      <c r="J1090" s="69" t="s">
        <v>2550</v>
      </c>
      <c r="K1090" s="69" t="s">
        <v>3139</v>
      </c>
      <c r="L1090" s="72" t="s">
        <v>2392</v>
      </c>
      <c r="M1090" s="72" t="b">
        <f t="shared" si="19"/>
        <v>1</v>
      </c>
    </row>
    <row r="1091" spans="1:13" x14ac:dyDescent="0.25">
      <c r="A1091" s="69" t="s">
        <v>2130</v>
      </c>
      <c r="B1091" s="70" t="s">
        <v>3117</v>
      </c>
      <c r="C1091" s="69" t="s">
        <v>1946</v>
      </c>
      <c r="D1091" s="71" t="s">
        <v>2392</v>
      </c>
      <c r="E1091" s="69" t="s">
        <v>2388</v>
      </c>
      <c r="F1091" s="69"/>
      <c r="G1091" s="69">
        <v>0</v>
      </c>
      <c r="H1091" s="69" t="s">
        <v>2412</v>
      </c>
      <c r="I1091" s="69" t="s">
        <v>2410</v>
      </c>
      <c r="J1091" s="69" t="s">
        <v>2408</v>
      </c>
      <c r="K1091" s="69" t="s">
        <v>3009</v>
      </c>
      <c r="L1091" s="72" t="s">
        <v>2392</v>
      </c>
      <c r="M1091" s="72" t="b">
        <f t="shared" si="19"/>
        <v>1</v>
      </c>
    </row>
    <row r="1092" spans="1:13" x14ac:dyDescent="0.25">
      <c r="A1092" s="69" t="s">
        <v>2323</v>
      </c>
      <c r="B1092" s="70"/>
      <c r="C1092" s="69"/>
      <c r="D1092" s="71" t="s">
        <v>2387</v>
      </c>
      <c r="E1092" s="69" t="s">
        <v>2393</v>
      </c>
      <c r="F1092" s="69"/>
      <c r="G1092" s="69">
        <v>0</v>
      </c>
      <c r="H1092" s="69" t="s">
        <v>2412</v>
      </c>
      <c r="I1092" s="69" t="s">
        <v>2410</v>
      </c>
      <c r="J1092" s="69" t="s">
        <v>2408</v>
      </c>
      <c r="K1092" s="69" t="s">
        <v>3009</v>
      </c>
      <c r="L1092" s="72" t="s">
        <v>2387</v>
      </c>
      <c r="M1092" s="72" t="b">
        <f t="shared" si="19"/>
        <v>1</v>
      </c>
    </row>
    <row r="1093" spans="1:13" x14ac:dyDescent="0.25">
      <c r="A1093" s="69" t="s">
        <v>1961</v>
      </c>
      <c r="B1093" s="70" t="s">
        <v>3153</v>
      </c>
      <c r="C1093" s="69" t="s">
        <v>1847</v>
      </c>
      <c r="D1093" s="71" t="s">
        <v>2387</v>
      </c>
      <c r="E1093" s="69" t="s">
        <v>2388</v>
      </c>
      <c r="F1093" s="69">
        <v>30</v>
      </c>
      <c r="G1093" s="69">
        <v>90</v>
      </c>
      <c r="H1093" s="69" t="s">
        <v>2391</v>
      </c>
      <c r="I1093" s="69" t="s">
        <v>2420</v>
      </c>
      <c r="J1093" s="69" t="s">
        <v>2408</v>
      </c>
      <c r="K1093" s="69" t="s">
        <v>3139</v>
      </c>
    </row>
    <row r="1094" spans="1:13" x14ac:dyDescent="0.25">
      <c r="A1094" s="69" t="s">
        <v>2019</v>
      </c>
      <c r="B1094" s="70" t="s">
        <v>3090</v>
      </c>
      <c r="C1094" s="69" t="s">
        <v>2546</v>
      </c>
      <c r="D1094" s="71" t="s">
        <v>2961</v>
      </c>
      <c r="E1094" s="69" t="s">
        <v>2388</v>
      </c>
      <c r="F1094" s="69">
        <v>30</v>
      </c>
      <c r="G1094" s="69">
        <v>45</v>
      </c>
      <c r="H1094" s="69" t="s">
        <v>2391</v>
      </c>
      <c r="I1094" s="69" t="s">
        <v>2431</v>
      </c>
      <c r="J1094" s="69" t="s">
        <v>2398</v>
      </c>
      <c r="K1094" s="69"/>
      <c r="L1094" s="72" t="s">
        <v>2392</v>
      </c>
      <c r="M1094" s="72" t="b">
        <f>L1094=D1094</f>
        <v>0</v>
      </c>
    </row>
    <row r="1095" spans="1:13" x14ac:dyDescent="0.25">
      <c r="A1095" s="69" t="s">
        <v>2019</v>
      </c>
      <c r="B1095" s="70" t="s">
        <v>3154</v>
      </c>
      <c r="C1095" s="69" t="s">
        <v>2546</v>
      </c>
      <c r="D1095" s="71" t="s">
        <v>2961</v>
      </c>
      <c r="E1095" s="69" t="s">
        <v>2388</v>
      </c>
      <c r="F1095" s="69">
        <v>30</v>
      </c>
      <c r="G1095" s="69">
        <v>45</v>
      </c>
      <c r="H1095" s="69" t="s">
        <v>2391</v>
      </c>
      <c r="I1095" s="69" t="s">
        <v>2431</v>
      </c>
      <c r="J1095" s="69" t="s">
        <v>2398</v>
      </c>
      <c r="K1095" s="69"/>
      <c r="L1095" s="72" t="s">
        <v>2392</v>
      </c>
      <c r="M1095" s="72" t="b">
        <f>L1095=D1095</f>
        <v>0</v>
      </c>
    </row>
    <row r="1096" spans="1:13" x14ac:dyDescent="0.25">
      <c r="A1096" s="69" t="s">
        <v>1100</v>
      </c>
      <c r="B1096" s="70" t="s">
        <v>3065</v>
      </c>
      <c r="C1096" s="69" t="s">
        <v>2525</v>
      </c>
      <c r="D1096" s="71" t="s">
        <v>2961</v>
      </c>
      <c r="E1096" s="69" t="s">
        <v>2388</v>
      </c>
      <c r="F1096" s="69">
        <v>30</v>
      </c>
      <c r="G1096" s="69">
        <v>180</v>
      </c>
      <c r="H1096" s="69" t="s">
        <v>2391</v>
      </c>
      <c r="I1096" s="69" t="s">
        <v>2389</v>
      </c>
      <c r="J1096" s="69" t="s">
        <v>2424</v>
      </c>
      <c r="K1096" s="69" t="s">
        <v>3066</v>
      </c>
      <c r="L1096" s="72" t="s">
        <v>2387</v>
      </c>
      <c r="M1096" s="72" t="b">
        <f>L1096=D1096</f>
        <v>0</v>
      </c>
    </row>
    <row r="1097" spans="1:13" x14ac:dyDescent="0.25">
      <c r="A1097" s="69" t="s">
        <v>1848</v>
      </c>
      <c r="B1097" s="70" t="s">
        <v>3155</v>
      </c>
      <c r="C1097" s="69" t="s">
        <v>3156</v>
      </c>
      <c r="D1097" s="71" t="s">
        <v>2392</v>
      </c>
      <c r="E1097" s="69" t="s">
        <v>2388</v>
      </c>
      <c r="F1097" s="69">
        <v>30</v>
      </c>
      <c r="G1097" s="69">
        <v>30</v>
      </c>
      <c r="H1097" s="69" t="s">
        <v>2399</v>
      </c>
      <c r="I1097" s="69" t="s">
        <v>2463</v>
      </c>
      <c r="J1097" s="69" t="s">
        <v>3213</v>
      </c>
      <c r="K1097" s="69" t="s">
        <v>3013</v>
      </c>
      <c r="L1097" s="72" t="s">
        <v>2392</v>
      </c>
      <c r="M1097" s="72" t="b">
        <f>L1097=D1097</f>
        <v>1</v>
      </c>
    </row>
    <row r="1098" spans="1:13" x14ac:dyDescent="0.25">
      <c r="A1098" s="69" t="s">
        <v>1756</v>
      </c>
      <c r="B1098" s="70" t="s">
        <v>3155</v>
      </c>
      <c r="C1098" s="69" t="s">
        <v>3156</v>
      </c>
      <c r="D1098" s="71" t="s">
        <v>2392</v>
      </c>
      <c r="E1098" s="69" t="s">
        <v>2388</v>
      </c>
      <c r="F1098" s="69">
        <v>30</v>
      </c>
      <c r="G1098" s="69">
        <v>30</v>
      </c>
      <c r="H1098" s="69" t="s">
        <v>2399</v>
      </c>
      <c r="I1098" s="69" t="s">
        <v>2463</v>
      </c>
      <c r="J1098" s="69" t="s">
        <v>3213</v>
      </c>
      <c r="K1098" s="69" t="s">
        <v>3013</v>
      </c>
      <c r="L1098" s="72" t="s">
        <v>2392</v>
      </c>
      <c r="M1098" s="72" t="b">
        <f>L1098=D1098</f>
        <v>1</v>
      </c>
    </row>
    <row r="1099" spans="1:13" x14ac:dyDescent="0.25">
      <c r="A1099" s="69" t="s">
        <v>890</v>
      </c>
      <c r="B1099" s="70"/>
      <c r="C1099" s="69" t="s">
        <v>2495</v>
      </c>
      <c r="D1099" s="71" t="s">
        <v>2387</v>
      </c>
      <c r="E1099" s="69" t="s">
        <v>2388</v>
      </c>
      <c r="F1099" s="69">
        <v>30</v>
      </c>
      <c r="G1099" s="69">
        <v>60</v>
      </c>
      <c r="H1099" s="69" t="s">
        <v>2391</v>
      </c>
      <c r="I1099" s="69" t="s">
        <v>2431</v>
      </c>
      <c r="J1099" s="69" t="s">
        <v>2424</v>
      </c>
      <c r="K1099" s="69"/>
    </row>
    <row r="1100" spans="1:13" x14ac:dyDescent="0.25">
      <c r="A1100" s="69" t="s">
        <v>2368</v>
      </c>
      <c r="B1100" s="70">
        <v>44001733</v>
      </c>
      <c r="C1100" s="69" t="s">
        <v>41</v>
      </c>
      <c r="D1100" s="71" t="s">
        <v>2961</v>
      </c>
      <c r="E1100" s="69" t="s">
        <v>2388</v>
      </c>
      <c r="F1100" s="69">
        <v>30</v>
      </c>
      <c r="G1100" s="69">
        <v>45</v>
      </c>
      <c r="H1100" s="69" t="s">
        <v>2391</v>
      </c>
      <c r="I1100" s="69" t="s">
        <v>2429</v>
      </c>
      <c r="J1100" s="69" t="s">
        <v>2435</v>
      </c>
      <c r="K1100" s="69"/>
    </row>
    <row r="1101" spans="1:13" x14ac:dyDescent="0.25">
      <c r="A1101" s="69" t="s">
        <v>2137</v>
      </c>
      <c r="B1101" s="70" t="s">
        <v>3157</v>
      </c>
      <c r="C1101" s="69" t="s">
        <v>2508</v>
      </c>
      <c r="D1101" s="71" t="s">
        <v>2961</v>
      </c>
      <c r="E1101" s="69" t="s">
        <v>2388</v>
      </c>
      <c r="F1101" s="69">
        <v>30</v>
      </c>
      <c r="G1101" s="69">
        <v>60</v>
      </c>
      <c r="H1101" s="69" t="s">
        <v>2399</v>
      </c>
      <c r="I1101" s="69" t="s">
        <v>2429</v>
      </c>
      <c r="J1101" s="69" t="s">
        <v>2427</v>
      </c>
      <c r="K1101" s="69"/>
    </row>
    <row r="1102" spans="1:13" x14ac:dyDescent="0.25">
      <c r="A1102" s="69" t="s">
        <v>2031</v>
      </c>
      <c r="B1102" s="70" t="s">
        <v>3158</v>
      </c>
      <c r="C1102" s="69" t="s">
        <v>2523</v>
      </c>
      <c r="D1102" s="71" t="s">
        <v>2387</v>
      </c>
      <c r="E1102" s="69" t="s">
        <v>2388</v>
      </c>
      <c r="F1102" s="69">
        <v>30</v>
      </c>
      <c r="G1102" s="69">
        <v>30</v>
      </c>
      <c r="H1102" s="69" t="s">
        <v>2391</v>
      </c>
      <c r="I1102" s="69" t="s">
        <v>2431</v>
      </c>
      <c r="J1102" s="69" t="s">
        <v>2424</v>
      </c>
      <c r="K1102" s="69"/>
      <c r="L1102" s="72" t="s">
        <v>2392</v>
      </c>
      <c r="M1102" s="72" t="b">
        <f>L1102=D1102</f>
        <v>0</v>
      </c>
    </row>
    <row r="1103" spans="1:13" x14ac:dyDescent="0.25">
      <c r="A1103" s="69" t="s">
        <v>2114</v>
      </c>
      <c r="B1103" s="70" t="s">
        <v>3216</v>
      </c>
      <c r="C1103" s="69" t="s">
        <v>2991</v>
      </c>
      <c r="D1103" s="71" t="s">
        <v>2387</v>
      </c>
      <c r="E1103" s="69" t="s">
        <v>2388</v>
      </c>
      <c r="F1103" s="69">
        <v>30</v>
      </c>
      <c r="G1103" s="69">
        <v>30</v>
      </c>
      <c r="H1103" s="69" t="s">
        <v>2391</v>
      </c>
      <c r="I1103" s="69" t="s">
        <v>2433</v>
      </c>
      <c r="J1103" s="69" t="s">
        <v>2424</v>
      </c>
      <c r="K1103" s="69"/>
    </row>
    <row r="1104" spans="1:13" x14ac:dyDescent="0.25">
      <c r="A1104" s="69" t="s">
        <v>1165</v>
      </c>
      <c r="B1104" s="70" t="s">
        <v>3159</v>
      </c>
      <c r="C1104" s="69" t="s">
        <v>1019</v>
      </c>
      <c r="D1104" s="71" t="s">
        <v>2387</v>
      </c>
      <c r="E1104" s="69" t="s">
        <v>2388</v>
      </c>
      <c r="F1104" s="69">
        <v>30</v>
      </c>
      <c r="G1104" s="69">
        <v>90</v>
      </c>
      <c r="H1104" s="69" t="s">
        <v>2391</v>
      </c>
      <c r="I1104" s="69" t="s">
        <v>2400</v>
      </c>
      <c r="J1104" s="69" t="s">
        <v>2398</v>
      </c>
      <c r="K1104" s="69" t="s">
        <v>3160</v>
      </c>
      <c r="L1104" s="72" t="s">
        <v>2387</v>
      </c>
      <c r="M1104" s="72" t="b">
        <f>L1104=D1104</f>
        <v>1</v>
      </c>
    </row>
    <row r="1105" spans="1:13" x14ac:dyDescent="0.25">
      <c r="A1105" s="80" t="s">
        <v>1658</v>
      </c>
      <c r="B1105" s="70"/>
      <c r="C1105" s="69"/>
      <c r="D1105" s="71" t="s">
        <v>2387</v>
      </c>
      <c r="E1105" s="69" t="s">
        <v>2388</v>
      </c>
      <c r="F1105" s="69"/>
      <c r="G1105" s="69"/>
      <c r="H1105" s="69" t="s">
        <v>2412</v>
      </c>
      <c r="I1105" s="69" t="s">
        <v>2410</v>
      </c>
      <c r="J1105" s="69" t="s">
        <v>3027</v>
      </c>
      <c r="K1105" s="69"/>
      <c r="L1105" s="72" t="s">
        <v>2387</v>
      </c>
      <c r="M1105" s="72" t="b">
        <f>L1105=D1105</f>
        <v>1</v>
      </c>
    </row>
    <row r="1106" spans="1:13" x14ac:dyDescent="0.25">
      <c r="A1106" s="80" t="s">
        <v>2552</v>
      </c>
      <c r="B1106" s="70"/>
      <c r="C1106" s="69"/>
      <c r="D1106" s="71" t="s">
        <v>2387</v>
      </c>
      <c r="E1106" s="69" t="s">
        <v>2388</v>
      </c>
      <c r="F1106" s="69"/>
      <c r="G1106" s="69"/>
      <c r="H1106" s="69" t="s">
        <v>2412</v>
      </c>
      <c r="I1106" s="69" t="s">
        <v>2410</v>
      </c>
      <c r="J1106" s="69"/>
      <c r="K1106" s="69"/>
      <c r="L1106" s="72" t="s">
        <v>2387</v>
      </c>
      <c r="M1106" s="72" t="b">
        <f>L1106=D1106</f>
        <v>1</v>
      </c>
    </row>
    <row r="1107" spans="1:13" x14ac:dyDescent="0.25">
      <c r="A1107" s="80" t="s">
        <v>1171</v>
      </c>
      <c r="B1107" s="70"/>
      <c r="C1107" s="69"/>
      <c r="D1107" s="71" t="s">
        <v>2392</v>
      </c>
      <c r="E1107" s="69"/>
      <c r="F1107" s="69"/>
      <c r="G1107" s="69"/>
      <c r="H1107" s="69" t="s">
        <v>2412</v>
      </c>
      <c r="I1107" s="69" t="s">
        <v>2410</v>
      </c>
      <c r="J1107" s="69"/>
      <c r="K1107" s="69"/>
    </row>
    <row r="1108" spans="1:13" x14ac:dyDescent="0.25">
      <c r="A1108" s="80" t="s">
        <v>2362</v>
      </c>
      <c r="B1108" s="70"/>
      <c r="C1108" s="69"/>
      <c r="D1108" s="71" t="s">
        <v>2392</v>
      </c>
      <c r="E1108" s="69"/>
      <c r="F1108" s="69"/>
      <c r="G1108" s="69"/>
      <c r="H1108" s="69" t="s">
        <v>2412</v>
      </c>
      <c r="I1108" s="69" t="s">
        <v>2410</v>
      </c>
      <c r="J1108" s="69"/>
      <c r="K1108" s="69"/>
    </row>
    <row r="1109" spans="1:13" x14ac:dyDescent="0.25">
      <c r="A1109" s="80" t="s">
        <v>2318</v>
      </c>
      <c r="B1109" s="70"/>
      <c r="C1109" s="69"/>
      <c r="D1109" s="71" t="s">
        <v>2392</v>
      </c>
      <c r="E1109" s="69"/>
      <c r="F1109" s="69"/>
      <c r="G1109" s="69"/>
      <c r="H1109" s="69" t="s">
        <v>2412</v>
      </c>
      <c r="I1109" s="69" t="s">
        <v>2410</v>
      </c>
      <c r="J1109" s="69"/>
      <c r="K1109" s="69"/>
    </row>
    <row r="1110" spans="1:13" x14ac:dyDescent="0.25">
      <c r="A1110" s="80" t="s">
        <v>1300</v>
      </c>
      <c r="B1110" s="70"/>
      <c r="C1110" s="69"/>
      <c r="D1110" s="71" t="s">
        <v>2392</v>
      </c>
      <c r="E1110" s="69"/>
      <c r="F1110" s="69"/>
      <c r="G1110" s="69"/>
      <c r="H1110" s="69" t="s">
        <v>2412</v>
      </c>
      <c r="I1110" s="69" t="s">
        <v>2410</v>
      </c>
      <c r="J1110" s="69"/>
      <c r="K1110" s="69"/>
    </row>
    <row r="1111" spans="1:13" x14ac:dyDescent="0.25">
      <c r="A1111" s="80" t="s">
        <v>897</v>
      </c>
      <c r="B1111" s="70"/>
      <c r="C1111" s="69"/>
      <c r="D1111" s="71" t="s">
        <v>2392</v>
      </c>
      <c r="E1111" s="69"/>
      <c r="F1111" s="69"/>
      <c r="G1111" s="69"/>
      <c r="H1111" s="69" t="s">
        <v>2412</v>
      </c>
      <c r="I1111" s="69" t="s">
        <v>2410</v>
      </c>
      <c r="J1111" s="69"/>
      <c r="K1111" s="69"/>
    </row>
    <row r="1112" spans="1:13" x14ac:dyDescent="0.25">
      <c r="A1112" s="80" t="s">
        <v>1204</v>
      </c>
      <c r="B1112" s="70"/>
      <c r="C1112" s="69"/>
      <c r="D1112" s="71" t="s">
        <v>2392</v>
      </c>
      <c r="E1112" s="69"/>
      <c r="F1112" s="69"/>
      <c r="G1112" s="69"/>
      <c r="H1112" s="69" t="s">
        <v>2412</v>
      </c>
      <c r="I1112" s="69" t="s">
        <v>2410</v>
      </c>
      <c r="J1112" s="69"/>
      <c r="K1112" s="69"/>
    </row>
    <row r="1113" spans="1:13" x14ac:dyDescent="0.25">
      <c r="A1113" s="80" t="s">
        <v>1207</v>
      </c>
      <c r="B1113" s="70"/>
      <c r="C1113" s="69"/>
      <c r="D1113" s="71" t="s">
        <v>2392</v>
      </c>
      <c r="E1113" s="69"/>
      <c r="F1113" s="69"/>
      <c r="G1113" s="69"/>
      <c r="H1113" s="69" t="s">
        <v>2412</v>
      </c>
      <c r="I1113" s="69" t="s">
        <v>2410</v>
      </c>
      <c r="J1113" s="69"/>
      <c r="K1113" s="69"/>
    </row>
    <row r="1114" spans="1:13" x14ac:dyDescent="0.25">
      <c r="A1114" s="80" t="s">
        <v>2321</v>
      </c>
      <c r="B1114" s="70"/>
      <c r="C1114" s="69"/>
      <c r="D1114" s="71" t="s">
        <v>2392</v>
      </c>
      <c r="E1114" s="69"/>
      <c r="F1114" s="69"/>
      <c r="G1114" s="69"/>
      <c r="H1114" s="69" t="s">
        <v>2412</v>
      </c>
      <c r="I1114" s="69" t="s">
        <v>2410</v>
      </c>
      <c r="J1114" s="69"/>
      <c r="K1114" s="69"/>
    </row>
    <row r="1115" spans="1:13" x14ac:dyDescent="0.25">
      <c r="A1115" s="80" t="s">
        <v>2553</v>
      </c>
      <c r="B1115" s="70"/>
      <c r="C1115" s="69"/>
      <c r="D1115" s="71" t="s">
        <v>2392</v>
      </c>
      <c r="E1115" s="69"/>
      <c r="F1115" s="69"/>
      <c r="G1115" s="69"/>
      <c r="H1115" s="69" t="s">
        <v>2412</v>
      </c>
      <c r="I1115" s="69" t="s">
        <v>2410</v>
      </c>
      <c r="J1115" s="69"/>
      <c r="K1115" s="69"/>
    </row>
    <row r="1116" spans="1:13" x14ac:dyDescent="0.25">
      <c r="A1116" s="80" t="s">
        <v>2330</v>
      </c>
      <c r="B1116" s="70"/>
      <c r="C1116" s="69"/>
      <c r="D1116" s="71" t="s">
        <v>2392</v>
      </c>
      <c r="E1116" s="69"/>
      <c r="F1116" s="69"/>
      <c r="G1116" s="69"/>
      <c r="H1116" s="69" t="s">
        <v>2412</v>
      </c>
      <c r="I1116" s="69" t="s">
        <v>2410</v>
      </c>
      <c r="J1116" s="69"/>
      <c r="K1116" s="69"/>
    </row>
    <row r="1117" spans="1:13" x14ac:dyDescent="0.25">
      <c r="A1117" s="80" t="s">
        <v>2315</v>
      </c>
      <c r="B1117" s="70"/>
      <c r="C1117" s="69"/>
      <c r="D1117" s="71" t="s">
        <v>2392</v>
      </c>
      <c r="E1117" s="69"/>
      <c r="F1117" s="69"/>
      <c r="G1117" s="69"/>
      <c r="H1117" s="69" t="s">
        <v>2412</v>
      </c>
      <c r="I1117" s="69" t="s">
        <v>2410</v>
      </c>
      <c r="J1117" s="69"/>
      <c r="K1117" s="69"/>
    </row>
    <row r="1118" spans="1:13" x14ac:dyDescent="0.25">
      <c r="A1118" s="80" t="s">
        <v>2322</v>
      </c>
      <c r="B1118" s="70"/>
      <c r="C1118" s="69"/>
      <c r="D1118" s="71" t="s">
        <v>2392</v>
      </c>
      <c r="E1118" s="69"/>
      <c r="F1118" s="69"/>
      <c r="G1118" s="69"/>
      <c r="H1118" s="69" t="s">
        <v>2412</v>
      </c>
      <c r="I1118" s="69" t="s">
        <v>2410</v>
      </c>
      <c r="J1118" s="69"/>
      <c r="K1118" s="69"/>
    </row>
    <row r="1119" spans="1:13" x14ac:dyDescent="0.25">
      <c r="A1119" s="80" t="s">
        <v>2314</v>
      </c>
      <c r="B1119" s="70"/>
      <c r="C1119" s="69"/>
      <c r="D1119" s="71" t="s">
        <v>2392</v>
      </c>
      <c r="E1119" s="69"/>
      <c r="F1119" s="69"/>
      <c r="G1119" s="69"/>
      <c r="H1119" s="69" t="s">
        <v>2412</v>
      </c>
      <c r="I1119" s="69" t="s">
        <v>2410</v>
      </c>
      <c r="J1119" s="69"/>
      <c r="K1119" s="69"/>
    </row>
    <row r="1120" spans="1:13" x14ac:dyDescent="0.25">
      <c r="A1120" s="80" t="s">
        <v>2310</v>
      </c>
      <c r="B1120" s="70"/>
      <c r="C1120" s="69"/>
      <c r="D1120" s="71" t="s">
        <v>2392</v>
      </c>
      <c r="E1120" s="69"/>
      <c r="F1120" s="69"/>
      <c r="G1120" s="69"/>
      <c r="H1120" s="69" t="s">
        <v>2412</v>
      </c>
      <c r="I1120" s="69" t="s">
        <v>2410</v>
      </c>
      <c r="J1120" s="69"/>
      <c r="K1120" s="69"/>
    </row>
    <row r="1121" spans="1:13" x14ac:dyDescent="0.25">
      <c r="A1121" s="80" t="s">
        <v>2331</v>
      </c>
      <c r="B1121" s="70"/>
      <c r="C1121" s="69"/>
      <c r="D1121" s="71" t="s">
        <v>2392</v>
      </c>
      <c r="E1121" s="69"/>
      <c r="F1121" s="69"/>
      <c r="G1121" s="69"/>
      <c r="H1121" s="69" t="s">
        <v>2412</v>
      </c>
      <c r="I1121" s="69" t="s">
        <v>2410</v>
      </c>
      <c r="J1121" s="69"/>
      <c r="K1121" s="69"/>
    </row>
    <row r="1122" spans="1:13" x14ac:dyDescent="0.25">
      <c r="A1122" s="80" t="s">
        <v>2218</v>
      </c>
      <c r="B1122" s="70"/>
      <c r="C1122" s="69"/>
      <c r="D1122" s="71" t="s">
        <v>2387</v>
      </c>
      <c r="E1122" s="69" t="s">
        <v>2388</v>
      </c>
      <c r="F1122" s="69">
        <v>30</v>
      </c>
      <c r="G1122" s="69">
        <v>60</v>
      </c>
      <c r="H1122" s="69" t="s">
        <v>2399</v>
      </c>
      <c r="I1122" s="69" t="s">
        <v>2479</v>
      </c>
      <c r="J1122" s="69" t="s">
        <v>2424</v>
      </c>
      <c r="K1122" s="69"/>
    </row>
    <row r="1123" spans="1:13" x14ac:dyDescent="0.25">
      <c r="A1123" s="69" t="s">
        <v>2011</v>
      </c>
      <c r="B1123" s="70" t="s">
        <v>3153</v>
      </c>
      <c r="C1123" s="69" t="s">
        <v>1847</v>
      </c>
      <c r="D1123" s="71" t="s">
        <v>2387</v>
      </c>
      <c r="E1123" s="69" t="s">
        <v>2388</v>
      </c>
      <c r="F1123" s="69">
        <v>0</v>
      </c>
      <c r="G1123" s="69">
        <v>0</v>
      </c>
      <c r="H1123" s="69" t="s">
        <v>2412</v>
      </c>
      <c r="I1123" s="69" t="s">
        <v>2410</v>
      </c>
      <c r="J1123" s="69" t="s">
        <v>2408</v>
      </c>
      <c r="K1123" s="69" t="s">
        <v>3009</v>
      </c>
      <c r="L1123" s="72" t="s">
        <v>2392</v>
      </c>
      <c r="M1123" s="72" t="b">
        <f>L1123=D1123</f>
        <v>0</v>
      </c>
    </row>
    <row r="1124" spans="1:13" x14ac:dyDescent="0.25">
      <c r="A1124" s="69" t="s">
        <v>2060</v>
      </c>
      <c r="B1124" s="70" t="s">
        <v>3159</v>
      </c>
      <c r="C1124" s="69" t="s">
        <v>1019</v>
      </c>
      <c r="D1124" s="71" t="s">
        <v>2387</v>
      </c>
      <c r="E1124" s="69" t="s">
        <v>2388</v>
      </c>
      <c r="F1124" s="69">
        <v>30</v>
      </c>
      <c r="G1124" s="69">
        <v>90</v>
      </c>
      <c r="H1124" s="69" t="s">
        <v>2391</v>
      </c>
      <c r="I1124" s="69" t="s">
        <v>2400</v>
      </c>
      <c r="J1124" s="69" t="s">
        <v>2398</v>
      </c>
      <c r="K1124" s="69" t="s">
        <v>3161</v>
      </c>
    </row>
    <row r="1125" spans="1:13" x14ac:dyDescent="0.25">
      <c r="A1125" s="69" t="s">
        <v>2058</v>
      </c>
      <c r="B1125" s="70" t="s">
        <v>3159</v>
      </c>
      <c r="C1125" s="69" t="s">
        <v>1019</v>
      </c>
      <c r="D1125" s="71" t="s">
        <v>2387</v>
      </c>
      <c r="E1125" s="69" t="s">
        <v>2388</v>
      </c>
      <c r="F1125" s="69">
        <v>30</v>
      </c>
      <c r="G1125" s="69">
        <v>90</v>
      </c>
      <c r="H1125" s="69" t="s">
        <v>2391</v>
      </c>
      <c r="I1125" s="69" t="s">
        <v>2400</v>
      </c>
      <c r="J1125" s="69" t="s">
        <v>2398</v>
      </c>
      <c r="K1125" s="69" t="s">
        <v>3161</v>
      </c>
    </row>
    <row r="1126" spans="1:13" x14ac:dyDescent="0.25">
      <c r="A1126" s="69" t="s">
        <v>2056</v>
      </c>
      <c r="B1126" s="70" t="s">
        <v>3159</v>
      </c>
      <c r="C1126" s="69" t="s">
        <v>1019</v>
      </c>
      <c r="D1126" s="71" t="s">
        <v>2387</v>
      </c>
      <c r="E1126" s="69" t="s">
        <v>2388</v>
      </c>
      <c r="F1126" s="69">
        <v>30</v>
      </c>
      <c r="G1126" s="69">
        <v>90</v>
      </c>
      <c r="H1126" s="69" t="s">
        <v>2391</v>
      </c>
      <c r="I1126" s="69" t="s">
        <v>2400</v>
      </c>
      <c r="J1126" s="69" t="s">
        <v>2398</v>
      </c>
      <c r="K1126" s="69" t="s">
        <v>3161</v>
      </c>
    </row>
    <row r="1127" spans="1:13" x14ac:dyDescent="0.25">
      <c r="A1127" s="69" t="s">
        <v>2064</v>
      </c>
      <c r="B1127" s="70" t="s">
        <v>3159</v>
      </c>
      <c r="C1127" s="69" t="s">
        <v>1019</v>
      </c>
      <c r="D1127" s="71" t="s">
        <v>2387</v>
      </c>
      <c r="E1127" s="69" t="s">
        <v>2388</v>
      </c>
      <c r="F1127" s="69">
        <v>30</v>
      </c>
      <c r="G1127" s="69">
        <v>90</v>
      </c>
      <c r="H1127" s="69" t="s">
        <v>2391</v>
      </c>
      <c r="I1127" s="69" t="s">
        <v>2400</v>
      </c>
      <c r="J1127" s="69" t="s">
        <v>2398</v>
      </c>
      <c r="K1127" s="69" t="s">
        <v>3161</v>
      </c>
    </row>
    <row r="1128" spans="1:13" x14ac:dyDescent="0.25">
      <c r="A1128" s="69" t="s">
        <v>1168</v>
      </c>
      <c r="B1128" s="70" t="s">
        <v>3159</v>
      </c>
      <c r="C1128" s="69" t="s">
        <v>1019</v>
      </c>
      <c r="D1128" s="71" t="s">
        <v>2387</v>
      </c>
      <c r="E1128" s="69" t="s">
        <v>2388</v>
      </c>
      <c r="F1128" s="69">
        <v>30</v>
      </c>
      <c r="G1128" s="69">
        <v>90</v>
      </c>
      <c r="H1128" s="69" t="s">
        <v>2399</v>
      </c>
      <c r="I1128" s="69" t="s">
        <v>2400</v>
      </c>
      <c r="J1128" s="69" t="s">
        <v>2398</v>
      </c>
      <c r="K1128" s="69" t="s">
        <v>3161</v>
      </c>
    </row>
    <row r="1129" spans="1:13" x14ac:dyDescent="0.25">
      <c r="A1129" s="69" t="s">
        <v>2059</v>
      </c>
      <c r="B1129" s="70" t="s">
        <v>3159</v>
      </c>
      <c r="C1129" s="69" t="s">
        <v>1019</v>
      </c>
      <c r="D1129" s="71" t="s">
        <v>2387</v>
      </c>
      <c r="E1129" s="69" t="s">
        <v>2388</v>
      </c>
      <c r="F1129" s="69">
        <v>30</v>
      </c>
      <c r="G1129" s="69">
        <v>90</v>
      </c>
      <c r="H1129" s="69" t="s">
        <v>2391</v>
      </c>
      <c r="I1129" s="69" t="s">
        <v>2400</v>
      </c>
      <c r="J1129" s="69" t="s">
        <v>2398</v>
      </c>
      <c r="K1129" s="69" t="s">
        <v>3161</v>
      </c>
    </row>
    <row r="1130" spans="1:13" x14ac:dyDescent="0.25">
      <c r="A1130" s="69" t="s">
        <v>2360</v>
      </c>
      <c r="B1130" s="70"/>
      <c r="C1130" s="69"/>
      <c r="D1130" s="71" t="s">
        <v>2387</v>
      </c>
      <c r="E1130" s="69" t="s">
        <v>2393</v>
      </c>
      <c r="F1130" s="69"/>
      <c r="G1130" s="69">
        <v>0</v>
      </c>
      <c r="H1130" s="69" t="s">
        <v>2412</v>
      </c>
      <c r="I1130" s="69" t="s">
        <v>2410</v>
      </c>
      <c r="J1130" s="69" t="s">
        <v>2408</v>
      </c>
      <c r="K1130" s="69" t="s">
        <v>3009</v>
      </c>
      <c r="L1130" s="72" t="s">
        <v>2387</v>
      </c>
      <c r="M1130" s="72" t="b">
        <f>L1130=D1130</f>
        <v>1</v>
      </c>
    </row>
    <row r="1131" spans="1:13" x14ac:dyDescent="0.25">
      <c r="A1131" s="69" t="s">
        <v>2129</v>
      </c>
      <c r="B1131" s="70" t="s">
        <v>3117</v>
      </c>
      <c r="C1131" s="69" t="s">
        <v>1946</v>
      </c>
      <c r="D1131" s="71" t="s">
        <v>2392</v>
      </c>
      <c r="E1131" s="69" t="s">
        <v>2388</v>
      </c>
      <c r="F1131" s="69"/>
      <c r="G1131" s="69">
        <v>0</v>
      </c>
      <c r="H1131" s="69" t="s">
        <v>2412</v>
      </c>
      <c r="I1131" s="69" t="s">
        <v>2410</v>
      </c>
      <c r="J1131" s="69" t="s">
        <v>2408</v>
      </c>
      <c r="K1131" s="69" t="s">
        <v>3009</v>
      </c>
      <c r="L1131" s="72" t="s">
        <v>2392</v>
      </c>
      <c r="M1131" s="72" t="b">
        <f>L1131=D1131</f>
        <v>1</v>
      </c>
    </row>
    <row r="1132" spans="1:13" x14ac:dyDescent="0.25">
      <c r="A1132" s="69" t="s">
        <v>2050</v>
      </c>
      <c r="B1132" s="70" t="s">
        <v>3162</v>
      </c>
      <c r="C1132" s="69" t="s">
        <v>2943</v>
      </c>
      <c r="D1132" s="71" t="s">
        <v>2387</v>
      </c>
      <c r="E1132" s="69" t="s">
        <v>2388</v>
      </c>
      <c r="F1132" s="69">
        <v>30</v>
      </c>
      <c r="G1132" s="69">
        <v>45</v>
      </c>
      <c r="H1132" s="69" t="s">
        <v>2391</v>
      </c>
      <c r="I1132" s="69" t="s">
        <v>2431</v>
      </c>
      <c r="J1132" s="69" t="s">
        <v>2461</v>
      </c>
      <c r="K1132" s="69"/>
      <c r="L1132" s="72" t="s">
        <v>2387</v>
      </c>
      <c r="M1132" s="72" t="b">
        <f>L1132=D1132</f>
        <v>1</v>
      </c>
    </row>
    <row r="1133" spans="1:13" x14ac:dyDescent="0.25">
      <c r="A1133" s="69" t="s">
        <v>2364</v>
      </c>
      <c r="B1133" s="70"/>
      <c r="C1133" s="69"/>
      <c r="D1133" s="71" t="s">
        <v>2387</v>
      </c>
      <c r="E1133" s="69" t="s">
        <v>2393</v>
      </c>
      <c r="F1133" s="69"/>
      <c r="G1133" s="69">
        <v>0</v>
      </c>
      <c r="H1133" s="69" t="s">
        <v>2412</v>
      </c>
      <c r="I1133" s="69" t="s">
        <v>2410</v>
      </c>
      <c r="J1133" s="69" t="s">
        <v>2408</v>
      </c>
      <c r="K1133" s="69" t="s">
        <v>3009</v>
      </c>
      <c r="L1133" s="72" t="s">
        <v>2387</v>
      </c>
      <c r="M1133" s="72" t="b">
        <f>L1133=D1133</f>
        <v>1</v>
      </c>
    </row>
    <row r="1134" spans="1:13" x14ac:dyDescent="0.25">
      <c r="A1134" s="69" t="s">
        <v>2141</v>
      </c>
      <c r="B1134" s="70"/>
      <c r="C1134" s="69"/>
      <c r="D1134" s="71" t="s">
        <v>2387</v>
      </c>
      <c r="E1134" s="69" t="s">
        <v>2393</v>
      </c>
      <c r="F1134" s="69">
        <v>30</v>
      </c>
      <c r="G1134" s="69">
        <v>0</v>
      </c>
      <c r="H1134" s="69" t="s">
        <v>2412</v>
      </c>
      <c r="I1134" s="69" t="s">
        <v>2410</v>
      </c>
      <c r="J1134" s="69" t="s">
        <v>2410</v>
      </c>
      <c r="K1134" s="69" t="s">
        <v>3108</v>
      </c>
      <c r="L1134" s="72" t="s">
        <v>2392</v>
      </c>
      <c r="M1134" s="72" t="b">
        <f>L1134=D1134</f>
        <v>0</v>
      </c>
    </row>
    <row r="1135" spans="1:13" x14ac:dyDescent="0.25">
      <c r="A1135" s="69" t="s">
        <v>2247</v>
      </c>
      <c r="B1135" s="70">
        <v>44000619</v>
      </c>
      <c r="C1135" s="69" t="s">
        <v>2462</v>
      </c>
      <c r="D1135" s="71" t="s">
        <v>2387</v>
      </c>
      <c r="E1135" s="69" t="s">
        <v>2388</v>
      </c>
      <c r="F1135" s="69">
        <v>30</v>
      </c>
      <c r="G1135" s="69">
        <v>60</v>
      </c>
      <c r="H1135" s="69" t="s">
        <v>2391</v>
      </c>
      <c r="I1135" s="69" t="s">
        <v>2431</v>
      </c>
      <c r="J1135" s="69" t="s">
        <v>2461</v>
      </c>
      <c r="K1135" s="69"/>
    </row>
    <row r="1136" spans="1:13" x14ac:dyDescent="0.25">
      <c r="A1136" s="80" t="s">
        <v>2250</v>
      </c>
      <c r="B1136" s="70">
        <v>44000010</v>
      </c>
      <c r="C1136" s="69" t="s">
        <v>28</v>
      </c>
      <c r="D1136" s="71" t="s">
        <v>2387</v>
      </c>
      <c r="E1136" s="69" t="s">
        <v>2388</v>
      </c>
      <c r="F1136" s="69">
        <v>30</v>
      </c>
      <c r="G1136" s="69">
        <v>60</v>
      </c>
      <c r="H1136" s="69" t="s">
        <v>2399</v>
      </c>
      <c r="I1136" s="69" t="s">
        <v>2471</v>
      </c>
      <c r="J1136" s="69" t="s">
        <v>2415</v>
      </c>
      <c r="K1136" s="69"/>
    </row>
    <row r="1137" spans="1:13" x14ac:dyDescent="0.25">
      <c r="A1137" s="80" t="s">
        <v>2249</v>
      </c>
      <c r="B1137" s="70">
        <v>44000010</v>
      </c>
      <c r="C1137" s="69" t="s">
        <v>28</v>
      </c>
      <c r="D1137" s="71" t="s">
        <v>2387</v>
      </c>
      <c r="E1137" s="69" t="s">
        <v>2388</v>
      </c>
      <c r="F1137" s="69">
        <v>30</v>
      </c>
      <c r="G1137" s="69">
        <v>60</v>
      </c>
      <c r="H1137" s="69" t="s">
        <v>2399</v>
      </c>
      <c r="I1137" s="69" t="s">
        <v>2471</v>
      </c>
      <c r="J1137" s="69" t="s">
        <v>2415</v>
      </c>
      <c r="K1137" s="69"/>
    </row>
    <row r="1138" spans="1:13" x14ac:dyDescent="0.25">
      <c r="A1138" s="69" t="s">
        <v>402</v>
      </c>
      <c r="B1138" s="70" t="s">
        <v>3163</v>
      </c>
      <c r="C1138" s="69" t="s">
        <v>2992</v>
      </c>
      <c r="D1138" s="71" t="s">
        <v>2961</v>
      </c>
      <c r="E1138" s="69" t="s">
        <v>2388</v>
      </c>
      <c r="F1138" s="69">
        <v>15</v>
      </c>
      <c r="G1138" s="69">
        <v>90</v>
      </c>
      <c r="H1138" s="69" t="s">
        <v>2399</v>
      </c>
      <c r="I1138" s="69" t="s">
        <v>2405</v>
      </c>
      <c r="J1138" s="69" t="s">
        <v>2406</v>
      </c>
      <c r="K1138" s="69"/>
      <c r="L1138" s="72" t="s">
        <v>2392</v>
      </c>
      <c r="M1138" s="72" t="b">
        <f>L1138=D1138</f>
        <v>0</v>
      </c>
    </row>
    <row r="1139" spans="1:13" x14ac:dyDescent="0.25">
      <c r="A1139" s="69" t="s">
        <v>2140</v>
      </c>
      <c r="B1139" s="70">
        <v>40004587</v>
      </c>
      <c r="C1139" s="69" t="s">
        <v>963</v>
      </c>
      <c r="D1139" s="71" t="s">
        <v>2392</v>
      </c>
      <c r="E1139" s="69" t="s">
        <v>2393</v>
      </c>
      <c r="F1139" s="69"/>
      <c r="G1139" s="69"/>
      <c r="H1139" s="69" t="s">
        <v>2399</v>
      </c>
      <c r="I1139" s="69" t="s">
        <v>2394</v>
      </c>
      <c r="J1139" s="69"/>
      <c r="K1139" s="69" t="s">
        <v>3082</v>
      </c>
    </row>
    <row r="1140" spans="1:13" x14ac:dyDescent="0.25">
      <c r="A1140" s="69" t="s">
        <v>2113</v>
      </c>
      <c r="B1140" s="70"/>
      <c r="C1140" s="69" t="s">
        <v>963</v>
      </c>
      <c r="D1140" s="71" t="s">
        <v>2392</v>
      </c>
      <c r="E1140" s="69" t="s">
        <v>2393</v>
      </c>
      <c r="F1140" s="69"/>
      <c r="G1140" s="69"/>
      <c r="H1140" s="69" t="s">
        <v>2399</v>
      </c>
      <c r="I1140" s="69" t="s">
        <v>2394</v>
      </c>
      <c r="J1140" s="69"/>
      <c r="K1140" s="69" t="s">
        <v>3082</v>
      </c>
    </row>
    <row r="1141" spans="1:13" x14ac:dyDescent="0.25">
      <c r="A1141" s="69" t="s">
        <v>2136</v>
      </c>
      <c r="B1141" s="70"/>
      <c r="C1141" s="69" t="s">
        <v>963</v>
      </c>
      <c r="D1141" s="71" t="s">
        <v>2392</v>
      </c>
      <c r="E1141" s="69" t="s">
        <v>2393</v>
      </c>
      <c r="F1141" s="69"/>
      <c r="G1141" s="69"/>
      <c r="H1141" s="69" t="s">
        <v>2399</v>
      </c>
      <c r="I1141" s="69" t="s">
        <v>2394</v>
      </c>
      <c r="J1141" s="69"/>
      <c r="K1141" s="69" t="s">
        <v>3082</v>
      </c>
    </row>
    <row r="1142" spans="1:13" x14ac:dyDescent="0.25">
      <c r="A1142" s="69" t="s">
        <v>2197</v>
      </c>
      <c r="B1142" s="70">
        <v>44001733</v>
      </c>
      <c r="C1142" s="69" t="s">
        <v>41</v>
      </c>
      <c r="D1142" s="71" t="s">
        <v>2961</v>
      </c>
      <c r="E1142" s="69" t="s">
        <v>2388</v>
      </c>
      <c r="F1142" s="69">
        <v>30</v>
      </c>
      <c r="G1142" s="69">
        <v>45</v>
      </c>
      <c r="H1142" s="69" t="s">
        <v>2472</v>
      </c>
      <c r="I1142" s="69" t="s">
        <v>2429</v>
      </c>
      <c r="J1142" s="69" t="s">
        <v>2554</v>
      </c>
      <c r="K1142" s="69" t="s">
        <v>3164</v>
      </c>
    </row>
    <row r="1143" spans="1:13" x14ac:dyDescent="0.25">
      <c r="A1143" s="69" t="s">
        <v>2951</v>
      </c>
      <c r="B1143" s="70"/>
      <c r="C1143" s="69"/>
      <c r="D1143" s="71" t="s">
        <v>2387</v>
      </c>
      <c r="E1143" s="69" t="s">
        <v>2388</v>
      </c>
      <c r="F1143" s="69">
        <v>30</v>
      </c>
      <c r="G1143" s="69">
        <v>60</v>
      </c>
      <c r="H1143" s="69" t="s">
        <v>2399</v>
      </c>
      <c r="I1143" s="69" t="s">
        <v>2479</v>
      </c>
      <c r="J1143" s="69"/>
      <c r="K1143" s="69"/>
    </row>
    <row r="1144" spans="1:13" x14ac:dyDescent="0.25">
      <c r="A1144" s="69" t="s">
        <v>2007</v>
      </c>
      <c r="B1144" s="70" t="s">
        <v>3165</v>
      </c>
      <c r="C1144" s="69" t="s">
        <v>3166</v>
      </c>
      <c r="D1144" s="71" t="s">
        <v>2387</v>
      </c>
      <c r="E1144" s="69" t="s">
        <v>2388</v>
      </c>
      <c r="F1144" s="69">
        <v>30</v>
      </c>
      <c r="G1144" s="69">
        <v>30</v>
      </c>
      <c r="H1144" s="69" t="s">
        <v>2391</v>
      </c>
      <c r="I1144" s="69" t="s">
        <v>2431</v>
      </c>
      <c r="J1144" s="69" t="s">
        <v>2432</v>
      </c>
      <c r="K1144" s="69"/>
    </row>
    <row r="1145" spans="1:13" x14ac:dyDescent="0.25">
      <c r="A1145" s="69" t="s">
        <v>2952</v>
      </c>
      <c r="B1145" s="70" t="s">
        <v>3167</v>
      </c>
      <c r="C1145" s="69" t="s">
        <v>749</v>
      </c>
      <c r="D1145" s="71" t="s">
        <v>2387</v>
      </c>
      <c r="E1145" s="69" t="s">
        <v>2393</v>
      </c>
      <c r="F1145" s="69">
        <v>60</v>
      </c>
      <c r="G1145" s="69">
        <v>180</v>
      </c>
      <c r="H1145" s="69" t="s">
        <v>2399</v>
      </c>
      <c r="I1145" s="69" t="s">
        <v>2394</v>
      </c>
      <c r="J1145" s="69"/>
      <c r="K1145" s="69"/>
    </row>
    <row r="1146" spans="1:13" x14ac:dyDescent="0.25">
      <c r="A1146" s="69" t="s">
        <v>2953</v>
      </c>
      <c r="B1146" s="70" t="s">
        <v>3167</v>
      </c>
      <c r="C1146" s="69" t="s">
        <v>749</v>
      </c>
      <c r="D1146" s="71" t="s">
        <v>2387</v>
      </c>
      <c r="E1146" s="69" t="s">
        <v>2393</v>
      </c>
      <c r="F1146" s="69">
        <v>60</v>
      </c>
      <c r="G1146" s="69">
        <v>180</v>
      </c>
      <c r="H1146" s="69" t="s">
        <v>2399</v>
      </c>
      <c r="I1146" s="69" t="s">
        <v>2394</v>
      </c>
      <c r="J1146" s="69"/>
      <c r="K1146" s="69"/>
    </row>
    <row r="1147" spans="1:13" x14ac:dyDescent="0.25">
      <c r="A1147" s="69" t="s">
        <v>2954</v>
      </c>
      <c r="B1147" s="70" t="s">
        <v>3167</v>
      </c>
      <c r="C1147" s="69" t="s">
        <v>749</v>
      </c>
      <c r="D1147" s="71" t="s">
        <v>2387</v>
      </c>
      <c r="E1147" s="69" t="s">
        <v>2393</v>
      </c>
      <c r="F1147" s="69">
        <v>60</v>
      </c>
      <c r="G1147" s="69">
        <v>180</v>
      </c>
      <c r="H1147" s="69" t="s">
        <v>2399</v>
      </c>
      <c r="I1147" s="69" t="s">
        <v>2394</v>
      </c>
      <c r="J1147" s="69"/>
      <c r="K1147" s="69"/>
    </row>
    <row r="1148" spans="1:13" x14ac:dyDescent="0.25">
      <c r="A1148" s="69" t="s">
        <v>225</v>
      </c>
      <c r="B1148" s="70" t="s">
        <v>3153</v>
      </c>
      <c r="C1148" s="69" t="s">
        <v>1847</v>
      </c>
      <c r="D1148" s="71" t="s">
        <v>2387</v>
      </c>
      <c r="E1148" s="69" t="s">
        <v>2388</v>
      </c>
      <c r="F1148" s="69">
        <v>30</v>
      </c>
      <c r="G1148" s="69">
        <v>60</v>
      </c>
      <c r="H1148" s="69" t="s">
        <v>2399</v>
      </c>
      <c r="I1148" s="69" t="s">
        <v>2479</v>
      </c>
      <c r="J1148" s="69" t="s">
        <v>2424</v>
      </c>
      <c r="K1148" s="69"/>
    </row>
    <row r="1149" spans="1:13" x14ac:dyDescent="0.25">
      <c r="A1149" s="69" t="s">
        <v>222</v>
      </c>
      <c r="B1149" s="70" t="s">
        <v>3153</v>
      </c>
      <c r="C1149" s="69" t="s">
        <v>1847</v>
      </c>
      <c r="D1149" s="71" t="s">
        <v>2387</v>
      </c>
      <c r="E1149" s="69" t="s">
        <v>2388</v>
      </c>
      <c r="F1149" s="69">
        <v>30</v>
      </c>
      <c r="G1149" s="69">
        <v>60</v>
      </c>
      <c r="H1149" s="69" t="s">
        <v>2399</v>
      </c>
      <c r="I1149" s="69" t="s">
        <v>2479</v>
      </c>
      <c r="J1149" s="69" t="s">
        <v>2424</v>
      </c>
      <c r="K1149" s="69"/>
    </row>
    <row r="1150" spans="1:13" x14ac:dyDescent="0.25">
      <c r="A1150" s="69" t="s">
        <v>219</v>
      </c>
      <c r="B1150" s="70" t="s">
        <v>3153</v>
      </c>
      <c r="C1150" s="69" t="s">
        <v>1847</v>
      </c>
      <c r="D1150" s="71" t="s">
        <v>2387</v>
      </c>
      <c r="E1150" s="69" t="s">
        <v>2388</v>
      </c>
      <c r="F1150" s="69">
        <v>30</v>
      </c>
      <c r="G1150" s="69">
        <v>60</v>
      </c>
      <c r="H1150" s="69" t="s">
        <v>2399</v>
      </c>
      <c r="I1150" s="69" t="s">
        <v>2479</v>
      </c>
      <c r="J1150" s="69" t="s">
        <v>2424</v>
      </c>
      <c r="K1150" s="69"/>
    </row>
    <row r="1151" spans="1:13" x14ac:dyDescent="0.25">
      <c r="A1151" s="69" t="s">
        <v>2225</v>
      </c>
      <c r="B1151" s="70" t="s">
        <v>3153</v>
      </c>
      <c r="C1151" s="69" t="s">
        <v>1847</v>
      </c>
      <c r="D1151" s="71" t="s">
        <v>2387</v>
      </c>
      <c r="E1151" s="69" t="s">
        <v>2388</v>
      </c>
      <c r="F1151" s="69">
        <v>30</v>
      </c>
      <c r="G1151" s="69">
        <v>60</v>
      </c>
      <c r="H1151" s="69" t="s">
        <v>2399</v>
      </c>
      <c r="I1151" s="69" t="s">
        <v>2479</v>
      </c>
      <c r="J1151" s="69" t="s">
        <v>2424</v>
      </c>
      <c r="K1151" s="69"/>
    </row>
    <row r="1152" spans="1:13" x14ac:dyDescent="0.25">
      <c r="A1152" s="69" t="s">
        <v>216</v>
      </c>
      <c r="B1152" s="70" t="s">
        <v>3153</v>
      </c>
      <c r="C1152" s="69" t="s">
        <v>1847</v>
      </c>
      <c r="D1152" s="71" t="s">
        <v>2387</v>
      </c>
      <c r="E1152" s="69" t="s">
        <v>2388</v>
      </c>
      <c r="F1152" s="69">
        <v>30</v>
      </c>
      <c r="G1152" s="69">
        <v>60</v>
      </c>
      <c r="H1152" s="69" t="s">
        <v>2399</v>
      </c>
      <c r="I1152" s="69" t="s">
        <v>2479</v>
      </c>
      <c r="J1152" s="69" t="s">
        <v>2424</v>
      </c>
      <c r="K1152" s="69"/>
    </row>
    <row r="1153" spans="1:11" x14ac:dyDescent="0.25">
      <c r="A1153" s="69" t="s">
        <v>2224</v>
      </c>
      <c r="B1153" s="70" t="s">
        <v>3153</v>
      </c>
      <c r="C1153" s="69" t="s">
        <v>1847</v>
      </c>
      <c r="D1153" s="71" t="s">
        <v>2387</v>
      </c>
      <c r="E1153" s="69" t="s">
        <v>2388</v>
      </c>
      <c r="F1153" s="69">
        <v>30</v>
      </c>
      <c r="G1153" s="69">
        <v>60</v>
      </c>
      <c r="H1153" s="69" t="s">
        <v>2399</v>
      </c>
      <c r="I1153" s="69" t="s">
        <v>2479</v>
      </c>
      <c r="J1153" s="69" t="s">
        <v>2424</v>
      </c>
      <c r="K1153" s="69"/>
    </row>
    <row r="1154" spans="1:11" x14ac:dyDescent="0.25">
      <c r="A1154" s="69" t="s">
        <v>2223</v>
      </c>
      <c r="B1154" s="70" t="s">
        <v>3153</v>
      </c>
      <c r="C1154" s="69" t="s">
        <v>1847</v>
      </c>
      <c r="D1154" s="71" t="s">
        <v>2387</v>
      </c>
      <c r="E1154" s="69" t="s">
        <v>2388</v>
      </c>
      <c r="F1154" s="69">
        <v>30</v>
      </c>
      <c r="G1154" s="69">
        <v>60</v>
      </c>
      <c r="H1154" s="69" t="s">
        <v>2399</v>
      </c>
      <c r="I1154" s="69" t="s">
        <v>2479</v>
      </c>
      <c r="J1154" s="69" t="s">
        <v>2424</v>
      </c>
      <c r="K1154" s="69"/>
    </row>
    <row r="1155" spans="1:11" x14ac:dyDescent="0.25">
      <c r="A1155" s="69" t="s">
        <v>199</v>
      </c>
      <c r="B1155" s="70" t="s">
        <v>3153</v>
      </c>
      <c r="C1155" s="69" t="s">
        <v>1847</v>
      </c>
      <c r="D1155" s="71" t="s">
        <v>2387</v>
      </c>
      <c r="E1155" s="69" t="s">
        <v>2388</v>
      </c>
      <c r="F1155" s="69">
        <v>30</v>
      </c>
      <c r="G1155" s="69">
        <v>60</v>
      </c>
      <c r="H1155" s="69" t="s">
        <v>2399</v>
      </c>
      <c r="I1155" s="69" t="s">
        <v>2479</v>
      </c>
      <c r="J1155" s="69" t="s">
        <v>2424</v>
      </c>
      <c r="K1155" s="69"/>
    </row>
    <row r="1156" spans="1:11" x14ac:dyDescent="0.25">
      <c r="A1156" s="69" t="s">
        <v>2235</v>
      </c>
      <c r="B1156" s="70" t="s">
        <v>3153</v>
      </c>
      <c r="C1156" s="69" t="s">
        <v>1847</v>
      </c>
      <c r="D1156" s="71" t="s">
        <v>2387</v>
      </c>
      <c r="E1156" s="69" t="s">
        <v>2388</v>
      </c>
      <c r="F1156" s="69">
        <v>30</v>
      </c>
      <c r="G1156" s="69">
        <v>60</v>
      </c>
      <c r="H1156" s="69" t="s">
        <v>2412</v>
      </c>
      <c r="I1156" s="69" t="s">
        <v>2479</v>
      </c>
      <c r="J1156" s="69" t="s">
        <v>2424</v>
      </c>
      <c r="K1156" s="69" t="s">
        <v>3026</v>
      </c>
    </row>
    <row r="1157" spans="1:11" x14ac:dyDescent="0.25">
      <c r="A1157" s="69" t="s">
        <v>2234</v>
      </c>
      <c r="B1157" s="70" t="s">
        <v>3153</v>
      </c>
      <c r="C1157" s="69" t="s">
        <v>1847</v>
      </c>
      <c r="D1157" s="71" t="s">
        <v>2387</v>
      </c>
      <c r="E1157" s="69" t="s">
        <v>2388</v>
      </c>
      <c r="F1157" s="69">
        <v>30</v>
      </c>
      <c r="G1157" s="69">
        <v>60</v>
      </c>
      <c r="H1157" s="69" t="s">
        <v>2412</v>
      </c>
      <c r="I1157" s="69" t="s">
        <v>2479</v>
      </c>
      <c r="J1157" s="69" t="s">
        <v>2424</v>
      </c>
      <c r="K1157" s="69" t="s">
        <v>3026</v>
      </c>
    </row>
    <row r="1158" spans="1:11" x14ac:dyDescent="0.25">
      <c r="A1158" s="69" t="s">
        <v>2300</v>
      </c>
      <c r="B1158" s="70" t="s">
        <v>3153</v>
      </c>
      <c r="C1158" s="69" t="s">
        <v>1847</v>
      </c>
      <c r="D1158" s="71" t="s">
        <v>2387</v>
      </c>
      <c r="E1158" s="69" t="s">
        <v>2388</v>
      </c>
      <c r="F1158" s="69">
        <v>30</v>
      </c>
      <c r="G1158" s="69">
        <v>60</v>
      </c>
      <c r="H1158" s="69" t="s">
        <v>2399</v>
      </c>
      <c r="I1158" s="69" t="s">
        <v>2479</v>
      </c>
      <c r="J1158" s="69" t="s">
        <v>2424</v>
      </c>
      <c r="K1158" s="69"/>
    </row>
    <row r="1159" spans="1:11" x14ac:dyDescent="0.25">
      <c r="A1159" s="69" t="s">
        <v>166</v>
      </c>
      <c r="B1159" s="70" t="s">
        <v>3153</v>
      </c>
      <c r="C1159" s="69" t="s">
        <v>1847</v>
      </c>
      <c r="D1159" s="71" t="s">
        <v>2387</v>
      </c>
      <c r="E1159" s="69" t="s">
        <v>2388</v>
      </c>
      <c r="F1159" s="69">
        <v>30</v>
      </c>
      <c r="G1159" s="69">
        <v>60</v>
      </c>
      <c r="H1159" s="69" t="s">
        <v>2399</v>
      </c>
      <c r="I1159" s="69" t="s">
        <v>2479</v>
      </c>
      <c r="J1159" s="69" t="s">
        <v>2424</v>
      </c>
      <c r="K1159" s="69"/>
    </row>
    <row r="1160" spans="1:11" x14ac:dyDescent="0.25">
      <c r="A1160" s="69" t="s">
        <v>163</v>
      </c>
      <c r="B1160" s="70" t="s">
        <v>3153</v>
      </c>
      <c r="C1160" s="69" t="s">
        <v>1847</v>
      </c>
      <c r="D1160" s="71" t="s">
        <v>2387</v>
      </c>
      <c r="E1160" s="69" t="s">
        <v>2388</v>
      </c>
      <c r="F1160" s="69">
        <v>30</v>
      </c>
      <c r="G1160" s="69">
        <v>60</v>
      </c>
      <c r="H1160" s="69" t="s">
        <v>2399</v>
      </c>
      <c r="I1160" s="69" t="s">
        <v>2479</v>
      </c>
      <c r="J1160" s="69" t="s">
        <v>2424</v>
      </c>
      <c r="K1160" s="69"/>
    </row>
    <row r="1161" spans="1:11" x14ac:dyDescent="0.25">
      <c r="A1161" s="69" t="s">
        <v>160</v>
      </c>
      <c r="B1161" s="70" t="s">
        <v>3153</v>
      </c>
      <c r="C1161" s="69" t="s">
        <v>1847</v>
      </c>
      <c r="D1161" s="71" t="s">
        <v>2387</v>
      </c>
      <c r="E1161" s="69" t="s">
        <v>2388</v>
      </c>
      <c r="F1161" s="69">
        <v>30</v>
      </c>
      <c r="G1161" s="69">
        <v>60</v>
      </c>
      <c r="H1161" s="69" t="s">
        <v>2399</v>
      </c>
      <c r="I1161" s="69" t="s">
        <v>2479</v>
      </c>
      <c r="J1161" s="69" t="s">
        <v>2424</v>
      </c>
      <c r="K1161" s="69"/>
    </row>
    <row r="1162" spans="1:11" x14ac:dyDescent="0.25">
      <c r="A1162" s="69" t="s">
        <v>157</v>
      </c>
      <c r="B1162" s="70" t="s">
        <v>3153</v>
      </c>
      <c r="C1162" s="69" t="s">
        <v>1847</v>
      </c>
      <c r="D1162" s="71" t="s">
        <v>2387</v>
      </c>
      <c r="E1162" s="69" t="s">
        <v>2388</v>
      </c>
      <c r="F1162" s="69">
        <v>30</v>
      </c>
      <c r="G1162" s="69">
        <v>60</v>
      </c>
      <c r="H1162" s="69" t="s">
        <v>2399</v>
      </c>
      <c r="I1162" s="69" t="s">
        <v>2479</v>
      </c>
      <c r="J1162" s="69" t="s">
        <v>2424</v>
      </c>
      <c r="K1162" s="69"/>
    </row>
    <row r="1163" spans="1:11" x14ac:dyDescent="0.25">
      <c r="A1163" s="69" t="s">
        <v>154</v>
      </c>
      <c r="B1163" s="70" t="s">
        <v>3153</v>
      </c>
      <c r="C1163" s="69" t="s">
        <v>1847</v>
      </c>
      <c r="D1163" s="71" t="s">
        <v>2387</v>
      </c>
      <c r="E1163" s="69" t="s">
        <v>2388</v>
      </c>
      <c r="F1163" s="69">
        <v>30</v>
      </c>
      <c r="G1163" s="69">
        <v>60</v>
      </c>
      <c r="H1163" s="69" t="s">
        <v>2399</v>
      </c>
      <c r="I1163" s="69" t="s">
        <v>2479</v>
      </c>
      <c r="J1163" s="69" t="s">
        <v>2424</v>
      </c>
      <c r="K1163" s="69"/>
    </row>
    <row r="1164" spans="1:11" x14ac:dyDescent="0.25">
      <c r="A1164" s="69" t="s">
        <v>151</v>
      </c>
      <c r="B1164" s="70" t="s">
        <v>3153</v>
      </c>
      <c r="C1164" s="69" t="s">
        <v>1847</v>
      </c>
      <c r="D1164" s="71" t="s">
        <v>2387</v>
      </c>
      <c r="E1164" s="69" t="s">
        <v>2388</v>
      </c>
      <c r="F1164" s="69">
        <v>30</v>
      </c>
      <c r="G1164" s="69">
        <v>60</v>
      </c>
      <c r="H1164" s="69" t="s">
        <v>2399</v>
      </c>
      <c r="I1164" s="69" t="s">
        <v>2479</v>
      </c>
      <c r="J1164" s="69" t="s">
        <v>2424</v>
      </c>
      <c r="K1164" s="69"/>
    </row>
    <row r="1165" spans="1:11" x14ac:dyDescent="0.25">
      <c r="A1165" s="69" t="s">
        <v>2355</v>
      </c>
      <c r="B1165" s="70" t="s">
        <v>3153</v>
      </c>
      <c r="C1165" s="69" t="s">
        <v>1847</v>
      </c>
      <c r="D1165" s="71" t="s">
        <v>2387</v>
      </c>
      <c r="E1165" s="69" t="s">
        <v>2388</v>
      </c>
      <c r="F1165" s="69">
        <v>30</v>
      </c>
      <c r="G1165" s="69">
        <v>60</v>
      </c>
      <c r="H1165" s="69" t="s">
        <v>2412</v>
      </c>
      <c r="I1165" s="69" t="s">
        <v>2479</v>
      </c>
      <c r="J1165" s="69" t="s">
        <v>3027</v>
      </c>
      <c r="K1165" s="69" t="s">
        <v>3026</v>
      </c>
    </row>
    <row r="1166" spans="1:11" x14ac:dyDescent="0.25">
      <c r="A1166" s="69" t="s">
        <v>2092</v>
      </c>
      <c r="B1166" s="70" t="s">
        <v>3153</v>
      </c>
      <c r="C1166" s="69" t="s">
        <v>1847</v>
      </c>
      <c r="D1166" s="71" t="s">
        <v>2387</v>
      </c>
      <c r="E1166" s="69" t="s">
        <v>2388</v>
      </c>
      <c r="F1166" s="69">
        <v>30</v>
      </c>
      <c r="G1166" s="69">
        <v>60</v>
      </c>
      <c r="H1166" s="69" t="s">
        <v>2399</v>
      </c>
      <c r="I1166" s="69" t="s">
        <v>2479</v>
      </c>
      <c r="J1166" s="69" t="s">
        <v>2424</v>
      </c>
      <c r="K1166" s="69"/>
    </row>
    <row r="1167" spans="1:11" x14ac:dyDescent="0.25">
      <c r="A1167" s="69" t="s">
        <v>136</v>
      </c>
      <c r="B1167" s="70" t="s">
        <v>3153</v>
      </c>
      <c r="C1167" s="69" t="s">
        <v>1847</v>
      </c>
      <c r="D1167" s="71" t="s">
        <v>2387</v>
      </c>
      <c r="E1167" s="69" t="s">
        <v>2388</v>
      </c>
      <c r="F1167" s="69">
        <v>30</v>
      </c>
      <c r="G1167" s="69">
        <v>60</v>
      </c>
      <c r="H1167" s="69" t="s">
        <v>2399</v>
      </c>
      <c r="I1167" s="69" t="s">
        <v>2479</v>
      </c>
      <c r="J1167" s="69" t="s">
        <v>2424</v>
      </c>
      <c r="K1167" s="69"/>
    </row>
    <row r="1168" spans="1:11" x14ac:dyDescent="0.25">
      <c r="A1168" s="69" t="s">
        <v>133</v>
      </c>
      <c r="B1168" s="70" t="s">
        <v>3153</v>
      </c>
      <c r="C1168" s="69" t="s">
        <v>1847</v>
      </c>
      <c r="D1168" s="71" t="s">
        <v>2387</v>
      </c>
      <c r="E1168" s="69" t="s">
        <v>2388</v>
      </c>
      <c r="F1168" s="69">
        <v>30</v>
      </c>
      <c r="G1168" s="69">
        <v>60</v>
      </c>
      <c r="H1168" s="69" t="s">
        <v>2399</v>
      </c>
      <c r="I1168" s="69" t="s">
        <v>2479</v>
      </c>
      <c r="J1168" s="69" t="s">
        <v>2424</v>
      </c>
      <c r="K1168" s="69"/>
    </row>
    <row r="1169" spans="1:11" x14ac:dyDescent="0.25">
      <c r="A1169" s="69" t="s">
        <v>2301</v>
      </c>
      <c r="B1169" s="70" t="s">
        <v>3153</v>
      </c>
      <c r="C1169" s="69" t="s">
        <v>1847</v>
      </c>
      <c r="D1169" s="71" t="s">
        <v>2387</v>
      </c>
      <c r="E1169" s="69" t="s">
        <v>2388</v>
      </c>
      <c r="F1169" s="69">
        <v>30</v>
      </c>
      <c r="G1169" s="69">
        <v>60</v>
      </c>
      <c r="H1169" s="69" t="s">
        <v>2399</v>
      </c>
      <c r="I1169" s="69" t="s">
        <v>2479</v>
      </c>
      <c r="J1169" s="69" t="s">
        <v>2424</v>
      </c>
      <c r="K1169" s="69"/>
    </row>
    <row r="1170" spans="1:11" x14ac:dyDescent="0.25">
      <c r="A1170" s="69" t="s">
        <v>114</v>
      </c>
      <c r="B1170" s="70" t="s">
        <v>3153</v>
      </c>
      <c r="C1170" s="69" t="s">
        <v>1847</v>
      </c>
      <c r="D1170" s="71" t="s">
        <v>2387</v>
      </c>
      <c r="E1170" s="69" t="s">
        <v>2388</v>
      </c>
      <c r="F1170" s="69">
        <v>30</v>
      </c>
      <c r="G1170" s="69">
        <v>60</v>
      </c>
      <c r="H1170" s="69" t="s">
        <v>2399</v>
      </c>
      <c r="I1170" s="69" t="s">
        <v>2479</v>
      </c>
      <c r="J1170" s="69" t="s">
        <v>2424</v>
      </c>
      <c r="K1170" s="69"/>
    </row>
    <row r="1171" spans="1:11" x14ac:dyDescent="0.25">
      <c r="A1171" s="69" t="s">
        <v>109</v>
      </c>
      <c r="B1171" s="70" t="s">
        <v>3153</v>
      </c>
      <c r="C1171" s="69" t="s">
        <v>1847</v>
      </c>
      <c r="D1171" s="71" t="s">
        <v>2387</v>
      </c>
      <c r="E1171" s="69" t="s">
        <v>2388</v>
      </c>
      <c r="F1171" s="69">
        <v>30</v>
      </c>
      <c r="G1171" s="69">
        <v>60</v>
      </c>
      <c r="H1171" s="69" t="s">
        <v>2399</v>
      </c>
      <c r="I1171" s="69" t="s">
        <v>2479</v>
      </c>
      <c r="J1171" s="69" t="s">
        <v>2424</v>
      </c>
      <c r="K1171" s="69"/>
    </row>
    <row r="1172" spans="1:11" x14ac:dyDescent="0.25">
      <c r="A1172" s="69" t="s">
        <v>2083</v>
      </c>
      <c r="B1172" s="70" t="s">
        <v>3153</v>
      </c>
      <c r="C1172" s="69" t="s">
        <v>1847</v>
      </c>
      <c r="D1172" s="71" t="s">
        <v>2387</v>
      </c>
      <c r="E1172" s="69" t="s">
        <v>2388</v>
      </c>
      <c r="F1172" s="69">
        <v>30</v>
      </c>
      <c r="G1172" s="69">
        <v>60</v>
      </c>
      <c r="H1172" s="69" t="s">
        <v>2412</v>
      </c>
      <c r="I1172" s="69" t="s">
        <v>2479</v>
      </c>
      <c r="J1172" s="69" t="s">
        <v>2424</v>
      </c>
      <c r="K1172" s="69" t="s">
        <v>3026</v>
      </c>
    </row>
    <row r="1173" spans="1:11" x14ac:dyDescent="0.25">
      <c r="A1173" s="69" t="s">
        <v>106</v>
      </c>
      <c r="B1173" s="70" t="s">
        <v>3153</v>
      </c>
      <c r="C1173" s="69" t="s">
        <v>1847</v>
      </c>
      <c r="D1173" s="71" t="s">
        <v>2387</v>
      </c>
      <c r="E1173" s="69" t="s">
        <v>2388</v>
      </c>
      <c r="F1173" s="69">
        <v>30</v>
      </c>
      <c r="G1173" s="69">
        <v>60</v>
      </c>
      <c r="H1173" s="69" t="s">
        <v>2399</v>
      </c>
      <c r="I1173" s="69" t="s">
        <v>2479</v>
      </c>
      <c r="J1173" s="69" t="s">
        <v>2424</v>
      </c>
      <c r="K1173" s="69"/>
    </row>
    <row r="1174" spans="1:11" x14ac:dyDescent="0.25">
      <c r="A1174" s="69" t="s">
        <v>81</v>
      </c>
      <c r="B1174" s="70" t="s">
        <v>3153</v>
      </c>
      <c r="C1174" s="69" t="s">
        <v>1847</v>
      </c>
      <c r="D1174" s="71" t="s">
        <v>2387</v>
      </c>
      <c r="E1174" s="69" t="s">
        <v>2388</v>
      </c>
      <c r="F1174" s="69">
        <v>30</v>
      </c>
      <c r="G1174" s="69">
        <v>60</v>
      </c>
      <c r="H1174" s="69" t="s">
        <v>2399</v>
      </c>
      <c r="I1174" s="69" t="s">
        <v>2479</v>
      </c>
      <c r="J1174" s="69" t="s">
        <v>2424</v>
      </c>
      <c r="K1174" s="69"/>
    </row>
    <row r="1175" spans="1:11" x14ac:dyDescent="0.25">
      <c r="A1175" s="69" t="s">
        <v>78</v>
      </c>
      <c r="B1175" s="70" t="s">
        <v>3153</v>
      </c>
      <c r="C1175" s="69" t="s">
        <v>1847</v>
      </c>
      <c r="D1175" s="71" t="s">
        <v>2387</v>
      </c>
      <c r="E1175" s="69" t="s">
        <v>2388</v>
      </c>
      <c r="F1175" s="69">
        <v>30</v>
      </c>
      <c r="G1175" s="69">
        <v>60</v>
      </c>
      <c r="H1175" s="69" t="s">
        <v>2399</v>
      </c>
      <c r="I1175" s="69" t="s">
        <v>2479</v>
      </c>
      <c r="J1175" s="69" t="s">
        <v>2424</v>
      </c>
      <c r="K1175" s="69"/>
    </row>
    <row r="1176" spans="1:11" x14ac:dyDescent="0.25">
      <c r="A1176" s="69" t="s">
        <v>75</v>
      </c>
      <c r="B1176" s="70" t="s">
        <v>3153</v>
      </c>
      <c r="C1176" s="69" t="s">
        <v>1847</v>
      </c>
      <c r="D1176" s="71" t="s">
        <v>2387</v>
      </c>
      <c r="E1176" s="69" t="s">
        <v>2388</v>
      </c>
      <c r="F1176" s="69">
        <v>30</v>
      </c>
      <c r="G1176" s="69">
        <v>60</v>
      </c>
      <c r="H1176" s="69" t="s">
        <v>2399</v>
      </c>
      <c r="I1176" s="69" t="s">
        <v>2479</v>
      </c>
      <c r="J1176" s="69" t="s">
        <v>2424</v>
      </c>
      <c r="K1176" s="69"/>
    </row>
    <row r="1177" spans="1:11" x14ac:dyDescent="0.25">
      <c r="A1177" s="69" t="s">
        <v>72</v>
      </c>
      <c r="B1177" s="70" t="s">
        <v>3153</v>
      </c>
      <c r="C1177" s="69" t="s">
        <v>1847</v>
      </c>
      <c r="D1177" s="71" t="s">
        <v>2387</v>
      </c>
      <c r="E1177" s="69" t="s">
        <v>2388</v>
      </c>
      <c r="F1177" s="69">
        <v>30</v>
      </c>
      <c r="G1177" s="69">
        <v>60</v>
      </c>
      <c r="H1177" s="69" t="s">
        <v>2399</v>
      </c>
      <c r="I1177" s="69" t="s">
        <v>2479</v>
      </c>
      <c r="J1177" s="69" t="s">
        <v>2424</v>
      </c>
      <c r="K1177" s="69"/>
    </row>
    <row r="1178" spans="1:11" x14ac:dyDescent="0.25">
      <c r="A1178" s="69" t="s">
        <v>69</v>
      </c>
      <c r="B1178" s="70" t="s">
        <v>3153</v>
      </c>
      <c r="C1178" s="69" t="s">
        <v>1847</v>
      </c>
      <c r="D1178" s="71" t="s">
        <v>2387</v>
      </c>
      <c r="E1178" s="69" t="s">
        <v>2388</v>
      </c>
      <c r="F1178" s="69">
        <v>30</v>
      </c>
      <c r="G1178" s="69">
        <v>60</v>
      </c>
      <c r="H1178" s="69" t="s">
        <v>2399</v>
      </c>
      <c r="I1178" s="69" t="s">
        <v>2479</v>
      </c>
      <c r="J1178" s="69" t="s">
        <v>2424</v>
      </c>
      <c r="K1178" s="69"/>
    </row>
    <row r="1179" spans="1:11" x14ac:dyDescent="0.25">
      <c r="A1179" s="69" t="s">
        <v>60</v>
      </c>
      <c r="B1179" s="70" t="s">
        <v>3153</v>
      </c>
      <c r="C1179" s="69" t="s">
        <v>1847</v>
      </c>
      <c r="D1179" s="71" t="s">
        <v>2387</v>
      </c>
      <c r="E1179" s="69" t="s">
        <v>2388</v>
      </c>
      <c r="F1179" s="69">
        <v>30</v>
      </c>
      <c r="G1179" s="69">
        <v>60</v>
      </c>
      <c r="H1179" s="69" t="s">
        <v>2399</v>
      </c>
      <c r="I1179" s="69" t="s">
        <v>2479</v>
      </c>
      <c r="J1179" s="69" t="s">
        <v>2424</v>
      </c>
      <c r="K1179" s="69"/>
    </row>
    <row r="1180" spans="1:11" x14ac:dyDescent="0.25">
      <c r="A1180" s="69" t="s">
        <v>57</v>
      </c>
      <c r="B1180" s="70" t="s">
        <v>3153</v>
      </c>
      <c r="C1180" s="69" t="s">
        <v>1847</v>
      </c>
      <c r="D1180" s="71" t="s">
        <v>2387</v>
      </c>
      <c r="E1180" s="69" t="s">
        <v>2388</v>
      </c>
      <c r="F1180" s="69">
        <v>30</v>
      </c>
      <c r="G1180" s="69">
        <v>60</v>
      </c>
      <c r="H1180" s="69" t="s">
        <v>2399</v>
      </c>
      <c r="I1180" s="69" t="s">
        <v>2479</v>
      </c>
      <c r="J1180" s="69" t="s">
        <v>2424</v>
      </c>
      <c r="K1180" s="69"/>
    </row>
    <row r="1181" spans="1:11" x14ac:dyDescent="0.25">
      <c r="A1181" s="69" t="s">
        <v>54</v>
      </c>
      <c r="B1181" s="70" t="s">
        <v>3153</v>
      </c>
      <c r="C1181" s="69" t="s">
        <v>1847</v>
      </c>
      <c r="D1181" s="71" t="s">
        <v>2387</v>
      </c>
      <c r="E1181" s="69" t="s">
        <v>2388</v>
      </c>
      <c r="F1181" s="69">
        <v>30</v>
      </c>
      <c r="G1181" s="69">
        <v>60</v>
      </c>
      <c r="H1181" s="69" t="s">
        <v>2399</v>
      </c>
      <c r="I1181" s="69" t="s">
        <v>2479</v>
      </c>
      <c r="J1181" s="69" t="s">
        <v>2424</v>
      </c>
      <c r="K1181" s="69"/>
    </row>
    <row r="1182" spans="1:11" x14ac:dyDescent="0.25">
      <c r="A1182" s="69" t="s">
        <v>51</v>
      </c>
      <c r="B1182" s="70" t="s">
        <v>3153</v>
      </c>
      <c r="C1182" s="69" t="s">
        <v>1847</v>
      </c>
      <c r="D1182" s="71" t="s">
        <v>2387</v>
      </c>
      <c r="E1182" s="69" t="s">
        <v>2388</v>
      </c>
      <c r="F1182" s="69">
        <v>30</v>
      </c>
      <c r="G1182" s="69">
        <v>60</v>
      </c>
      <c r="H1182" s="69" t="s">
        <v>2399</v>
      </c>
      <c r="I1182" s="69" t="s">
        <v>2479</v>
      </c>
      <c r="J1182" s="69" t="s">
        <v>2424</v>
      </c>
      <c r="K1182" s="69"/>
    </row>
    <row r="1183" spans="1:11" x14ac:dyDescent="0.25">
      <c r="A1183" s="69" t="s">
        <v>48</v>
      </c>
      <c r="B1183" s="70" t="s">
        <v>3153</v>
      </c>
      <c r="C1183" s="69" t="s">
        <v>1847</v>
      </c>
      <c r="D1183" s="71" t="s">
        <v>2387</v>
      </c>
      <c r="E1183" s="69" t="s">
        <v>2388</v>
      </c>
      <c r="F1183" s="69">
        <v>30</v>
      </c>
      <c r="G1183" s="69">
        <v>60</v>
      </c>
      <c r="H1183" s="69" t="s">
        <v>2399</v>
      </c>
      <c r="I1183" s="69" t="s">
        <v>2479</v>
      </c>
      <c r="J1183" s="69" t="s">
        <v>2424</v>
      </c>
      <c r="K1183" s="69"/>
    </row>
    <row r="1184" spans="1:11" x14ac:dyDescent="0.25">
      <c r="A1184" s="69" t="s">
        <v>45</v>
      </c>
      <c r="B1184" s="70" t="s">
        <v>3153</v>
      </c>
      <c r="C1184" s="69" t="s">
        <v>1847</v>
      </c>
      <c r="D1184" s="71" t="s">
        <v>2387</v>
      </c>
      <c r="E1184" s="69" t="s">
        <v>2388</v>
      </c>
      <c r="F1184" s="69">
        <v>30</v>
      </c>
      <c r="G1184" s="69">
        <v>60</v>
      </c>
      <c r="H1184" s="69" t="s">
        <v>2399</v>
      </c>
      <c r="I1184" s="69" t="s">
        <v>2479</v>
      </c>
      <c r="J1184" s="69" t="s">
        <v>2424</v>
      </c>
      <c r="K1184" s="69"/>
    </row>
    <row r="1185" spans="1:11" x14ac:dyDescent="0.25">
      <c r="A1185" s="69" t="s">
        <v>42</v>
      </c>
      <c r="B1185" s="70" t="s">
        <v>3153</v>
      </c>
      <c r="C1185" s="69" t="s">
        <v>1847</v>
      </c>
      <c r="D1185" s="71" t="s">
        <v>2387</v>
      </c>
      <c r="E1185" s="69" t="s">
        <v>2388</v>
      </c>
      <c r="F1185" s="69">
        <v>30</v>
      </c>
      <c r="G1185" s="69">
        <v>60</v>
      </c>
      <c r="H1185" s="69" t="s">
        <v>2399</v>
      </c>
      <c r="I1185" s="69" t="s">
        <v>2479</v>
      </c>
      <c r="J1185" s="69" t="s">
        <v>2424</v>
      </c>
      <c r="K1185" s="69"/>
    </row>
    <row r="1186" spans="1:11" x14ac:dyDescent="0.25">
      <c r="A1186" s="69" t="s">
        <v>36</v>
      </c>
      <c r="B1186" s="70" t="s">
        <v>3153</v>
      </c>
      <c r="C1186" s="69" t="s">
        <v>1847</v>
      </c>
      <c r="D1186" s="71" t="s">
        <v>2387</v>
      </c>
      <c r="E1186" s="69" t="s">
        <v>2388</v>
      </c>
      <c r="F1186" s="69">
        <v>30</v>
      </c>
      <c r="G1186" s="69">
        <v>60</v>
      </c>
      <c r="H1186" s="69" t="s">
        <v>2399</v>
      </c>
      <c r="I1186" s="69" t="s">
        <v>2479</v>
      </c>
      <c r="J1186" s="69" t="s">
        <v>2424</v>
      </c>
      <c r="K1186" s="69"/>
    </row>
    <row r="1187" spans="1:11" x14ac:dyDescent="0.25">
      <c r="A1187" s="69" t="s">
        <v>33</v>
      </c>
      <c r="B1187" s="70" t="s">
        <v>3153</v>
      </c>
      <c r="C1187" s="69" t="s">
        <v>1847</v>
      </c>
      <c r="D1187" s="71" t="s">
        <v>2387</v>
      </c>
      <c r="E1187" s="69" t="s">
        <v>2388</v>
      </c>
      <c r="F1187" s="69">
        <v>30</v>
      </c>
      <c r="G1187" s="69">
        <v>60</v>
      </c>
      <c r="H1187" s="69" t="s">
        <v>2391</v>
      </c>
      <c r="I1187" s="69" t="s">
        <v>2479</v>
      </c>
      <c r="J1187" s="69" t="s">
        <v>2424</v>
      </c>
      <c r="K1187" s="69"/>
    </row>
    <row r="1188" spans="1:11" x14ac:dyDescent="0.25">
      <c r="A1188" s="69" t="s">
        <v>23</v>
      </c>
      <c r="B1188" s="70" t="s">
        <v>3153</v>
      </c>
      <c r="C1188" s="69" t="s">
        <v>1847</v>
      </c>
      <c r="D1188" s="71" t="s">
        <v>2387</v>
      </c>
      <c r="E1188" s="69" t="s">
        <v>2388</v>
      </c>
      <c r="F1188" s="69">
        <v>30</v>
      </c>
      <c r="G1188" s="69">
        <v>60</v>
      </c>
      <c r="H1188" s="69" t="s">
        <v>2399</v>
      </c>
      <c r="I1188" s="69" t="s">
        <v>2479</v>
      </c>
      <c r="J1188" s="69" t="s">
        <v>2424</v>
      </c>
      <c r="K1188" s="69"/>
    </row>
    <row r="1189" spans="1:11" x14ac:dyDescent="0.25">
      <c r="A1189" s="69" t="s">
        <v>20</v>
      </c>
      <c r="B1189" s="70" t="s">
        <v>3153</v>
      </c>
      <c r="C1189" s="69" t="s">
        <v>1847</v>
      </c>
      <c r="D1189" s="71" t="s">
        <v>2387</v>
      </c>
      <c r="E1189" s="69" t="s">
        <v>2388</v>
      </c>
      <c r="F1189" s="69">
        <v>30</v>
      </c>
      <c r="G1189" s="69">
        <v>60</v>
      </c>
      <c r="H1189" s="69" t="s">
        <v>2399</v>
      </c>
      <c r="I1189" s="69" t="s">
        <v>2479</v>
      </c>
      <c r="J1189" s="69" t="s">
        <v>2424</v>
      </c>
      <c r="K1189" s="69"/>
    </row>
    <row r="1190" spans="1:11" x14ac:dyDescent="0.25">
      <c r="A1190" s="69" t="s">
        <v>17</v>
      </c>
      <c r="B1190" s="70" t="s">
        <v>3153</v>
      </c>
      <c r="C1190" s="69" t="s">
        <v>1847</v>
      </c>
      <c r="D1190" s="71" t="s">
        <v>2387</v>
      </c>
      <c r="E1190" s="69" t="s">
        <v>2388</v>
      </c>
      <c r="F1190" s="69">
        <v>30</v>
      </c>
      <c r="G1190" s="69">
        <v>60</v>
      </c>
      <c r="H1190" s="69" t="s">
        <v>2399</v>
      </c>
      <c r="I1190" s="69" t="s">
        <v>2479</v>
      </c>
      <c r="J1190" s="69" t="s">
        <v>2424</v>
      </c>
      <c r="K1190" s="69"/>
    </row>
    <row r="1191" spans="1:11" x14ac:dyDescent="0.25">
      <c r="A1191" s="69" t="s">
        <v>2005</v>
      </c>
      <c r="B1191" s="70" t="s">
        <v>3153</v>
      </c>
      <c r="C1191" s="69" t="s">
        <v>1847</v>
      </c>
      <c r="D1191" s="71" t="s">
        <v>2387</v>
      </c>
      <c r="E1191" s="69" t="s">
        <v>2388</v>
      </c>
      <c r="F1191" s="69">
        <v>30</v>
      </c>
      <c r="G1191" s="69">
        <v>60</v>
      </c>
      <c r="H1191" s="69" t="s">
        <v>2391</v>
      </c>
      <c r="I1191" s="69" t="s">
        <v>2479</v>
      </c>
      <c r="J1191" s="69" t="s">
        <v>2424</v>
      </c>
      <c r="K1191" s="69"/>
    </row>
    <row r="1192" spans="1:11" x14ac:dyDescent="0.25">
      <c r="A1192" s="69" t="s">
        <v>696</v>
      </c>
      <c r="B1192" s="70" t="s">
        <v>3153</v>
      </c>
      <c r="C1192" s="69" t="s">
        <v>1847</v>
      </c>
      <c r="D1192" s="71" t="s">
        <v>2387</v>
      </c>
      <c r="E1192" s="69" t="s">
        <v>2388</v>
      </c>
      <c r="F1192" s="69">
        <v>30</v>
      </c>
      <c r="G1192" s="69">
        <v>60</v>
      </c>
      <c r="H1192" s="69" t="s">
        <v>2399</v>
      </c>
      <c r="I1192" s="69" t="s">
        <v>2479</v>
      </c>
      <c r="J1192" s="69" t="s">
        <v>2424</v>
      </c>
      <c r="K1192" s="69"/>
    </row>
    <row r="1193" spans="1:11" x14ac:dyDescent="0.25">
      <c r="A1193" s="69" t="s">
        <v>2367</v>
      </c>
      <c r="B1193" s="70" t="s">
        <v>3153</v>
      </c>
      <c r="C1193" s="69" t="s">
        <v>1847</v>
      </c>
      <c r="D1193" s="71" t="s">
        <v>2387</v>
      </c>
      <c r="E1193" s="69" t="s">
        <v>2388</v>
      </c>
      <c r="F1193" s="69"/>
      <c r="G1193" s="69"/>
      <c r="H1193" s="69" t="s">
        <v>2412</v>
      </c>
      <c r="I1193" s="69" t="s">
        <v>2410</v>
      </c>
      <c r="J1193" s="69" t="s">
        <v>3027</v>
      </c>
      <c r="K1193" s="69" t="s">
        <v>3026</v>
      </c>
    </row>
    <row r="1194" spans="1:11" x14ac:dyDescent="0.25">
      <c r="A1194" s="69" t="s">
        <v>2356</v>
      </c>
      <c r="B1194" s="70" t="s">
        <v>3153</v>
      </c>
      <c r="C1194" s="69" t="s">
        <v>1847</v>
      </c>
      <c r="D1194" s="71" t="s">
        <v>2387</v>
      </c>
      <c r="E1194" s="69" t="s">
        <v>2388</v>
      </c>
      <c r="F1194" s="69"/>
      <c r="G1194" s="69"/>
      <c r="H1194" s="69" t="s">
        <v>2412</v>
      </c>
      <c r="I1194" s="69" t="s">
        <v>2410</v>
      </c>
      <c r="J1194" s="69" t="s">
        <v>3027</v>
      </c>
      <c r="K1194" s="69" t="s">
        <v>3026</v>
      </c>
    </row>
    <row r="1195" spans="1:11" x14ac:dyDescent="0.25">
      <c r="A1195" s="69" t="s">
        <v>2311</v>
      </c>
      <c r="B1195" s="70" t="s">
        <v>3153</v>
      </c>
      <c r="C1195" s="69" t="s">
        <v>1847</v>
      </c>
      <c r="D1195" s="71" t="s">
        <v>2387</v>
      </c>
      <c r="E1195" s="69" t="s">
        <v>2388</v>
      </c>
      <c r="F1195" s="69"/>
      <c r="G1195" s="69"/>
      <c r="H1195" s="69" t="s">
        <v>2412</v>
      </c>
      <c r="I1195" s="69" t="s">
        <v>2410</v>
      </c>
      <c r="J1195" s="69" t="s">
        <v>3027</v>
      </c>
      <c r="K1195" s="69" t="s">
        <v>3026</v>
      </c>
    </row>
    <row r="1196" spans="1:11" x14ac:dyDescent="0.25">
      <c r="A1196" s="69" t="s">
        <v>693</v>
      </c>
      <c r="B1196" s="70" t="s">
        <v>3153</v>
      </c>
      <c r="C1196" s="69" t="s">
        <v>1847</v>
      </c>
      <c r="D1196" s="71" t="s">
        <v>2387</v>
      </c>
      <c r="E1196" s="69" t="s">
        <v>2388</v>
      </c>
      <c r="F1196" s="69">
        <v>30</v>
      </c>
      <c r="G1196" s="69">
        <v>60</v>
      </c>
      <c r="H1196" s="69" t="s">
        <v>2399</v>
      </c>
      <c r="I1196" s="69" t="s">
        <v>2479</v>
      </c>
      <c r="J1196" s="69" t="s">
        <v>2424</v>
      </c>
      <c r="K1196" s="69"/>
    </row>
    <row r="1197" spans="1:11" x14ac:dyDescent="0.25">
      <c r="A1197" s="69" t="s">
        <v>690</v>
      </c>
      <c r="B1197" s="70" t="s">
        <v>3153</v>
      </c>
      <c r="C1197" s="69" t="s">
        <v>1847</v>
      </c>
      <c r="D1197" s="71" t="s">
        <v>2387</v>
      </c>
      <c r="E1197" s="69" t="s">
        <v>2388</v>
      </c>
      <c r="F1197" s="69">
        <v>30</v>
      </c>
      <c r="G1197" s="69">
        <v>60</v>
      </c>
      <c r="H1197" s="69" t="s">
        <v>2399</v>
      </c>
      <c r="I1197" s="69" t="s">
        <v>2479</v>
      </c>
      <c r="J1197" s="69" t="s">
        <v>2424</v>
      </c>
      <c r="K1197" s="69"/>
    </row>
    <row r="1198" spans="1:11" x14ac:dyDescent="0.25">
      <c r="A1198" s="69" t="s">
        <v>687</v>
      </c>
      <c r="B1198" s="70" t="s">
        <v>3153</v>
      </c>
      <c r="C1198" s="69" t="s">
        <v>1847</v>
      </c>
      <c r="D1198" s="71" t="s">
        <v>2387</v>
      </c>
      <c r="E1198" s="69" t="s">
        <v>2388</v>
      </c>
      <c r="F1198" s="69">
        <v>30</v>
      </c>
      <c r="G1198" s="69">
        <v>60</v>
      </c>
      <c r="H1198" s="69" t="s">
        <v>2399</v>
      </c>
      <c r="I1198" s="69" t="s">
        <v>2479</v>
      </c>
      <c r="J1198" s="69" t="s">
        <v>2424</v>
      </c>
      <c r="K1198" s="69"/>
    </row>
    <row r="1199" spans="1:11" x14ac:dyDescent="0.25">
      <c r="A1199" s="69" t="s">
        <v>684</v>
      </c>
      <c r="B1199" s="70" t="s">
        <v>3153</v>
      </c>
      <c r="C1199" s="69" t="s">
        <v>1847</v>
      </c>
      <c r="D1199" s="71" t="s">
        <v>2387</v>
      </c>
      <c r="E1199" s="69" t="s">
        <v>2388</v>
      </c>
      <c r="F1199" s="69">
        <v>30</v>
      </c>
      <c r="G1199" s="69">
        <v>60</v>
      </c>
      <c r="H1199" s="69" t="s">
        <v>2399</v>
      </c>
      <c r="I1199" s="69" t="s">
        <v>2479</v>
      </c>
      <c r="J1199" s="69" t="s">
        <v>2424</v>
      </c>
      <c r="K1199" s="69"/>
    </row>
    <row r="1200" spans="1:11" x14ac:dyDescent="0.25">
      <c r="A1200" s="69" t="s">
        <v>681</v>
      </c>
      <c r="B1200" s="70" t="s">
        <v>3153</v>
      </c>
      <c r="C1200" s="69" t="s">
        <v>1847</v>
      </c>
      <c r="D1200" s="71" t="s">
        <v>2387</v>
      </c>
      <c r="E1200" s="69" t="s">
        <v>2388</v>
      </c>
      <c r="F1200" s="69">
        <v>30</v>
      </c>
      <c r="G1200" s="69">
        <v>60</v>
      </c>
      <c r="H1200" s="69" t="s">
        <v>2399</v>
      </c>
      <c r="I1200" s="69" t="s">
        <v>2479</v>
      </c>
      <c r="J1200" s="69" t="s">
        <v>2424</v>
      </c>
      <c r="K1200" s="69"/>
    </row>
    <row r="1201" spans="1:11" x14ac:dyDescent="0.25">
      <c r="A1201" s="69" t="s">
        <v>678</v>
      </c>
      <c r="B1201" s="70" t="s">
        <v>3153</v>
      </c>
      <c r="C1201" s="69" t="s">
        <v>1847</v>
      </c>
      <c r="D1201" s="71" t="s">
        <v>2387</v>
      </c>
      <c r="E1201" s="69" t="s">
        <v>2388</v>
      </c>
      <c r="F1201" s="69">
        <v>30</v>
      </c>
      <c r="G1201" s="69">
        <v>60</v>
      </c>
      <c r="H1201" s="69" t="s">
        <v>2399</v>
      </c>
      <c r="I1201" s="69" t="s">
        <v>2479</v>
      </c>
      <c r="J1201" s="69" t="s">
        <v>2424</v>
      </c>
      <c r="K1201" s="69"/>
    </row>
    <row r="1202" spans="1:11" x14ac:dyDescent="0.25">
      <c r="A1202" s="69" t="s">
        <v>675</v>
      </c>
      <c r="B1202" s="70" t="s">
        <v>3153</v>
      </c>
      <c r="C1202" s="69" t="s">
        <v>1847</v>
      </c>
      <c r="D1202" s="71" t="s">
        <v>2387</v>
      </c>
      <c r="E1202" s="69" t="s">
        <v>2388</v>
      </c>
      <c r="F1202" s="69">
        <v>30</v>
      </c>
      <c r="G1202" s="69">
        <v>60</v>
      </c>
      <c r="H1202" s="69" t="s">
        <v>2399</v>
      </c>
      <c r="I1202" s="69" t="s">
        <v>2479</v>
      </c>
      <c r="J1202" s="69" t="s">
        <v>2424</v>
      </c>
      <c r="K1202" s="69"/>
    </row>
    <row r="1203" spans="1:11" x14ac:dyDescent="0.25">
      <c r="A1203" s="69" t="s">
        <v>672</v>
      </c>
      <c r="B1203" s="70" t="s">
        <v>3153</v>
      </c>
      <c r="C1203" s="69" t="s">
        <v>1847</v>
      </c>
      <c r="D1203" s="71" t="s">
        <v>2387</v>
      </c>
      <c r="E1203" s="69" t="s">
        <v>2388</v>
      </c>
      <c r="F1203" s="69">
        <v>30</v>
      </c>
      <c r="G1203" s="69">
        <v>60</v>
      </c>
      <c r="H1203" s="69" t="s">
        <v>2399</v>
      </c>
      <c r="I1203" s="69" t="s">
        <v>2479</v>
      </c>
      <c r="J1203" s="69" t="s">
        <v>2424</v>
      </c>
      <c r="K1203" s="69"/>
    </row>
    <row r="1204" spans="1:11" x14ac:dyDescent="0.25">
      <c r="A1204" s="69" t="s">
        <v>669</v>
      </c>
      <c r="B1204" s="70" t="s">
        <v>3153</v>
      </c>
      <c r="C1204" s="69" t="s">
        <v>1847</v>
      </c>
      <c r="D1204" s="71" t="s">
        <v>2387</v>
      </c>
      <c r="E1204" s="69" t="s">
        <v>2388</v>
      </c>
      <c r="F1204" s="69">
        <v>30</v>
      </c>
      <c r="G1204" s="69">
        <v>60</v>
      </c>
      <c r="H1204" s="69" t="s">
        <v>2399</v>
      </c>
      <c r="I1204" s="69" t="s">
        <v>2479</v>
      </c>
      <c r="J1204" s="69" t="s">
        <v>2424</v>
      </c>
      <c r="K1204" s="69"/>
    </row>
    <row r="1205" spans="1:11" x14ac:dyDescent="0.25">
      <c r="A1205" s="69" t="s">
        <v>666</v>
      </c>
      <c r="B1205" s="70" t="s">
        <v>3153</v>
      </c>
      <c r="C1205" s="69" t="s">
        <v>1847</v>
      </c>
      <c r="D1205" s="71" t="s">
        <v>2387</v>
      </c>
      <c r="E1205" s="69" t="s">
        <v>2388</v>
      </c>
      <c r="F1205" s="69">
        <v>30</v>
      </c>
      <c r="G1205" s="69">
        <v>60</v>
      </c>
      <c r="H1205" s="69" t="s">
        <v>2399</v>
      </c>
      <c r="I1205" s="69" t="s">
        <v>2479</v>
      </c>
      <c r="J1205" s="69" t="s">
        <v>2424</v>
      </c>
      <c r="K1205" s="69"/>
    </row>
    <row r="1206" spans="1:11" x14ac:dyDescent="0.25">
      <c r="A1206" s="69" t="s">
        <v>663</v>
      </c>
      <c r="B1206" s="70" t="s">
        <v>3153</v>
      </c>
      <c r="C1206" s="69" t="s">
        <v>1847</v>
      </c>
      <c r="D1206" s="71" t="s">
        <v>2387</v>
      </c>
      <c r="E1206" s="69" t="s">
        <v>2388</v>
      </c>
      <c r="F1206" s="69">
        <v>30</v>
      </c>
      <c r="G1206" s="69">
        <v>60</v>
      </c>
      <c r="H1206" s="69" t="s">
        <v>2399</v>
      </c>
      <c r="I1206" s="69" t="s">
        <v>2479</v>
      </c>
      <c r="J1206" s="69" t="s">
        <v>2424</v>
      </c>
      <c r="K1206" s="69"/>
    </row>
    <row r="1207" spans="1:11" x14ac:dyDescent="0.25">
      <c r="A1207" s="69" t="s">
        <v>660</v>
      </c>
      <c r="B1207" s="70" t="s">
        <v>3153</v>
      </c>
      <c r="C1207" s="69" t="s">
        <v>1847</v>
      </c>
      <c r="D1207" s="71" t="s">
        <v>2387</v>
      </c>
      <c r="E1207" s="69" t="s">
        <v>2388</v>
      </c>
      <c r="F1207" s="69">
        <v>30</v>
      </c>
      <c r="G1207" s="69">
        <v>60</v>
      </c>
      <c r="H1207" s="69" t="s">
        <v>2399</v>
      </c>
      <c r="I1207" s="69" t="s">
        <v>2479</v>
      </c>
      <c r="J1207" s="69" t="s">
        <v>2424</v>
      </c>
      <c r="K1207" s="69"/>
    </row>
    <row r="1208" spans="1:11" x14ac:dyDescent="0.25">
      <c r="A1208" s="69" t="s">
        <v>657</v>
      </c>
      <c r="B1208" s="70" t="s">
        <v>3153</v>
      </c>
      <c r="C1208" s="69" t="s">
        <v>1847</v>
      </c>
      <c r="D1208" s="71" t="s">
        <v>2387</v>
      </c>
      <c r="E1208" s="69" t="s">
        <v>2388</v>
      </c>
      <c r="F1208" s="69">
        <v>30</v>
      </c>
      <c r="G1208" s="69">
        <v>60</v>
      </c>
      <c r="H1208" s="69" t="s">
        <v>2399</v>
      </c>
      <c r="I1208" s="69" t="s">
        <v>2479</v>
      </c>
      <c r="J1208" s="69" t="s">
        <v>2424</v>
      </c>
      <c r="K1208" s="69"/>
    </row>
    <row r="1209" spans="1:11" x14ac:dyDescent="0.25">
      <c r="A1209" s="69" t="s">
        <v>654</v>
      </c>
      <c r="B1209" s="70" t="s">
        <v>3153</v>
      </c>
      <c r="C1209" s="69" t="s">
        <v>1847</v>
      </c>
      <c r="D1209" s="71" t="s">
        <v>2387</v>
      </c>
      <c r="E1209" s="69" t="s">
        <v>2388</v>
      </c>
      <c r="F1209" s="69">
        <v>30</v>
      </c>
      <c r="G1209" s="69">
        <v>60</v>
      </c>
      <c r="H1209" s="69" t="s">
        <v>2399</v>
      </c>
      <c r="I1209" s="69" t="s">
        <v>2479</v>
      </c>
      <c r="J1209" s="69" t="s">
        <v>2424</v>
      </c>
      <c r="K1209" s="69"/>
    </row>
    <row r="1210" spans="1:11" x14ac:dyDescent="0.25">
      <c r="A1210" s="69" t="s">
        <v>651</v>
      </c>
      <c r="B1210" s="70" t="s">
        <v>3153</v>
      </c>
      <c r="C1210" s="69" t="s">
        <v>1847</v>
      </c>
      <c r="D1210" s="71" t="s">
        <v>2387</v>
      </c>
      <c r="E1210" s="69" t="s">
        <v>2388</v>
      </c>
      <c r="F1210" s="69">
        <v>30</v>
      </c>
      <c r="G1210" s="69">
        <v>60</v>
      </c>
      <c r="H1210" s="69" t="s">
        <v>2399</v>
      </c>
      <c r="I1210" s="69" t="s">
        <v>2479</v>
      </c>
      <c r="J1210" s="69" t="s">
        <v>2424</v>
      </c>
      <c r="K1210" s="69"/>
    </row>
    <row r="1211" spans="1:11" x14ac:dyDescent="0.25">
      <c r="A1211" s="69" t="s">
        <v>648</v>
      </c>
      <c r="B1211" s="70" t="s">
        <v>3153</v>
      </c>
      <c r="C1211" s="69" t="s">
        <v>1847</v>
      </c>
      <c r="D1211" s="71" t="s">
        <v>2387</v>
      </c>
      <c r="E1211" s="69" t="s">
        <v>2388</v>
      </c>
      <c r="F1211" s="69">
        <v>30</v>
      </c>
      <c r="G1211" s="69">
        <v>60</v>
      </c>
      <c r="H1211" s="69" t="s">
        <v>2399</v>
      </c>
      <c r="I1211" s="69" t="s">
        <v>2479</v>
      </c>
      <c r="J1211" s="69" t="s">
        <v>2424</v>
      </c>
      <c r="K1211" s="69"/>
    </row>
    <row r="1212" spans="1:11" x14ac:dyDescent="0.25">
      <c r="A1212" s="69" t="s">
        <v>646</v>
      </c>
      <c r="B1212" s="70" t="s">
        <v>3153</v>
      </c>
      <c r="C1212" s="69" t="s">
        <v>1847</v>
      </c>
      <c r="D1212" s="71" t="s">
        <v>2387</v>
      </c>
      <c r="E1212" s="69" t="s">
        <v>2388</v>
      </c>
      <c r="F1212" s="69">
        <v>30</v>
      </c>
      <c r="G1212" s="69">
        <v>60</v>
      </c>
      <c r="H1212" s="69" t="s">
        <v>2399</v>
      </c>
      <c r="I1212" s="69" t="s">
        <v>2479</v>
      </c>
      <c r="J1212" s="69" t="s">
        <v>2424</v>
      </c>
      <c r="K1212" s="69"/>
    </row>
    <row r="1213" spans="1:11" x14ac:dyDescent="0.25">
      <c r="A1213" s="69" t="s">
        <v>643</v>
      </c>
      <c r="B1213" s="70" t="s">
        <v>3153</v>
      </c>
      <c r="C1213" s="69" t="s">
        <v>1847</v>
      </c>
      <c r="D1213" s="71" t="s">
        <v>2387</v>
      </c>
      <c r="E1213" s="69" t="s">
        <v>2388</v>
      </c>
      <c r="F1213" s="69">
        <v>30</v>
      </c>
      <c r="G1213" s="69">
        <v>60</v>
      </c>
      <c r="H1213" s="69" t="s">
        <v>2399</v>
      </c>
      <c r="I1213" s="69" t="s">
        <v>2479</v>
      </c>
      <c r="J1213" s="69" t="s">
        <v>2424</v>
      </c>
      <c r="K1213" s="69"/>
    </row>
    <row r="1214" spans="1:11" x14ac:dyDescent="0.25">
      <c r="A1214" s="69" t="s">
        <v>640</v>
      </c>
      <c r="B1214" s="70" t="s">
        <v>3153</v>
      </c>
      <c r="C1214" s="69" t="s">
        <v>1847</v>
      </c>
      <c r="D1214" s="71" t="s">
        <v>2387</v>
      </c>
      <c r="E1214" s="69" t="s">
        <v>2388</v>
      </c>
      <c r="F1214" s="69">
        <v>30</v>
      </c>
      <c r="G1214" s="69">
        <v>60</v>
      </c>
      <c r="H1214" s="69" t="s">
        <v>2399</v>
      </c>
      <c r="I1214" s="69" t="s">
        <v>2479</v>
      </c>
      <c r="J1214" s="69" t="s">
        <v>2424</v>
      </c>
      <c r="K1214" s="69"/>
    </row>
    <row r="1215" spans="1:11" x14ac:dyDescent="0.25">
      <c r="A1215" s="69" t="s">
        <v>638</v>
      </c>
      <c r="B1215" s="70" t="s">
        <v>3153</v>
      </c>
      <c r="C1215" s="69" t="s">
        <v>1847</v>
      </c>
      <c r="D1215" s="71" t="s">
        <v>2387</v>
      </c>
      <c r="E1215" s="69" t="s">
        <v>2388</v>
      </c>
      <c r="F1215" s="69">
        <v>30</v>
      </c>
      <c r="G1215" s="69">
        <v>60</v>
      </c>
      <c r="H1215" s="69" t="s">
        <v>2399</v>
      </c>
      <c r="I1215" s="69" t="s">
        <v>2479</v>
      </c>
      <c r="J1215" s="69" t="s">
        <v>2424</v>
      </c>
      <c r="K1215" s="69"/>
    </row>
    <row r="1216" spans="1:11" x14ac:dyDescent="0.25">
      <c r="A1216" s="69" t="s">
        <v>635</v>
      </c>
      <c r="B1216" s="70" t="s">
        <v>3153</v>
      </c>
      <c r="C1216" s="69" t="s">
        <v>1847</v>
      </c>
      <c r="D1216" s="71" t="s">
        <v>2387</v>
      </c>
      <c r="E1216" s="69" t="s">
        <v>2388</v>
      </c>
      <c r="F1216" s="69">
        <v>30</v>
      </c>
      <c r="G1216" s="69">
        <v>60</v>
      </c>
      <c r="H1216" s="69" t="s">
        <v>2399</v>
      </c>
      <c r="I1216" s="69" t="s">
        <v>2479</v>
      </c>
      <c r="J1216" s="69" t="s">
        <v>2424</v>
      </c>
      <c r="K1216" s="69"/>
    </row>
    <row r="1217" spans="1:11" x14ac:dyDescent="0.25">
      <c r="A1217" s="69" t="s">
        <v>2158</v>
      </c>
      <c r="B1217" s="70" t="s">
        <v>3153</v>
      </c>
      <c r="C1217" s="69" t="s">
        <v>1847</v>
      </c>
      <c r="D1217" s="71" t="s">
        <v>2387</v>
      </c>
      <c r="E1217" s="69" t="s">
        <v>2388</v>
      </c>
      <c r="F1217" s="69">
        <v>30</v>
      </c>
      <c r="G1217" s="69">
        <v>60</v>
      </c>
      <c r="H1217" s="69" t="s">
        <v>2399</v>
      </c>
      <c r="I1217" s="69" t="s">
        <v>2479</v>
      </c>
      <c r="J1217" s="69" t="s">
        <v>2424</v>
      </c>
      <c r="K1217" s="69"/>
    </row>
    <row r="1218" spans="1:11" x14ac:dyDescent="0.25">
      <c r="A1218" s="69" t="s">
        <v>632</v>
      </c>
      <c r="B1218" s="70" t="s">
        <v>3153</v>
      </c>
      <c r="C1218" s="69" t="s">
        <v>1847</v>
      </c>
      <c r="D1218" s="71" t="s">
        <v>2387</v>
      </c>
      <c r="E1218" s="69" t="s">
        <v>2388</v>
      </c>
      <c r="F1218" s="69">
        <v>30</v>
      </c>
      <c r="G1218" s="69">
        <v>60</v>
      </c>
      <c r="H1218" s="69" t="s">
        <v>2399</v>
      </c>
      <c r="I1218" s="69" t="s">
        <v>2479</v>
      </c>
      <c r="J1218" s="69" t="s">
        <v>2424</v>
      </c>
      <c r="K1218" s="69"/>
    </row>
    <row r="1219" spans="1:11" x14ac:dyDescent="0.25">
      <c r="A1219" s="69" t="s">
        <v>629</v>
      </c>
      <c r="B1219" s="70" t="s">
        <v>3153</v>
      </c>
      <c r="C1219" s="69" t="s">
        <v>1847</v>
      </c>
      <c r="D1219" s="71" t="s">
        <v>2387</v>
      </c>
      <c r="E1219" s="69" t="s">
        <v>2388</v>
      </c>
      <c r="F1219" s="69">
        <v>30</v>
      </c>
      <c r="G1219" s="69">
        <v>60</v>
      </c>
      <c r="H1219" s="69" t="s">
        <v>2399</v>
      </c>
      <c r="I1219" s="69" t="s">
        <v>2479</v>
      </c>
      <c r="J1219" s="69" t="s">
        <v>2424</v>
      </c>
      <c r="K1219" s="69"/>
    </row>
    <row r="1220" spans="1:11" x14ac:dyDescent="0.25">
      <c r="A1220" s="69" t="s">
        <v>626</v>
      </c>
      <c r="B1220" s="70" t="s">
        <v>3153</v>
      </c>
      <c r="C1220" s="69" t="s">
        <v>1847</v>
      </c>
      <c r="D1220" s="71" t="s">
        <v>2387</v>
      </c>
      <c r="E1220" s="69" t="s">
        <v>2388</v>
      </c>
      <c r="F1220" s="69">
        <v>30</v>
      </c>
      <c r="G1220" s="69">
        <v>60</v>
      </c>
      <c r="H1220" s="69" t="s">
        <v>2399</v>
      </c>
      <c r="I1220" s="69" t="s">
        <v>2479</v>
      </c>
      <c r="J1220" s="69" t="s">
        <v>2424</v>
      </c>
      <c r="K1220" s="69"/>
    </row>
    <row r="1221" spans="1:11" x14ac:dyDescent="0.25">
      <c r="A1221" s="69" t="s">
        <v>623</v>
      </c>
      <c r="B1221" s="70" t="s">
        <v>3153</v>
      </c>
      <c r="C1221" s="69" t="s">
        <v>1847</v>
      </c>
      <c r="D1221" s="71" t="s">
        <v>2387</v>
      </c>
      <c r="E1221" s="69" t="s">
        <v>2388</v>
      </c>
      <c r="F1221" s="69">
        <v>30</v>
      </c>
      <c r="G1221" s="69">
        <v>60</v>
      </c>
      <c r="H1221" s="69" t="s">
        <v>2399</v>
      </c>
      <c r="I1221" s="69" t="s">
        <v>2479</v>
      </c>
      <c r="J1221" s="69" t="s">
        <v>2424</v>
      </c>
      <c r="K1221" s="69"/>
    </row>
    <row r="1222" spans="1:11" x14ac:dyDescent="0.25">
      <c r="A1222" s="69" t="s">
        <v>620</v>
      </c>
      <c r="B1222" s="70" t="s">
        <v>3153</v>
      </c>
      <c r="C1222" s="69" t="s">
        <v>1847</v>
      </c>
      <c r="D1222" s="71" t="s">
        <v>2387</v>
      </c>
      <c r="E1222" s="69" t="s">
        <v>2388</v>
      </c>
      <c r="F1222" s="69">
        <v>30</v>
      </c>
      <c r="G1222" s="69">
        <v>60</v>
      </c>
      <c r="H1222" s="69" t="s">
        <v>2399</v>
      </c>
      <c r="I1222" s="69" t="s">
        <v>2479</v>
      </c>
      <c r="J1222" s="69" t="s">
        <v>2424</v>
      </c>
      <c r="K1222" s="69"/>
    </row>
    <row r="1223" spans="1:11" x14ac:dyDescent="0.25">
      <c r="A1223" s="69" t="s">
        <v>618</v>
      </c>
      <c r="B1223" s="70" t="s">
        <v>3153</v>
      </c>
      <c r="C1223" s="69" t="s">
        <v>1847</v>
      </c>
      <c r="D1223" s="71" t="s">
        <v>2387</v>
      </c>
      <c r="E1223" s="69" t="s">
        <v>2388</v>
      </c>
      <c r="F1223" s="69">
        <v>30</v>
      </c>
      <c r="G1223" s="69">
        <v>60</v>
      </c>
      <c r="H1223" s="69" t="s">
        <v>2399</v>
      </c>
      <c r="I1223" s="69" t="s">
        <v>2479</v>
      </c>
      <c r="J1223" s="69" t="s">
        <v>2424</v>
      </c>
      <c r="K1223" s="69"/>
    </row>
    <row r="1224" spans="1:11" x14ac:dyDescent="0.25">
      <c r="A1224" s="69" t="s">
        <v>615</v>
      </c>
      <c r="B1224" s="70" t="s">
        <v>3153</v>
      </c>
      <c r="C1224" s="69" t="s">
        <v>1847</v>
      </c>
      <c r="D1224" s="71" t="s">
        <v>2387</v>
      </c>
      <c r="E1224" s="69" t="s">
        <v>2388</v>
      </c>
      <c r="F1224" s="69">
        <v>30</v>
      </c>
      <c r="G1224" s="69">
        <v>60</v>
      </c>
      <c r="H1224" s="69" t="s">
        <v>2399</v>
      </c>
      <c r="I1224" s="69" t="s">
        <v>2479</v>
      </c>
      <c r="J1224" s="69" t="s">
        <v>2424</v>
      </c>
      <c r="K1224" s="69"/>
    </row>
    <row r="1225" spans="1:11" x14ac:dyDescent="0.25">
      <c r="A1225" s="69" t="s">
        <v>612</v>
      </c>
      <c r="B1225" s="70" t="s">
        <v>3153</v>
      </c>
      <c r="C1225" s="69" t="s">
        <v>1847</v>
      </c>
      <c r="D1225" s="71" t="s">
        <v>2387</v>
      </c>
      <c r="E1225" s="69" t="s">
        <v>2388</v>
      </c>
      <c r="F1225" s="69">
        <v>30</v>
      </c>
      <c r="G1225" s="69">
        <v>60</v>
      </c>
      <c r="H1225" s="69" t="s">
        <v>2399</v>
      </c>
      <c r="I1225" s="69" t="s">
        <v>2479</v>
      </c>
      <c r="J1225" s="69" t="s">
        <v>2424</v>
      </c>
      <c r="K1225" s="69"/>
    </row>
    <row r="1226" spans="1:11" x14ac:dyDescent="0.25">
      <c r="A1226" s="69" t="s">
        <v>609</v>
      </c>
      <c r="B1226" s="70" t="s">
        <v>3153</v>
      </c>
      <c r="C1226" s="69" t="s">
        <v>1847</v>
      </c>
      <c r="D1226" s="71" t="s">
        <v>2387</v>
      </c>
      <c r="E1226" s="69" t="s">
        <v>2388</v>
      </c>
      <c r="F1226" s="69">
        <v>30</v>
      </c>
      <c r="G1226" s="69">
        <v>60</v>
      </c>
      <c r="H1226" s="69" t="s">
        <v>2399</v>
      </c>
      <c r="I1226" s="69" t="s">
        <v>2479</v>
      </c>
      <c r="J1226" s="69" t="s">
        <v>2424</v>
      </c>
      <c r="K1226" s="69"/>
    </row>
    <row r="1227" spans="1:11" x14ac:dyDescent="0.25">
      <c r="A1227" s="69" t="s">
        <v>606</v>
      </c>
      <c r="B1227" s="70" t="s">
        <v>3153</v>
      </c>
      <c r="C1227" s="69" t="s">
        <v>1847</v>
      </c>
      <c r="D1227" s="71" t="s">
        <v>2387</v>
      </c>
      <c r="E1227" s="69" t="s">
        <v>2388</v>
      </c>
      <c r="F1227" s="69">
        <v>30</v>
      </c>
      <c r="G1227" s="69">
        <v>60</v>
      </c>
      <c r="H1227" s="69" t="s">
        <v>2399</v>
      </c>
      <c r="I1227" s="69" t="s">
        <v>2479</v>
      </c>
      <c r="J1227" s="69" t="s">
        <v>2424</v>
      </c>
      <c r="K1227" s="69"/>
    </row>
    <row r="1228" spans="1:11" x14ac:dyDescent="0.25">
      <c r="A1228" s="69" t="s">
        <v>603</v>
      </c>
      <c r="B1228" s="70" t="s">
        <v>3153</v>
      </c>
      <c r="C1228" s="69" t="s">
        <v>1847</v>
      </c>
      <c r="D1228" s="71" t="s">
        <v>2387</v>
      </c>
      <c r="E1228" s="69" t="s">
        <v>2388</v>
      </c>
      <c r="F1228" s="69">
        <v>30</v>
      </c>
      <c r="G1228" s="69">
        <v>60</v>
      </c>
      <c r="H1228" s="69" t="s">
        <v>2399</v>
      </c>
      <c r="I1228" s="69" t="s">
        <v>2479</v>
      </c>
      <c r="J1228" s="69" t="s">
        <v>2424</v>
      </c>
      <c r="K1228" s="69"/>
    </row>
    <row r="1229" spans="1:11" x14ac:dyDescent="0.25">
      <c r="A1229" s="69" t="s">
        <v>601</v>
      </c>
      <c r="B1229" s="70" t="s">
        <v>3153</v>
      </c>
      <c r="C1229" s="69" t="s">
        <v>1847</v>
      </c>
      <c r="D1229" s="71" t="s">
        <v>2387</v>
      </c>
      <c r="E1229" s="69" t="s">
        <v>2388</v>
      </c>
      <c r="F1229" s="69">
        <v>30</v>
      </c>
      <c r="G1229" s="69">
        <v>60</v>
      </c>
      <c r="H1229" s="69" t="s">
        <v>2399</v>
      </c>
      <c r="I1229" s="69" t="s">
        <v>2479</v>
      </c>
      <c r="J1229" s="69" t="s">
        <v>2424</v>
      </c>
      <c r="K1229" s="69"/>
    </row>
    <row r="1230" spans="1:11" x14ac:dyDescent="0.25">
      <c r="A1230" s="69" t="s">
        <v>598</v>
      </c>
      <c r="B1230" s="70" t="s">
        <v>3153</v>
      </c>
      <c r="C1230" s="69" t="s">
        <v>1847</v>
      </c>
      <c r="D1230" s="71" t="s">
        <v>2387</v>
      </c>
      <c r="E1230" s="69" t="s">
        <v>2388</v>
      </c>
      <c r="F1230" s="69">
        <v>30</v>
      </c>
      <c r="G1230" s="69">
        <v>60</v>
      </c>
      <c r="H1230" s="69" t="s">
        <v>2399</v>
      </c>
      <c r="I1230" s="69" t="s">
        <v>2479</v>
      </c>
      <c r="J1230" s="69" t="s">
        <v>2424</v>
      </c>
      <c r="K1230" s="69"/>
    </row>
    <row r="1231" spans="1:11" x14ac:dyDescent="0.25">
      <c r="A1231" s="69" t="s">
        <v>594</v>
      </c>
      <c r="B1231" s="70" t="s">
        <v>3153</v>
      </c>
      <c r="C1231" s="69" t="s">
        <v>1847</v>
      </c>
      <c r="D1231" s="71" t="s">
        <v>2387</v>
      </c>
      <c r="E1231" s="69" t="s">
        <v>2388</v>
      </c>
      <c r="F1231" s="69">
        <v>30</v>
      </c>
      <c r="G1231" s="69">
        <v>60</v>
      </c>
      <c r="H1231" s="69" t="s">
        <v>2399</v>
      </c>
      <c r="I1231" s="69" t="s">
        <v>2479</v>
      </c>
      <c r="J1231" s="69" t="s">
        <v>2424</v>
      </c>
      <c r="K1231" s="69"/>
    </row>
    <row r="1232" spans="1:11" x14ac:dyDescent="0.25">
      <c r="A1232" s="69" t="s">
        <v>591</v>
      </c>
      <c r="B1232" s="70" t="s">
        <v>3153</v>
      </c>
      <c r="C1232" s="69" t="s">
        <v>1847</v>
      </c>
      <c r="D1232" s="71" t="s">
        <v>2387</v>
      </c>
      <c r="E1232" s="69" t="s">
        <v>2388</v>
      </c>
      <c r="F1232" s="69">
        <v>30</v>
      </c>
      <c r="G1232" s="69">
        <v>60</v>
      </c>
      <c r="H1232" s="69" t="s">
        <v>2399</v>
      </c>
      <c r="I1232" s="69" t="s">
        <v>2479</v>
      </c>
      <c r="J1232" s="69" t="s">
        <v>2424</v>
      </c>
      <c r="K1232" s="69"/>
    </row>
    <row r="1233" spans="1:12" x14ac:dyDescent="0.25">
      <c r="A1233" s="69" t="s">
        <v>2163</v>
      </c>
      <c r="B1233" s="70" t="s">
        <v>3153</v>
      </c>
      <c r="C1233" s="69" t="s">
        <v>1847</v>
      </c>
      <c r="D1233" s="71" t="s">
        <v>2387</v>
      </c>
      <c r="E1233" s="69" t="s">
        <v>2388</v>
      </c>
      <c r="F1233" s="69">
        <v>30</v>
      </c>
      <c r="G1233" s="69">
        <v>60</v>
      </c>
      <c r="H1233" s="69" t="s">
        <v>2399</v>
      </c>
      <c r="I1233" s="69" t="s">
        <v>2479</v>
      </c>
      <c r="J1233" s="69" t="s">
        <v>2424</v>
      </c>
      <c r="K1233" s="69"/>
    </row>
    <row r="1234" spans="1:12" x14ac:dyDescent="0.25">
      <c r="A1234" s="69" t="s">
        <v>2178</v>
      </c>
      <c r="B1234" s="70" t="s">
        <v>3153</v>
      </c>
      <c r="C1234" s="69" t="s">
        <v>1847</v>
      </c>
      <c r="D1234" s="71" t="s">
        <v>2387</v>
      </c>
      <c r="E1234" s="69" t="s">
        <v>2388</v>
      </c>
      <c r="F1234" s="69">
        <v>30</v>
      </c>
      <c r="G1234" s="69">
        <v>60</v>
      </c>
      <c r="H1234" s="69" t="s">
        <v>2399</v>
      </c>
      <c r="I1234" s="69" t="s">
        <v>2479</v>
      </c>
      <c r="J1234" s="69" t="s">
        <v>2424</v>
      </c>
      <c r="K1234" s="69"/>
    </row>
    <row r="1235" spans="1:12" x14ac:dyDescent="0.25">
      <c r="A1235" s="69" t="s">
        <v>2148</v>
      </c>
      <c r="B1235" s="70" t="s">
        <v>3153</v>
      </c>
      <c r="C1235" s="69" t="s">
        <v>1847</v>
      </c>
      <c r="D1235" s="71" t="s">
        <v>2387</v>
      </c>
      <c r="E1235" s="69" t="s">
        <v>2388</v>
      </c>
      <c r="F1235" s="69">
        <v>30</v>
      </c>
      <c r="G1235" s="69">
        <v>60</v>
      </c>
      <c r="H1235" s="69" t="s">
        <v>2399</v>
      </c>
      <c r="I1235" s="69" t="s">
        <v>2479</v>
      </c>
      <c r="J1235" s="69" t="s">
        <v>2424</v>
      </c>
      <c r="K1235" s="69"/>
    </row>
    <row r="1236" spans="1:12" x14ac:dyDescent="0.25">
      <c r="A1236" s="69" t="s">
        <v>585</v>
      </c>
      <c r="B1236" s="70" t="s">
        <v>3153</v>
      </c>
      <c r="C1236" s="69" t="s">
        <v>1847</v>
      </c>
      <c r="D1236" s="71" t="s">
        <v>2387</v>
      </c>
      <c r="E1236" s="69" t="s">
        <v>2388</v>
      </c>
      <c r="F1236" s="69">
        <v>30</v>
      </c>
      <c r="G1236" s="69">
        <v>60</v>
      </c>
      <c r="H1236" s="69" t="s">
        <v>2399</v>
      </c>
      <c r="I1236" s="69" t="s">
        <v>2479</v>
      </c>
      <c r="J1236" s="69" t="s">
        <v>2424</v>
      </c>
      <c r="K1236" s="69"/>
    </row>
    <row r="1237" spans="1:12" x14ac:dyDescent="0.25">
      <c r="A1237" s="69" t="s">
        <v>2251</v>
      </c>
      <c r="B1237" s="70" t="s">
        <v>3153</v>
      </c>
      <c r="C1237" s="69" t="s">
        <v>1847</v>
      </c>
      <c r="D1237" s="71" t="s">
        <v>2387</v>
      </c>
      <c r="E1237" s="69" t="s">
        <v>2388</v>
      </c>
      <c r="F1237" s="69">
        <v>30</v>
      </c>
      <c r="G1237" s="69">
        <v>0</v>
      </c>
      <c r="H1237" s="69" t="s">
        <v>2412</v>
      </c>
      <c r="I1237" s="69" t="s">
        <v>2410</v>
      </c>
      <c r="J1237" s="69" t="s">
        <v>2424</v>
      </c>
      <c r="K1237" s="69" t="s">
        <v>3026</v>
      </c>
      <c r="L1237" s="72" t="s">
        <v>2387</v>
      </c>
    </row>
    <row r="1238" spans="1:12" x14ac:dyDescent="0.25">
      <c r="A1238" s="69" t="s">
        <v>582</v>
      </c>
      <c r="B1238" s="70" t="s">
        <v>3153</v>
      </c>
      <c r="C1238" s="69" t="s">
        <v>1847</v>
      </c>
      <c r="D1238" s="71" t="s">
        <v>2387</v>
      </c>
      <c r="E1238" s="69" t="s">
        <v>2388</v>
      </c>
      <c r="F1238" s="69">
        <v>30</v>
      </c>
      <c r="G1238" s="69">
        <v>60</v>
      </c>
      <c r="H1238" s="69" t="s">
        <v>2399</v>
      </c>
      <c r="I1238" s="69" t="s">
        <v>2479</v>
      </c>
      <c r="J1238" s="69" t="s">
        <v>2424</v>
      </c>
      <c r="K1238" s="69"/>
    </row>
    <row r="1239" spans="1:12" x14ac:dyDescent="0.25">
      <c r="A1239" s="69" t="s">
        <v>579</v>
      </c>
      <c r="B1239" s="70" t="s">
        <v>3153</v>
      </c>
      <c r="C1239" s="69" t="s">
        <v>1847</v>
      </c>
      <c r="D1239" s="71" t="s">
        <v>2387</v>
      </c>
      <c r="E1239" s="69" t="s">
        <v>2388</v>
      </c>
      <c r="F1239" s="69">
        <v>30</v>
      </c>
      <c r="G1239" s="69">
        <v>60</v>
      </c>
      <c r="H1239" s="69" t="s">
        <v>2399</v>
      </c>
      <c r="I1239" s="69" t="s">
        <v>2479</v>
      </c>
      <c r="J1239" s="69" t="s">
        <v>2424</v>
      </c>
      <c r="K1239" s="69"/>
    </row>
    <row r="1240" spans="1:12" x14ac:dyDescent="0.25">
      <c r="A1240" s="69" t="s">
        <v>576</v>
      </c>
      <c r="B1240" s="70" t="s">
        <v>3153</v>
      </c>
      <c r="C1240" s="69" t="s">
        <v>1847</v>
      </c>
      <c r="D1240" s="71" t="s">
        <v>2387</v>
      </c>
      <c r="E1240" s="69" t="s">
        <v>2388</v>
      </c>
      <c r="F1240" s="69">
        <v>30</v>
      </c>
      <c r="G1240" s="69">
        <v>60</v>
      </c>
      <c r="H1240" s="69" t="s">
        <v>2399</v>
      </c>
      <c r="I1240" s="69" t="s">
        <v>2479</v>
      </c>
      <c r="J1240" s="69" t="s">
        <v>2424</v>
      </c>
      <c r="K1240" s="69"/>
    </row>
    <row r="1241" spans="1:12" x14ac:dyDescent="0.25">
      <c r="A1241" s="69" t="s">
        <v>573</v>
      </c>
      <c r="B1241" s="70" t="s">
        <v>3153</v>
      </c>
      <c r="C1241" s="69" t="s">
        <v>1847</v>
      </c>
      <c r="D1241" s="71" t="s">
        <v>2387</v>
      </c>
      <c r="E1241" s="69" t="s">
        <v>2388</v>
      </c>
      <c r="F1241" s="69">
        <v>30</v>
      </c>
      <c r="G1241" s="69">
        <v>60</v>
      </c>
      <c r="H1241" s="69" t="s">
        <v>2399</v>
      </c>
      <c r="I1241" s="69" t="s">
        <v>2479</v>
      </c>
      <c r="J1241" s="69" t="s">
        <v>2424</v>
      </c>
      <c r="K1241" s="69"/>
    </row>
    <row r="1242" spans="1:12" x14ac:dyDescent="0.25">
      <c r="A1242" s="69" t="s">
        <v>567</v>
      </c>
      <c r="B1242" s="70" t="s">
        <v>3153</v>
      </c>
      <c r="C1242" s="69" t="s">
        <v>1847</v>
      </c>
      <c r="D1242" s="71" t="s">
        <v>2387</v>
      </c>
      <c r="E1242" s="69" t="s">
        <v>2388</v>
      </c>
      <c r="F1242" s="69">
        <v>30</v>
      </c>
      <c r="G1242" s="69">
        <v>60</v>
      </c>
      <c r="H1242" s="69" t="s">
        <v>2399</v>
      </c>
      <c r="I1242" s="69" t="s">
        <v>2479</v>
      </c>
      <c r="J1242" s="69" t="s">
        <v>2424</v>
      </c>
      <c r="K1242" s="69"/>
    </row>
    <row r="1243" spans="1:12" x14ac:dyDescent="0.25">
      <c r="A1243" s="69" t="s">
        <v>564</v>
      </c>
      <c r="B1243" s="70" t="s">
        <v>3153</v>
      </c>
      <c r="C1243" s="69" t="s">
        <v>1847</v>
      </c>
      <c r="D1243" s="71" t="s">
        <v>2387</v>
      </c>
      <c r="E1243" s="69" t="s">
        <v>2388</v>
      </c>
      <c r="F1243" s="69">
        <v>30</v>
      </c>
      <c r="G1243" s="69">
        <v>60</v>
      </c>
      <c r="H1243" s="69" t="s">
        <v>2399</v>
      </c>
      <c r="I1243" s="69" t="s">
        <v>2479</v>
      </c>
      <c r="J1243" s="69" t="s">
        <v>2424</v>
      </c>
      <c r="K1243" s="69"/>
    </row>
    <row r="1244" spans="1:12" x14ac:dyDescent="0.25">
      <c r="A1244" s="69" t="s">
        <v>558</v>
      </c>
      <c r="B1244" s="70" t="s">
        <v>3153</v>
      </c>
      <c r="C1244" s="69" t="s">
        <v>1847</v>
      </c>
      <c r="D1244" s="71" t="s">
        <v>2387</v>
      </c>
      <c r="E1244" s="69" t="s">
        <v>2388</v>
      </c>
      <c r="F1244" s="69">
        <v>30</v>
      </c>
      <c r="G1244" s="69">
        <v>60</v>
      </c>
      <c r="H1244" s="69" t="s">
        <v>2399</v>
      </c>
      <c r="I1244" s="69" t="s">
        <v>2479</v>
      </c>
      <c r="J1244" s="69" t="s">
        <v>2424</v>
      </c>
      <c r="K1244" s="69"/>
    </row>
    <row r="1245" spans="1:12" x14ac:dyDescent="0.25">
      <c r="A1245" s="69" t="s">
        <v>555</v>
      </c>
      <c r="B1245" s="70" t="s">
        <v>3153</v>
      </c>
      <c r="C1245" s="69" t="s">
        <v>1847</v>
      </c>
      <c r="D1245" s="71" t="s">
        <v>2387</v>
      </c>
      <c r="E1245" s="69" t="s">
        <v>2388</v>
      </c>
      <c r="F1245" s="69">
        <v>30</v>
      </c>
      <c r="G1245" s="69">
        <v>60</v>
      </c>
      <c r="H1245" s="69" t="s">
        <v>2399</v>
      </c>
      <c r="I1245" s="69" t="s">
        <v>2479</v>
      </c>
      <c r="J1245" s="69" t="s">
        <v>2424</v>
      </c>
      <c r="K1245" s="69"/>
    </row>
    <row r="1246" spans="1:12" x14ac:dyDescent="0.25">
      <c r="A1246" s="69" t="s">
        <v>552</v>
      </c>
      <c r="B1246" s="70" t="s">
        <v>3153</v>
      </c>
      <c r="C1246" s="69" t="s">
        <v>1847</v>
      </c>
      <c r="D1246" s="71" t="s">
        <v>2387</v>
      </c>
      <c r="E1246" s="69" t="s">
        <v>2388</v>
      </c>
      <c r="F1246" s="69">
        <v>30</v>
      </c>
      <c r="G1246" s="69">
        <v>60</v>
      </c>
      <c r="H1246" s="69" t="s">
        <v>2399</v>
      </c>
      <c r="I1246" s="69" t="s">
        <v>2479</v>
      </c>
      <c r="J1246" s="69" t="s">
        <v>2424</v>
      </c>
      <c r="K1246" s="69"/>
    </row>
    <row r="1247" spans="1:12" x14ac:dyDescent="0.25">
      <c r="A1247" s="69" t="s">
        <v>550</v>
      </c>
      <c r="B1247" s="70" t="s">
        <v>3153</v>
      </c>
      <c r="C1247" s="69" t="s">
        <v>1847</v>
      </c>
      <c r="D1247" s="71" t="s">
        <v>2387</v>
      </c>
      <c r="E1247" s="69" t="s">
        <v>2388</v>
      </c>
      <c r="F1247" s="69">
        <v>30</v>
      </c>
      <c r="G1247" s="69">
        <v>0</v>
      </c>
      <c r="H1247" s="69" t="s">
        <v>2412</v>
      </c>
      <c r="I1247" s="69" t="s">
        <v>2410</v>
      </c>
      <c r="J1247" s="69" t="s">
        <v>2424</v>
      </c>
      <c r="K1247" s="69" t="s">
        <v>3026</v>
      </c>
      <c r="L1247" s="72" t="s">
        <v>2387</v>
      </c>
    </row>
    <row r="1248" spans="1:12" x14ac:dyDescent="0.25">
      <c r="A1248" s="69" t="s">
        <v>2327</v>
      </c>
      <c r="B1248" s="70" t="s">
        <v>3153</v>
      </c>
      <c r="C1248" s="69" t="s">
        <v>1847</v>
      </c>
      <c r="D1248" s="71" t="s">
        <v>2387</v>
      </c>
      <c r="E1248" s="69" t="s">
        <v>2388</v>
      </c>
      <c r="F1248" s="69"/>
      <c r="G1248" s="69"/>
      <c r="H1248" s="69" t="s">
        <v>2412</v>
      </c>
      <c r="I1248" s="69" t="s">
        <v>2410</v>
      </c>
      <c r="J1248" s="69" t="s">
        <v>2424</v>
      </c>
      <c r="K1248" s="69" t="s">
        <v>3026</v>
      </c>
      <c r="L1248" s="72" t="s">
        <v>2387</v>
      </c>
    </row>
    <row r="1249" spans="1:12" x14ac:dyDescent="0.25">
      <c r="A1249" s="69" t="s">
        <v>547</v>
      </c>
      <c r="B1249" s="70" t="s">
        <v>3153</v>
      </c>
      <c r="C1249" s="69" t="s">
        <v>1847</v>
      </c>
      <c r="D1249" s="71" t="s">
        <v>2387</v>
      </c>
      <c r="E1249" s="69" t="s">
        <v>2388</v>
      </c>
      <c r="F1249" s="69">
        <v>30</v>
      </c>
      <c r="G1249" s="69">
        <v>60</v>
      </c>
      <c r="H1249" s="69" t="s">
        <v>2399</v>
      </c>
      <c r="I1249" s="69" t="s">
        <v>2479</v>
      </c>
      <c r="J1249" s="69" t="s">
        <v>2424</v>
      </c>
      <c r="K1249" s="69"/>
    </row>
    <row r="1250" spans="1:12" x14ac:dyDescent="0.25">
      <c r="A1250" s="69" t="s">
        <v>544</v>
      </c>
      <c r="B1250" s="70" t="s">
        <v>3153</v>
      </c>
      <c r="C1250" s="69" t="s">
        <v>1847</v>
      </c>
      <c r="D1250" s="71" t="s">
        <v>2387</v>
      </c>
      <c r="E1250" s="69" t="s">
        <v>2388</v>
      </c>
      <c r="F1250" s="69">
        <v>30</v>
      </c>
      <c r="G1250" s="69">
        <v>60</v>
      </c>
      <c r="H1250" s="69" t="s">
        <v>2399</v>
      </c>
      <c r="I1250" s="69" t="s">
        <v>2479</v>
      </c>
      <c r="J1250" s="69" t="s">
        <v>2424</v>
      </c>
      <c r="K1250" s="69"/>
    </row>
    <row r="1251" spans="1:12" x14ac:dyDescent="0.25">
      <c r="A1251" s="69" t="s">
        <v>540</v>
      </c>
      <c r="B1251" s="70" t="s">
        <v>3153</v>
      </c>
      <c r="C1251" s="69" t="s">
        <v>1847</v>
      </c>
      <c r="D1251" s="71" t="s">
        <v>2387</v>
      </c>
      <c r="E1251" s="69" t="s">
        <v>2388</v>
      </c>
      <c r="F1251" s="69">
        <v>30</v>
      </c>
      <c r="G1251" s="69">
        <v>60</v>
      </c>
      <c r="H1251" s="69" t="s">
        <v>2399</v>
      </c>
      <c r="I1251" s="69" t="s">
        <v>2479</v>
      </c>
      <c r="J1251" s="69" t="s">
        <v>2424</v>
      </c>
      <c r="K1251" s="69"/>
    </row>
    <row r="1252" spans="1:12" x14ac:dyDescent="0.25">
      <c r="A1252" s="69" t="s">
        <v>2204</v>
      </c>
      <c r="B1252" s="70" t="s">
        <v>3153</v>
      </c>
      <c r="C1252" s="69" t="s">
        <v>1847</v>
      </c>
      <c r="D1252" s="71" t="s">
        <v>2387</v>
      </c>
      <c r="E1252" s="69" t="s">
        <v>2388</v>
      </c>
      <c r="F1252" s="69">
        <v>30</v>
      </c>
      <c r="G1252" s="69">
        <v>0</v>
      </c>
      <c r="H1252" s="69" t="s">
        <v>2412</v>
      </c>
      <c r="I1252" s="69" t="s">
        <v>2410</v>
      </c>
      <c r="J1252" s="69" t="s">
        <v>2424</v>
      </c>
      <c r="K1252" s="69" t="s">
        <v>3026</v>
      </c>
      <c r="L1252" s="72" t="s">
        <v>2387</v>
      </c>
    </row>
    <row r="1253" spans="1:12" x14ac:dyDescent="0.25">
      <c r="A1253" s="69" t="s">
        <v>2320</v>
      </c>
      <c r="B1253" s="70" t="s">
        <v>3153</v>
      </c>
      <c r="C1253" s="69" t="s">
        <v>1847</v>
      </c>
      <c r="D1253" s="71" t="s">
        <v>2387</v>
      </c>
      <c r="E1253" s="69" t="s">
        <v>2388</v>
      </c>
      <c r="F1253" s="69"/>
      <c r="G1253" s="69"/>
      <c r="H1253" s="69" t="s">
        <v>2412</v>
      </c>
      <c r="I1253" s="69" t="s">
        <v>2410</v>
      </c>
      <c r="J1253" s="69" t="s">
        <v>2424</v>
      </c>
      <c r="K1253" s="69" t="s">
        <v>3026</v>
      </c>
    </row>
    <row r="1254" spans="1:12" x14ac:dyDescent="0.25">
      <c r="A1254" s="69" t="s">
        <v>538</v>
      </c>
      <c r="B1254" s="70" t="s">
        <v>3153</v>
      </c>
      <c r="C1254" s="69" t="s">
        <v>1847</v>
      </c>
      <c r="D1254" s="71" t="s">
        <v>2387</v>
      </c>
      <c r="E1254" s="69" t="s">
        <v>2388</v>
      </c>
      <c r="F1254" s="69"/>
      <c r="G1254" s="69"/>
      <c r="H1254" s="69" t="s">
        <v>2412</v>
      </c>
      <c r="I1254" s="69" t="s">
        <v>2410</v>
      </c>
      <c r="J1254" s="69" t="s">
        <v>3027</v>
      </c>
      <c r="K1254" s="69" t="s">
        <v>3026</v>
      </c>
      <c r="L1254" s="72" t="s">
        <v>2387</v>
      </c>
    </row>
    <row r="1255" spans="1:12" x14ac:dyDescent="0.25">
      <c r="A1255" s="69" t="s">
        <v>535</v>
      </c>
      <c r="B1255" s="70" t="s">
        <v>3153</v>
      </c>
      <c r="C1255" s="69" t="s">
        <v>1847</v>
      </c>
      <c r="D1255" s="71" t="s">
        <v>2387</v>
      </c>
      <c r="E1255" s="69" t="s">
        <v>2388</v>
      </c>
      <c r="F1255" s="69">
        <v>30</v>
      </c>
      <c r="G1255" s="69">
        <v>60</v>
      </c>
      <c r="H1255" s="69" t="s">
        <v>2399</v>
      </c>
      <c r="I1255" s="69" t="s">
        <v>2479</v>
      </c>
      <c r="J1255" s="69" t="s">
        <v>2424</v>
      </c>
      <c r="K1255" s="69"/>
    </row>
    <row r="1256" spans="1:12" x14ac:dyDescent="0.25">
      <c r="A1256" s="69" t="s">
        <v>532</v>
      </c>
      <c r="B1256" s="70" t="s">
        <v>3153</v>
      </c>
      <c r="C1256" s="69" t="s">
        <v>1847</v>
      </c>
      <c r="D1256" s="71" t="s">
        <v>2387</v>
      </c>
      <c r="E1256" s="69" t="s">
        <v>2388</v>
      </c>
      <c r="F1256" s="69">
        <v>30</v>
      </c>
      <c r="G1256" s="69">
        <v>60</v>
      </c>
      <c r="H1256" s="69" t="s">
        <v>2399</v>
      </c>
      <c r="I1256" s="69" t="s">
        <v>2479</v>
      </c>
      <c r="J1256" s="69" t="s">
        <v>2424</v>
      </c>
      <c r="K1256" s="69"/>
    </row>
    <row r="1257" spans="1:12" x14ac:dyDescent="0.25">
      <c r="A1257" s="69" t="s">
        <v>2340</v>
      </c>
      <c r="B1257" s="70" t="s">
        <v>3153</v>
      </c>
      <c r="C1257" s="69" t="s">
        <v>1847</v>
      </c>
      <c r="D1257" s="71" t="s">
        <v>2387</v>
      </c>
      <c r="E1257" s="69" t="s">
        <v>2388</v>
      </c>
      <c r="F1257" s="69"/>
      <c r="G1257" s="69"/>
      <c r="H1257" s="69" t="s">
        <v>2412</v>
      </c>
      <c r="I1257" s="69" t="s">
        <v>2410</v>
      </c>
      <c r="J1257" s="69" t="s">
        <v>2424</v>
      </c>
      <c r="K1257" s="69" t="s">
        <v>3026</v>
      </c>
      <c r="L1257" s="72" t="s">
        <v>2387</v>
      </c>
    </row>
    <row r="1258" spans="1:12" x14ac:dyDescent="0.25">
      <c r="A1258" s="69" t="s">
        <v>2324</v>
      </c>
      <c r="B1258" s="70" t="s">
        <v>3153</v>
      </c>
      <c r="C1258" s="69" t="s">
        <v>1847</v>
      </c>
      <c r="D1258" s="71" t="s">
        <v>2387</v>
      </c>
      <c r="E1258" s="69" t="s">
        <v>2388</v>
      </c>
      <c r="F1258" s="69"/>
      <c r="G1258" s="69"/>
      <c r="H1258" s="69" t="s">
        <v>2412</v>
      </c>
      <c r="I1258" s="69" t="s">
        <v>2410</v>
      </c>
      <c r="J1258" s="69" t="s">
        <v>2424</v>
      </c>
      <c r="K1258" s="69" t="s">
        <v>3026</v>
      </c>
    </row>
    <row r="1259" spans="1:12" x14ac:dyDescent="0.25">
      <c r="A1259" s="69" t="s">
        <v>207</v>
      </c>
      <c r="B1259" s="70" t="s">
        <v>3153</v>
      </c>
      <c r="C1259" s="69" t="s">
        <v>1847</v>
      </c>
      <c r="D1259" s="71" t="s">
        <v>2387</v>
      </c>
      <c r="E1259" s="69" t="s">
        <v>2388</v>
      </c>
      <c r="F1259" s="69">
        <v>30</v>
      </c>
      <c r="G1259" s="69"/>
      <c r="H1259" s="69" t="s">
        <v>2399</v>
      </c>
      <c r="I1259" s="69" t="s">
        <v>2410</v>
      </c>
      <c r="J1259" s="69" t="s">
        <v>2424</v>
      </c>
      <c r="K1259" s="69"/>
    </row>
    <row r="1260" spans="1:12" x14ac:dyDescent="0.25">
      <c r="A1260" s="69" t="s">
        <v>196</v>
      </c>
      <c r="B1260" s="70" t="s">
        <v>3153</v>
      </c>
      <c r="C1260" s="69" t="s">
        <v>1847</v>
      </c>
      <c r="D1260" s="71" t="s">
        <v>2387</v>
      </c>
      <c r="E1260" s="69" t="s">
        <v>2388</v>
      </c>
      <c r="F1260" s="69">
        <v>30</v>
      </c>
      <c r="G1260" s="69">
        <v>60</v>
      </c>
      <c r="H1260" s="69" t="s">
        <v>2399</v>
      </c>
      <c r="I1260" s="69" t="s">
        <v>2479</v>
      </c>
      <c r="J1260" s="69" t="s">
        <v>2424</v>
      </c>
      <c r="K1260" s="69"/>
    </row>
    <row r="1261" spans="1:12" x14ac:dyDescent="0.25">
      <c r="A1261" s="69" t="s">
        <v>193</v>
      </c>
      <c r="B1261" s="70" t="s">
        <v>3153</v>
      </c>
      <c r="C1261" s="69" t="s">
        <v>1847</v>
      </c>
      <c r="D1261" s="71" t="s">
        <v>2387</v>
      </c>
      <c r="E1261" s="69" t="s">
        <v>2388</v>
      </c>
      <c r="F1261" s="69">
        <v>30</v>
      </c>
      <c r="G1261" s="69">
        <v>60</v>
      </c>
      <c r="H1261" s="69" t="s">
        <v>2399</v>
      </c>
      <c r="I1261" s="69" t="s">
        <v>2479</v>
      </c>
      <c r="J1261" s="69" t="s">
        <v>2424</v>
      </c>
      <c r="K1261" s="69"/>
    </row>
    <row r="1262" spans="1:12" x14ac:dyDescent="0.25">
      <c r="A1262" s="69" t="s">
        <v>190</v>
      </c>
      <c r="B1262" s="70" t="s">
        <v>3153</v>
      </c>
      <c r="C1262" s="69" t="s">
        <v>1847</v>
      </c>
      <c r="D1262" s="71" t="s">
        <v>2387</v>
      </c>
      <c r="E1262" s="69" t="s">
        <v>2388</v>
      </c>
      <c r="F1262" s="69">
        <v>30</v>
      </c>
      <c r="G1262" s="69">
        <v>60</v>
      </c>
      <c r="H1262" s="69" t="s">
        <v>2399</v>
      </c>
      <c r="I1262" s="69" t="s">
        <v>2479</v>
      </c>
      <c r="J1262" s="69" t="s">
        <v>2424</v>
      </c>
      <c r="K1262" s="69"/>
    </row>
    <row r="1263" spans="1:12" x14ac:dyDescent="0.25">
      <c r="A1263" s="69" t="s">
        <v>187</v>
      </c>
      <c r="B1263" s="70" t="s">
        <v>3153</v>
      </c>
      <c r="C1263" s="69" t="s">
        <v>1847</v>
      </c>
      <c r="D1263" s="71" t="s">
        <v>2387</v>
      </c>
      <c r="E1263" s="69" t="s">
        <v>2388</v>
      </c>
      <c r="F1263" s="69">
        <v>30</v>
      </c>
      <c r="G1263" s="69">
        <v>60</v>
      </c>
      <c r="H1263" s="69" t="s">
        <v>2399</v>
      </c>
      <c r="I1263" s="69" t="s">
        <v>2479</v>
      </c>
      <c r="J1263" s="69" t="s">
        <v>2424</v>
      </c>
      <c r="K1263" s="69"/>
    </row>
    <row r="1264" spans="1:12" x14ac:dyDescent="0.25">
      <c r="A1264" s="69" t="s">
        <v>2214</v>
      </c>
      <c r="B1264" s="70" t="s">
        <v>3153</v>
      </c>
      <c r="C1264" s="69" t="s">
        <v>1847</v>
      </c>
      <c r="D1264" s="71" t="s">
        <v>2387</v>
      </c>
      <c r="E1264" s="69" t="s">
        <v>2388</v>
      </c>
      <c r="F1264" s="69">
        <v>30</v>
      </c>
      <c r="G1264" s="69">
        <v>60</v>
      </c>
      <c r="H1264" s="69" t="s">
        <v>2399</v>
      </c>
      <c r="I1264" s="69" t="s">
        <v>2479</v>
      </c>
      <c r="J1264" s="69" t="s">
        <v>2424</v>
      </c>
      <c r="K1264" s="69"/>
    </row>
    <row r="1265" spans="1:11" x14ac:dyDescent="0.25">
      <c r="A1265" s="69" t="s">
        <v>13</v>
      </c>
      <c r="B1265" s="70" t="s">
        <v>3153</v>
      </c>
      <c r="C1265" s="69" t="s">
        <v>1847</v>
      </c>
      <c r="D1265" s="71" t="s">
        <v>2387</v>
      </c>
      <c r="E1265" s="69" t="s">
        <v>2388</v>
      </c>
      <c r="F1265" s="69">
        <v>30</v>
      </c>
      <c r="G1265" s="69">
        <v>60</v>
      </c>
      <c r="H1265" s="69" t="s">
        <v>2399</v>
      </c>
      <c r="I1265" s="69" t="s">
        <v>2479</v>
      </c>
      <c r="J1265" s="69" t="s">
        <v>2424</v>
      </c>
      <c r="K1265" s="69"/>
    </row>
    <row r="1266" spans="1:11" x14ac:dyDescent="0.25">
      <c r="A1266" s="69" t="s">
        <v>2361</v>
      </c>
      <c r="B1266" s="70" t="s">
        <v>3153</v>
      </c>
      <c r="C1266" s="69" t="s">
        <v>1847</v>
      </c>
      <c r="D1266" s="71" t="s">
        <v>2387</v>
      </c>
      <c r="E1266" s="69" t="s">
        <v>2388</v>
      </c>
      <c r="F1266" s="69">
        <v>30</v>
      </c>
      <c r="G1266" s="69">
        <v>60</v>
      </c>
      <c r="H1266" s="69" t="s">
        <v>2412</v>
      </c>
      <c r="I1266" s="69" t="s">
        <v>2479</v>
      </c>
      <c r="J1266" s="69" t="s">
        <v>3027</v>
      </c>
      <c r="K1266" s="69" t="s">
        <v>3026</v>
      </c>
    </row>
    <row r="1267" spans="1:11" x14ac:dyDescent="0.25">
      <c r="A1267" s="69" t="s">
        <v>243</v>
      </c>
      <c r="B1267" s="70" t="s">
        <v>3153</v>
      </c>
      <c r="C1267" s="69" t="s">
        <v>1847</v>
      </c>
      <c r="D1267" s="71" t="s">
        <v>2387</v>
      </c>
      <c r="E1267" s="69" t="s">
        <v>2388</v>
      </c>
      <c r="F1267" s="69">
        <v>30</v>
      </c>
      <c r="G1267" s="69">
        <v>60</v>
      </c>
      <c r="H1267" s="69" t="s">
        <v>2399</v>
      </c>
      <c r="I1267" s="69" t="s">
        <v>2479</v>
      </c>
      <c r="J1267" s="69" t="s">
        <v>2424</v>
      </c>
      <c r="K1267" s="69" t="s">
        <v>3087</v>
      </c>
    </row>
    <row r="1268" spans="1:11" x14ac:dyDescent="0.25">
      <c r="A1268" s="69" t="s">
        <v>246</v>
      </c>
      <c r="B1268" s="70" t="s">
        <v>3153</v>
      </c>
      <c r="C1268" s="69" t="s">
        <v>1847</v>
      </c>
      <c r="D1268" s="71" t="s">
        <v>2387</v>
      </c>
      <c r="E1268" s="69" t="s">
        <v>2388</v>
      </c>
      <c r="F1268" s="69">
        <v>30</v>
      </c>
      <c r="G1268" s="69">
        <v>60</v>
      </c>
      <c r="H1268" s="69" t="s">
        <v>2399</v>
      </c>
      <c r="I1268" s="69" t="s">
        <v>2479</v>
      </c>
      <c r="J1268" s="69" t="s">
        <v>2424</v>
      </c>
      <c r="K1268" s="69" t="s">
        <v>247</v>
      </c>
    </row>
    <row r="1269" spans="1:11" x14ac:dyDescent="0.25">
      <c r="A1269" s="69" t="s">
        <v>2238</v>
      </c>
      <c r="B1269" s="70" t="s">
        <v>3153</v>
      </c>
      <c r="C1269" s="69" t="s">
        <v>1847</v>
      </c>
      <c r="D1269" s="71" t="s">
        <v>2387</v>
      </c>
      <c r="E1269" s="69" t="s">
        <v>2388</v>
      </c>
      <c r="F1269" s="69">
        <v>30</v>
      </c>
      <c r="G1269" s="69">
        <v>60</v>
      </c>
      <c r="H1269" s="69" t="s">
        <v>2399</v>
      </c>
      <c r="I1269" s="69" t="s">
        <v>2479</v>
      </c>
      <c r="J1269" s="69" t="s">
        <v>2424</v>
      </c>
      <c r="K1269" s="69"/>
    </row>
    <row r="1270" spans="1:11" x14ac:dyDescent="0.25">
      <c r="A1270" s="69" t="s">
        <v>2227</v>
      </c>
      <c r="B1270" s="70" t="s">
        <v>3153</v>
      </c>
      <c r="C1270" s="69" t="s">
        <v>1847</v>
      </c>
      <c r="D1270" s="71" t="s">
        <v>2387</v>
      </c>
      <c r="E1270" s="69" t="s">
        <v>2388</v>
      </c>
      <c r="F1270" s="69">
        <v>30</v>
      </c>
      <c r="G1270" s="69">
        <v>60</v>
      </c>
      <c r="H1270" s="69" t="s">
        <v>2399</v>
      </c>
      <c r="I1270" s="69" t="s">
        <v>2479</v>
      </c>
      <c r="J1270" s="69" t="s">
        <v>2424</v>
      </c>
      <c r="K1270" s="69"/>
    </row>
    <row r="1271" spans="1:11" x14ac:dyDescent="0.25">
      <c r="A1271" s="69" t="s">
        <v>249</v>
      </c>
      <c r="B1271" s="70" t="s">
        <v>3153</v>
      </c>
      <c r="C1271" s="69" t="s">
        <v>1847</v>
      </c>
      <c r="D1271" s="71" t="s">
        <v>2387</v>
      </c>
      <c r="E1271" s="69" t="s">
        <v>2388</v>
      </c>
      <c r="F1271" s="69">
        <v>30</v>
      </c>
      <c r="G1271" s="69">
        <v>60</v>
      </c>
      <c r="H1271" s="69" t="s">
        <v>2399</v>
      </c>
      <c r="I1271" s="69" t="s">
        <v>2479</v>
      </c>
      <c r="J1271" s="69" t="s">
        <v>2424</v>
      </c>
      <c r="K1271" s="69" t="s">
        <v>3093</v>
      </c>
    </row>
    <row r="1272" spans="1:11" x14ac:dyDescent="0.25">
      <c r="A1272" s="69" t="s">
        <v>258</v>
      </c>
      <c r="B1272" s="70" t="s">
        <v>3153</v>
      </c>
      <c r="C1272" s="69" t="s">
        <v>1847</v>
      </c>
      <c r="D1272" s="71" t="s">
        <v>2387</v>
      </c>
      <c r="E1272" s="69" t="s">
        <v>2388</v>
      </c>
      <c r="F1272" s="69">
        <v>30</v>
      </c>
      <c r="G1272" s="69">
        <v>60</v>
      </c>
      <c r="H1272" s="69" t="s">
        <v>2399</v>
      </c>
      <c r="I1272" s="69" t="s">
        <v>2479</v>
      </c>
      <c r="J1272" s="69" t="s">
        <v>2424</v>
      </c>
      <c r="K1272" s="69"/>
    </row>
    <row r="1273" spans="1:11" x14ac:dyDescent="0.25">
      <c r="A1273" s="69" t="s">
        <v>2273</v>
      </c>
      <c r="B1273" s="70" t="s">
        <v>3153</v>
      </c>
      <c r="C1273" s="69" t="s">
        <v>1847</v>
      </c>
      <c r="D1273" s="71" t="s">
        <v>2387</v>
      </c>
      <c r="E1273" s="69" t="s">
        <v>2388</v>
      </c>
      <c r="F1273" s="69">
        <v>30</v>
      </c>
      <c r="G1273" s="69">
        <v>60</v>
      </c>
      <c r="H1273" s="69" t="s">
        <v>2399</v>
      </c>
      <c r="I1273" s="69" t="s">
        <v>2479</v>
      </c>
      <c r="J1273" s="69" t="s">
        <v>2424</v>
      </c>
      <c r="K1273" s="69"/>
    </row>
    <row r="1274" spans="1:11" x14ac:dyDescent="0.25">
      <c r="A1274" s="69" t="s">
        <v>261</v>
      </c>
      <c r="B1274" s="70" t="s">
        <v>3153</v>
      </c>
      <c r="C1274" s="69" t="s">
        <v>1847</v>
      </c>
      <c r="D1274" s="71" t="s">
        <v>2387</v>
      </c>
      <c r="E1274" s="69" t="s">
        <v>2388</v>
      </c>
      <c r="F1274" s="69">
        <v>30</v>
      </c>
      <c r="G1274" s="69">
        <v>60</v>
      </c>
      <c r="H1274" s="69" t="s">
        <v>2399</v>
      </c>
      <c r="I1274" s="69" t="s">
        <v>2479</v>
      </c>
      <c r="J1274" s="69" t="s">
        <v>2424</v>
      </c>
      <c r="K1274" s="69"/>
    </row>
    <row r="1275" spans="1:11" x14ac:dyDescent="0.25">
      <c r="A1275" s="69" t="s">
        <v>264</v>
      </c>
      <c r="B1275" s="70" t="s">
        <v>3153</v>
      </c>
      <c r="C1275" s="69" t="s">
        <v>1847</v>
      </c>
      <c r="D1275" s="71" t="s">
        <v>2387</v>
      </c>
      <c r="E1275" s="69" t="s">
        <v>2388</v>
      </c>
      <c r="F1275" s="69">
        <v>30</v>
      </c>
      <c r="G1275" s="69">
        <v>60</v>
      </c>
      <c r="H1275" s="69" t="s">
        <v>2399</v>
      </c>
      <c r="I1275" s="69" t="s">
        <v>2479</v>
      </c>
      <c r="J1275" s="69" t="s">
        <v>2424</v>
      </c>
      <c r="K1275" s="69"/>
    </row>
    <row r="1276" spans="1:11" x14ac:dyDescent="0.25">
      <c r="A1276" s="69" t="s">
        <v>267</v>
      </c>
      <c r="B1276" s="70" t="s">
        <v>3153</v>
      </c>
      <c r="C1276" s="69" t="s">
        <v>1847</v>
      </c>
      <c r="D1276" s="71" t="s">
        <v>2387</v>
      </c>
      <c r="E1276" s="69" t="s">
        <v>2388</v>
      </c>
      <c r="F1276" s="69">
        <v>30</v>
      </c>
      <c r="G1276" s="69">
        <v>60</v>
      </c>
      <c r="H1276" s="69" t="s">
        <v>2399</v>
      </c>
      <c r="I1276" s="69" t="s">
        <v>2479</v>
      </c>
      <c r="J1276" s="69" t="s">
        <v>2424</v>
      </c>
      <c r="K1276" s="69"/>
    </row>
    <row r="1277" spans="1:11" x14ac:dyDescent="0.25">
      <c r="A1277" s="69" t="s">
        <v>270</v>
      </c>
      <c r="B1277" s="70" t="s">
        <v>3153</v>
      </c>
      <c r="C1277" s="69" t="s">
        <v>1847</v>
      </c>
      <c r="D1277" s="71" t="s">
        <v>2387</v>
      </c>
      <c r="E1277" s="69" t="s">
        <v>2388</v>
      </c>
      <c r="F1277" s="69">
        <v>30</v>
      </c>
      <c r="G1277" s="69">
        <v>60</v>
      </c>
      <c r="H1277" s="69" t="s">
        <v>2399</v>
      </c>
      <c r="I1277" s="69" t="s">
        <v>2479</v>
      </c>
      <c r="J1277" s="69" t="s">
        <v>2424</v>
      </c>
      <c r="K1277" s="69" t="s">
        <v>3105</v>
      </c>
    </row>
    <row r="1278" spans="1:11" x14ac:dyDescent="0.25">
      <c r="A1278" s="69" t="s">
        <v>276</v>
      </c>
      <c r="B1278" s="70" t="s">
        <v>3153</v>
      </c>
      <c r="C1278" s="69" t="s">
        <v>1847</v>
      </c>
      <c r="D1278" s="71" t="s">
        <v>2387</v>
      </c>
      <c r="E1278" s="69" t="s">
        <v>2388</v>
      </c>
      <c r="F1278" s="69">
        <v>30</v>
      </c>
      <c r="G1278" s="69">
        <v>60</v>
      </c>
      <c r="H1278" s="69" t="s">
        <v>2399</v>
      </c>
      <c r="I1278" s="69" t="s">
        <v>2479</v>
      </c>
      <c r="J1278" s="69" t="s">
        <v>2424</v>
      </c>
      <c r="K1278" s="69" t="s">
        <v>3105</v>
      </c>
    </row>
    <row r="1279" spans="1:11" x14ac:dyDescent="0.25">
      <c r="A1279" s="69" t="s">
        <v>273</v>
      </c>
      <c r="B1279" s="70" t="s">
        <v>3153</v>
      </c>
      <c r="C1279" s="69" t="s">
        <v>1847</v>
      </c>
      <c r="D1279" s="71" t="s">
        <v>2387</v>
      </c>
      <c r="E1279" s="69" t="s">
        <v>2388</v>
      </c>
      <c r="F1279" s="69">
        <v>30</v>
      </c>
      <c r="G1279" s="69">
        <v>60</v>
      </c>
      <c r="H1279" s="69" t="s">
        <v>2399</v>
      </c>
      <c r="I1279" s="69" t="s">
        <v>2479</v>
      </c>
      <c r="J1279" s="69" t="s">
        <v>2424</v>
      </c>
      <c r="K1279" s="69"/>
    </row>
    <row r="1280" spans="1:11" x14ac:dyDescent="0.25">
      <c r="A1280" s="69" t="s">
        <v>2239</v>
      </c>
      <c r="B1280" s="70" t="s">
        <v>3153</v>
      </c>
      <c r="C1280" s="69" t="s">
        <v>1847</v>
      </c>
      <c r="D1280" s="71" t="s">
        <v>2387</v>
      </c>
      <c r="E1280" s="69" t="s">
        <v>2388</v>
      </c>
      <c r="F1280" s="69">
        <v>30</v>
      </c>
      <c r="G1280" s="69">
        <v>60</v>
      </c>
      <c r="H1280" s="69" t="s">
        <v>2399</v>
      </c>
      <c r="I1280" s="69" t="s">
        <v>2479</v>
      </c>
      <c r="J1280" s="69" t="s">
        <v>2424</v>
      </c>
      <c r="K1280" s="69"/>
    </row>
    <row r="1281" spans="1:12" x14ac:dyDescent="0.25">
      <c r="A1281" s="69" t="s">
        <v>1773</v>
      </c>
      <c r="B1281" s="70" t="s">
        <v>3153</v>
      </c>
      <c r="C1281" s="69" t="s">
        <v>1847</v>
      </c>
      <c r="D1281" s="71" t="s">
        <v>2387</v>
      </c>
      <c r="E1281" s="69" t="s">
        <v>2388</v>
      </c>
      <c r="F1281" s="69">
        <v>30</v>
      </c>
      <c r="G1281" s="69">
        <v>0</v>
      </c>
      <c r="H1281" s="69" t="s">
        <v>2412</v>
      </c>
      <c r="I1281" s="69" t="s">
        <v>2410</v>
      </c>
      <c r="J1281" s="69" t="s">
        <v>2427</v>
      </c>
      <c r="K1281" s="69"/>
      <c r="L1281" s="72" t="s">
        <v>2387</v>
      </c>
    </row>
    <row r="1282" spans="1:12" x14ac:dyDescent="0.25">
      <c r="A1282" s="69" t="s">
        <v>2116</v>
      </c>
      <c r="B1282" s="70" t="s">
        <v>3153</v>
      </c>
      <c r="C1282" s="69" t="s">
        <v>1847</v>
      </c>
      <c r="D1282" s="71" t="s">
        <v>2387</v>
      </c>
      <c r="E1282" s="69" t="s">
        <v>2388</v>
      </c>
      <c r="F1282" s="69">
        <v>30</v>
      </c>
      <c r="G1282" s="69">
        <v>0</v>
      </c>
      <c r="H1282" s="69" t="s">
        <v>2412</v>
      </c>
      <c r="I1282" s="69" t="s">
        <v>2410</v>
      </c>
      <c r="J1282" s="69" t="s">
        <v>2427</v>
      </c>
      <c r="K1282" s="69" t="s">
        <v>3168</v>
      </c>
      <c r="L1282" s="72" t="s">
        <v>2387</v>
      </c>
    </row>
    <row r="1283" spans="1:12" x14ac:dyDescent="0.25">
      <c r="A1283" s="69" t="s">
        <v>279</v>
      </c>
      <c r="B1283" s="70" t="s">
        <v>3153</v>
      </c>
      <c r="C1283" s="69" t="s">
        <v>1847</v>
      </c>
      <c r="D1283" s="71" t="s">
        <v>2387</v>
      </c>
      <c r="E1283" s="69" t="s">
        <v>2388</v>
      </c>
      <c r="F1283" s="69">
        <v>30</v>
      </c>
      <c r="G1283" s="69">
        <v>60</v>
      </c>
      <c r="H1283" s="69" t="s">
        <v>2399</v>
      </c>
      <c r="I1283" s="69" t="s">
        <v>2479</v>
      </c>
      <c r="J1283" s="69" t="s">
        <v>2424</v>
      </c>
      <c r="K1283" s="69"/>
    </row>
    <row r="1284" spans="1:12" x14ac:dyDescent="0.25">
      <c r="A1284" s="69" t="s">
        <v>282</v>
      </c>
      <c r="B1284" s="70" t="s">
        <v>3153</v>
      </c>
      <c r="C1284" s="69" t="s">
        <v>1847</v>
      </c>
      <c r="D1284" s="71" t="s">
        <v>2387</v>
      </c>
      <c r="E1284" s="69" t="s">
        <v>2388</v>
      </c>
      <c r="F1284" s="69">
        <v>30</v>
      </c>
      <c r="G1284" s="69">
        <v>60</v>
      </c>
      <c r="H1284" s="69" t="s">
        <v>2399</v>
      </c>
      <c r="I1284" s="69" t="s">
        <v>2479</v>
      </c>
      <c r="J1284" s="69" t="s">
        <v>2424</v>
      </c>
      <c r="K1284" s="69"/>
    </row>
    <row r="1285" spans="1:12" x14ac:dyDescent="0.25">
      <c r="A1285" s="69" t="s">
        <v>292</v>
      </c>
      <c r="B1285" s="70" t="s">
        <v>3153</v>
      </c>
      <c r="C1285" s="69" t="s">
        <v>1847</v>
      </c>
      <c r="D1285" s="71" t="s">
        <v>2387</v>
      </c>
      <c r="E1285" s="69" t="s">
        <v>2388</v>
      </c>
      <c r="F1285" s="69">
        <v>30</v>
      </c>
      <c r="G1285" s="69">
        <v>60</v>
      </c>
      <c r="H1285" s="69" t="s">
        <v>2399</v>
      </c>
      <c r="I1285" s="69" t="s">
        <v>2479</v>
      </c>
      <c r="J1285" s="69" t="s">
        <v>2424</v>
      </c>
      <c r="K1285" s="69"/>
    </row>
    <row r="1286" spans="1:12" x14ac:dyDescent="0.25">
      <c r="A1286" s="69" t="s">
        <v>2254</v>
      </c>
      <c r="B1286" s="70" t="s">
        <v>3153</v>
      </c>
      <c r="C1286" s="69" t="s">
        <v>1847</v>
      </c>
      <c r="D1286" s="71" t="s">
        <v>2387</v>
      </c>
      <c r="E1286" s="69" t="s">
        <v>2388</v>
      </c>
      <c r="F1286" s="69">
        <v>30</v>
      </c>
      <c r="G1286" s="69">
        <v>60</v>
      </c>
      <c r="H1286" s="69" t="s">
        <v>2399</v>
      </c>
      <c r="I1286" s="69" t="s">
        <v>2479</v>
      </c>
      <c r="J1286" s="69" t="s">
        <v>2424</v>
      </c>
      <c r="K1286" s="69"/>
    </row>
    <row r="1287" spans="1:12" x14ac:dyDescent="0.25">
      <c r="A1287" s="69" t="s">
        <v>2246</v>
      </c>
      <c r="B1287" s="70" t="s">
        <v>3153</v>
      </c>
      <c r="C1287" s="69" t="s">
        <v>1847</v>
      </c>
      <c r="D1287" s="71" t="s">
        <v>2387</v>
      </c>
      <c r="E1287" s="69" t="s">
        <v>2388</v>
      </c>
      <c r="F1287" s="69">
        <v>30</v>
      </c>
      <c r="G1287" s="69">
        <v>60</v>
      </c>
      <c r="H1287" s="69" t="s">
        <v>2399</v>
      </c>
      <c r="I1287" s="69" t="s">
        <v>2479</v>
      </c>
      <c r="J1287" s="69" t="s">
        <v>2424</v>
      </c>
      <c r="K1287" s="69"/>
    </row>
    <row r="1288" spans="1:12" x14ac:dyDescent="0.25">
      <c r="A1288" s="69" t="s">
        <v>295</v>
      </c>
      <c r="B1288" s="70" t="s">
        <v>3153</v>
      </c>
      <c r="C1288" s="69" t="s">
        <v>1847</v>
      </c>
      <c r="D1288" s="71" t="s">
        <v>2387</v>
      </c>
      <c r="E1288" s="69" t="s">
        <v>2388</v>
      </c>
      <c r="F1288" s="69">
        <v>30</v>
      </c>
      <c r="G1288" s="69">
        <v>60</v>
      </c>
      <c r="H1288" s="69" t="s">
        <v>2399</v>
      </c>
      <c r="I1288" s="69" t="s">
        <v>2479</v>
      </c>
      <c r="J1288" s="69" t="s">
        <v>2424</v>
      </c>
      <c r="K1288" s="69"/>
    </row>
    <row r="1289" spans="1:12" x14ac:dyDescent="0.25">
      <c r="A1289" s="69" t="s">
        <v>298</v>
      </c>
      <c r="B1289" s="70" t="s">
        <v>3153</v>
      </c>
      <c r="C1289" s="69" t="s">
        <v>1847</v>
      </c>
      <c r="D1289" s="71" t="s">
        <v>2387</v>
      </c>
      <c r="E1289" s="69" t="s">
        <v>2388</v>
      </c>
      <c r="F1289" s="69">
        <v>30</v>
      </c>
      <c r="G1289" s="69">
        <v>60</v>
      </c>
      <c r="H1289" s="69" t="s">
        <v>2399</v>
      </c>
      <c r="I1289" s="69" t="s">
        <v>2479</v>
      </c>
      <c r="J1289" s="69" t="s">
        <v>2424</v>
      </c>
      <c r="K1289" s="69"/>
    </row>
    <row r="1290" spans="1:12" x14ac:dyDescent="0.25">
      <c r="A1290" s="69" t="s">
        <v>2245</v>
      </c>
      <c r="B1290" s="70" t="s">
        <v>3153</v>
      </c>
      <c r="C1290" s="69" t="s">
        <v>1847</v>
      </c>
      <c r="D1290" s="71" t="s">
        <v>2387</v>
      </c>
      <c r="E1290" s="69" t="s">
        <v>2388</v>
      </c>
      <c r="F1290" s="69">
        <v>30</v>
      </c>
      <c r="G1290" s="69">
        <v>60</v>
      </c>
      <c r="H1290" s="69" t="s">
        <v>2399</v>
      </c>
      <c r="I1290" s="69" t="s">
        <v>2479</v>
      </c>
      <c r="J1290" s="69" t="s">
        <v>2424</v>
      </c>
      <c r="K1290" s="69"/>
    </row>
    <row r="1291" spans="1:12" x14ac:dyDescent="0.25">
      <c r="A1291" s="69" t="s">
        <v>2236</v>
      </c>
      <c r="B1291" s="70" t="s">
        <v>3153</v>
      </c>
      <c r="C1291" s="69" t="s">
        <v>1847</v>
      </c>
      <c r="D1291" s="71" t="s">
        <v>2387</v>
      </c>
      <c r="E1291" s="69" t="s">
        <v>2388</v>
      </c>
      <c r="F1291" s="69">
        <v>30</v>
      </c>
      <c r="G1291" s="69">
        <v>60</v>
      </c>
      <c r="H1291" s="69" t="s">
        <v>2399</v>
      </c>
      <c r="I1291" s="69" t="s">
        <v>2479</v>
      </c>
      <c r="J1291" s="69" t="s">
        <v>2424</v>
      </c>
      <c r="K1291" s="69"/>
    </row>
    <row r="1292" spans="1:12" x14ac:dyDescent="0.25">
      <c r="A1292" s="69" t="s">
        <v>2243</v>
      </c>
      <c r="B1292" s="70" t="s">
        <v>3153</v>
      </c>
      <c r="C1292" s="69" t="s">
        <v>1847</v>
      </c>
      <c r="D1292" s="71" t="s">
        <v>2387</v>
      </c>
      <c r="E1292" s="69" t="s">
        <v>2388</v>
      </c>
      <c r="F1292" s="69">
        <v>30</v>
      </c>
      <c r="G1292" s="69">
        <v>60</v>
      </c>
      <c r="H1292" s="69" t="s">
        <v>2399</v>
      </c>
      <c r="I1292" s="69" t="s">
        <v>2479</v>
      </c>
      <c r="J1292" s="69" t="s">
        <v>2424</v>
      </c>
      <c r="K1292" s="69"/>
    </row>
    <row r="1293" spans="1:12" x14ac:dyDescent="0.25">
      <c r="A1293" s="69" t="s">
        <v>2244</v>
      </c>
      <c r="B1293" s="70" t="s">
        <v>3153</v>
      </c>
      <c r="C1293" s="69" t="s">
        <v>1847</v>
      </c>
      <c r="D1293" s="71" t="s">
        <v>2387</v>
      </c>
      <c r="E1293" s="69" t="s">
        <v>2388</v>
      </c>
      <c r="F1293" s="69">
        <v>30</v>
      </c>
      <c r="G1293" s="69">
        <v>60</v>
      </c>
      <c r="H1293" s="69" t="s">
        <v>2399</v>
      </c>
      <c r="I1293" s="69" t="s">
        <v>2479</v>
      </c>
      <c r="J1293" s="69" t="s">
        <v>2424</v>
      </c>
      <c r="K1293" s="69"/>
    </row>
    <row r="1294" spans="1:12" x14ac:dyDescent="0.25">
      <c r="A1294" s="69" t="s">
        <v>2248</v>
      </c>
      <c r="B1294" s="70" t="s">
        <v>3153</v>
      </c>
      <c r="C1294" s="69" t="s">
        <v>1847</v>
      </c>
      <c r="D1294" s="71" t="s">
        <v>2387</v>
      </c>
      <c r="E1294" s="69" t="s">
        <v>2388</v>
      </c>
      <c r="F1294" s="69">
        <v>30</v>
      </c>
      <c r="G1294" s="69">
        <v>60</v>
      </c>
      <c r="H1294" s="69" t="s">
        <v>2399</v>
      </c>
      <c r="I1294" s="69" t="s">
        <v>2479</v>
      </c>
      <c r="J1294" s="69" t="s">
        <v>2401</v>
      </c>
      <c r="K1294" s="69"/>
    </row>
    <row r="1295" spans="1:12" x14ac:dyDescent="0.25">
      <c r="A1295" s="80" t="s">
        <v>2218</v>
      </c>
      <c r="B1295" s="70" t="s">
        <v>3153</v>
      </c>
      <c r="C1295" s="69" t="s">
        <v>1847</v>
      </c>
      <c r="D1295" s="71" t="s">
        <v>2387</v>
      </c>
      <c r="E1295" s="69" t="s">
        <v>2388</v>
      </c>
      <c r="F1295" s="69">
        <v>30</v>
      </c>
      <c r="G1295" s="69">
        <v>60</v>
      </c>
      <c r="H1295" s="69" t="s">
        <v>2399</v>
      </c>
      <c r="I1295" s="69" t="s">
        <v>2479</v>
      </c>
      <c r="J1295" s="69" t="s">
        <v>2424</v>
      </c>
      <c r="K1295" s="69"/>
    </row>
    <row r="1296" spans="1:12" x14ac:dyDescent="0.25">
      <c r="A1296" s="80" t="s">
        <v>2217</v>
      </c>
      <c r="B1296" s="70" t="s">
        <v>3153</v>
      </c>
      <c r="C1296" s="69" t="s">
        <v>1847</v>
      </c>
      <c r="D1296" s="71" t="s">
        <v>2387</v>
      </c>
      <c r="E1296" s="69" t="s">
        <v>2388</v>
      </c>
      <c r="F1296" s="69">
        <v>30</v>
      </c>
      <c r="G1296" s="69">
        <v>60</v>
      </c>
      <c r="H1296" s="69" t="s">
        <v>2399</v>
      </c>
      <c r="I1296" s="69" t="s">
        <v>2394</v>
      </c>
      <c r="J1296" s="69" t="s">
        <v>2424</v>
      </c>
      <c r="K1296" s="69"/>
    </row>
    <row r="1297" spans="1:11" x14ac:dyDescent="0.25">
      <c r="A1297" s="69" t="s">
        <v>2951</v>
      </c>
      <c r="B1297" s="70" t="s">
        <v>3153</v>
      </c>
      <c r="C1297" s="69" t="s">
        <v>1847</v>
      </c>
      <c r="D1297" s="71" t="s">
        <v>2387</v>
      </c>
      <c r="E1297" s="69" t="s">
        <v>2388</v>
      </c>
      <c r="F1297" s="69">
        <v>30</v>
      </c>
      <c r="G1297" s="69">
        <v>60</v>
      </c>
      <c r="H1297" s="69" t="s">
        <v>2399</v>
      </c>
      <c r="I1297" s="69" t="s">
        <v>2479</v>
      </c>
      <c r="J1297" s="69"/>
      <c r="K1297" s="69"/>
    </row>
    <row r="1298" spans="1:11" x14ac:dyDescent="0.25">
      <c r="A1298" s="69" t="s">
        <v>225</v>
      </c>
      <c r="B1298" s="70" t="s">
        <v>3216</v>
      </c>
      <c r="C1298" s="69" t="s">
        <v>2991</v>
      </c>
      <c r="D1298" s="71" t="s">
        <v>2387</v>
      </c>
      <c r="E1298" s="69" t="s">
        <v>2388</v>
      </c>
      <c r="F1298" s="69">
        <v>30</v>
      </c>
      <c r="G1298" s="69">
        <v>60</v>
      </c>
      <c r="H1298" s="69" t="s">
        <v>2399</v>
      </c>
      <c r="I1298" s="69" t="s">
        <v>2479</v>
      </c>
      <c r="J1298" s="69" t="s">
        <v>2424</v>
      </c>
      <c r="K1298" s="69"/>
    </row>
    <row r="1299" spans="1:11" x14ac:dyDescent="0.25">
      <c r="A1299" s="69" t="s">
        <v>222</v>
      </c>
      <c r="B1299" s="70" t="s">
        <v>3216</v>
      </c>
      <c r="C1299" s="69" t="s">
        <v>2991</v>
      </c>
      <c r="D1299" s="71" t="s">
        <v>2387</v>
      </c>
      <c r="E1299" s="69" t="s">
        <v>2388</v>
      </c>
      <c r="F1299" s="69">
        <v>30</v>
      </c>
      <c r="G1299" s="69">
        <v>60</v>
      </c>
      <c r="H1299" s="69" t="s">
        <v>2399</v>
      </c>
      <c r="I1299" s="69" t="s">
        <v>2479</v>
      </c>
      <c r="J1299" s="69" t="s">
        <v>2424</v>
      </c>
      <c r="K1299" s="69"/>
    </row>
    <row r="1300" spans="1:11" x14ac:dyDescent="0.25">
      <c r="A1300" s="69" t="s">
        <v>222</v>
      </c>
      <c r="B1300" s="70" t="s">
        <v>3216</v>
      </c>
      <c r="C1300" s="69" t="s">
        <v>2991</v>
      </c>
      <c r="D1300" s="71" t="s">
        <v>2387</v>
      </c>
      <c r="E1300" s="69" t="s">
        <v>2388</v>
      </c>
      <c r="F1300" s="69">
        <v>30</v>
      </c>
      <c r="G1300" s="69">
        <v>60</v>
      </c>
      <c r="H1300" s="69" t="s">
        <v>2399</v>
      </c>
      <c r="I1300" s="69" t="s">
        <v>2479</v>
      </c>
      <c r="J1300" s="69" t="s">
        <v>2424</v>
      </c>
      <c r="K1300" s="69"/>
    </row>
    <row r="1301" spans="1:11" x14ac:dyDescent="0.25">
      <c r="A1301" s="69" t="s">
        <v>2225</v>
      </c>
      <c r="B1301" s="70" t="s">
        <v>3216</v>
      </c>
      <c r="C1301" s="69" t="s">
        <v>2991</v>
      </c>
      <c r="D1301" s="71" t="s">
        <v>2387</v>
      </c>
      <c r="E1301" s="69" t="s">
        <v>2388</v>
      </c>
      <c r="F1301" s="69">
        <v>30</v>
      </c>
      <c r="G1301" s="69">
        <v>60</v>
      </c>
      <c r="H1301" s="69" t="s">
        <v>2399</v>
      </c>
      <c r="I1301" s="69" t="s">
        <v>2479</v>
      </c>
      <c r="J1301" s="69" t="s">
        <v>2424</v>
      </c>
      <c r="K1301" s="69"/>
    </row>
    <row r="1302" spans="1:11" x14ac:dyDescent="0.25">
      <c r="A1302" s="69" t="s">
        <v>216</v>
      </c>
      <c r="B1302" s="70" t="s">
        <v>3216</v>
      </c>
      <c r="C1302" s="69" t="s">
        <v>2991</v>
      </c>
      <c r="D1302" s="71" t="s">
        <v>2387</v>
      </c>
      <c r="E1302" s="69" t="s">
        <v>2388</v>
      </c>
      <c r="F1302" s="69">
        <v>30</v>
      </c>
      <c r="G1302" s="69">
        <v>60</v>
      </c>
      <c r="H1302" s="69" t="s">
        <v>2399</v>
      </c>
      <c r="I1302" s="69" t="s">
        <v>2479</v>
      </c>
      <c r="J1302" s="69" t="s">
        <v>2424</v>
      </c>
      <c r="K1302" s="69"/>
    </row>
    <row r="1303" spans="1:11" x14ac:dyDescent="0.25">
      <c r="A1303" s="69" t="s">
        <v>2224</v>
      </c>
      <c r="B1303" s="70" t="s">
        <v>3216</v>
      </c>
      <c r="C1303" s="69" t="s">
        <v>2991</v>
      </c>
      <c r="D1303" s="71" t="s">
        <v>2387</v>
      </c>
      <c r="E1303" s="69" t="s">
        <v>2388</v>
      </c>
      <c r="F1303" s="69">
        <v>30</v>
      </c>
      <c r="G1303" s="69">
        <v>60</v>
      </c>
      <c r="H1303" s="69" t="s">
        <v>2399</v>
      </c>
      <c r="I1303" s="69" t="s">
        <v>2479</v>
      </c>
      <c r="J1303" s="69" t="s">
        <v>2424</v>
      </c>
      <c r="K1303" s="69"/>
    </row>
    <row r="1304" spans="1:11" x14ac:dyDescent="0.25">
      <c r="A1304" s="69" t="s">
        <v>2223</v>
      </c>
      <c r="B1304" s="70" t="s">
        <v>3216</v>
      </c>
      <c r="C1304" s="69" t="s">
        <v>2991</v>
      </c>
      <c r="D1304" s="71" t="s">
        <v>2387</v>
      </c>
      <c r="E1304" s="69" t="s">
        <v>2388</v>
      </c>
      <c r="F1304" s="69">
        <v>30</v>
      </c>
      <c r="G1304" s="69">
        <v>60</v>
      </c>
      <c r="H1304" s="69" t="s">
        <v>2399</v>
      </c>
      <c r="I1304" s="69" t="s">
        <v>2479</v>
      </c>
      <c r="J1304" s="69" t="s">
        <v>2424</v>
      </c>
      <c r="K1304" s="69"/>
    </row>
    <row r="1305" spans="1:11" x14ac:dyDescent="0.25">
      <c r="A1305" s="69" t="s">
        <v>199</v>
      </c>
      <c r="B1305" s="70" t="s">
        <v>3216</v>
      </c>
      <c r="C1305" s="69" t="s">
        <v>2991</v>
      </c>
      <c r="D1305" s="71" t="s">
        <v>2387</v>
      </c>
      <c r="E1305" s="69" t="s">
        <v>2388</v>
      </c>
      <c r="F1305" s="69">
        <v>30</v>
      </c>
      <c r="G1305" s="69">
        <v>60</v>
      </c>
      <c r="H1305" s="69" t="s">
        <v>2399</v>
      </c>
      <c r="I1305" s="69" t="s">
        <v>2479</v>
      </c>
      <c r="J1305" s="69" t="s">
        <v>2424</v>
      </c>
      <c r="K1305" s="69"/>
    </row>
    <row r="1306" spans="1:11" x14ac:dyDescent="0.25">
      <c r="A1306" s="69" t="s">
        <v>2235</v>
      </c>
      <c r="B1306" s="70" t="s">
        <v>3216</v>
      </c>
      <c r="C1306" s="69" t="s">
        <v>2991</v>
      </c>
      <c r="D1306" s="71" t="s">
        <v>2387</v>
      </c>
      <c r="E1306" s="69" t="s">
        <v>2388</v>
      </c>
      <c r="F1306" s="69">
        <v>30</v>
      </c>
      <c r="G1306" s="69">
        <v>60</v>
      </c>
      <c r="H1306" s="69" t="s">
        <v>2412</v>
      </c>
      <c r="I1306" s="69" t="s">
        <v>2479</v>
      </c>
      <c r="J1306" s="69" t="s">
        <v>2424</v>
      </c>
      <c r="K1306" s="69" t="s">
        <v>3026</v>
      </c>
    </row>
    <row r="1307" spans="1:11" x14ac:dyDescent="0.25">
      <c r="A1307" s="69" t="s">
        <v>2234</v>
      </c>
      <c r="B1307" s="70" t="s">
        <v>3216</v>
      </c>
      <c r="C1307" s="69" t="s">
        <v>2991</v>
      </c>
      <c r="D1307" s="71" t="s">
        <v>2387</v>
      </c>
      <c r="E1307" s="69" t="s">
        <v>2388</v>
      </c>
      <c r="F1307" s="69">
        <v>30</v>
      </c>
      <c r="G1307" s="69">
        <v>60</v>
      </c>
      <c r="H1307" s="69" t="s">
        <v>2412</v>
      </c>
      <c r="I1307" s="69" t="s">
        <v>2479</v>
      </c>
      <c r="J1307" s="69" t="s">
        <v>2424</v>
      </c>
      <c r="K1307" s="69" t="s">
        <v>3026</v>
      </c>
    </row>
    <row r="1308" spans="1:11" x14ac:dyDescent="0.25">
      <c r="A1308" s="69" t="s">
        <v>2300</v>
      </c>
      <c r="B1308" s="70" t="s">
        <v>3216</v>
      </c>
      <c r="C1308" s="69" t="s">
        <v>2991</v>
      </c>
      <c r="D1308" s="71" t="s">
        <v>2387</v>
      </c>
      <c r="E1308" s="69" t="s">
        <v>2388</v>
      </c>
      <c r="F1308" s="69">
        <v>30</v>
      </c>
      <c r="G1308" s="69">
        <v>60</v>
      </c>
      <c r="H1308" s="69" t="s">
        <v>2399</v>
      </c>
      <c r="I1308" s="69" t="s">
        <v>2479</v>
      </c>
      <c r="J1308" s="69" t="s">
        <v>2424</v>
      </c>
      <c r="K1308" s="69"/>
    </row>
    <row r="1309" spans="1:11" x14ac:dyDescent="0.25">
      <c r="A1309" s="69" t="s">
        <v>166</v>
      </c>
      <c r="B1309" s="70" t="s">
        <v>3216</v>
      </c>
      <c r="C1309" s="69" t="s">
        <v>2991</v>
      </c>
      <c r="D1309" s="71" t="s">
        <v>2387</v>
      </c>
      <c r="E1309" s="69" t="s">
        <v>2388</v>
      </c>
      <c r="F1309" s="69">
        <v>30</v>
      </c>
      <c r="G1309" s="69">
        <v>60</v>
      </c>
      <c r="H1309" s="69" t="s">
        <v>2399</v>
      </c>
      <c r="I1309" s="69" t="s">
        <v>2479</v>
      </c>
      <c r="J1309" s="69" t="s">
        <v>2424</v>
      </c>
      <c r="K1309" s="69"/>
    </row>
    <row r="1310" spans="1:11" x14ac:dyDescent="0.25">
      <c r="A1310" s="69" t="s">
        <v>163</v>
      </c>
      <c r="B1310" s="70" t="s">
        <v>3216</v>
      </c>
      <c r="C1310" s="69" t="s">
        <v>2991</v>
      </c>
      <c r="D1310" s="71" t="s">
        <v>2387</v>
      </c>
      <c r="E1310" s="69" t="s">
        <v>2388</v>
      </c>
      <c r="F1310" s="69">
        <v>30</v>
      </c>
      <c r="G1310" s="69">
        <v>60</v>
      </c>
      <c r="H1310" s="69" t="s">
        <v>2399</v>
      </c>
      <c r="I1310" s="69" t="s">
        <v>2479</v>
      </c>
      <c r="J1310" s="69" t="s">
        <v>2424</v>
      </c>
      <c r="K1310" s="69"/>
    </row>
    <row r="1311" spans="1:11" x14ac:dyDescent="0.25">
      <c r="A1311" s="69" t="s">
        <v>160</v>
      </c>
      <c r="B1311" s="70" t="s">
        <v>3216</v>
      </c>
      <c r="C1311" s="69" t="s">
        <v>2991</v>
      </c>
      <c r="D1311" s="71" t="s">
        <v>2387</v>
      </c>
      <c r="E1311" s="69" t="s">
        <v>2388</v>
      </c>
      <c r="F1311" s="69">
        <v>30</v>
      </c>
      <c r="G1311" s="69">
        <v>60</v>
      </c>
      <c r="H1311" s="69" t="s">
        <v>2399</v>
      </c>
      <c r="I1311" s="69" t="s">
        <v>2479</v>
      </c>
      <c r="J1311" s="69" t="s">
        <v>2424</v>
      </c>
      <c r="K1311" s="69"/>
    </row>
    <row r="1312" spans="1:11" x14ac:dyDescent="0.25">
      <c r="A1312" s="69" t="s">
        <v>157</v>
      </c>
      <c r="B1312" s="70" t="s">
        <v>3216</v>
      </c>
      <c r="C1312" s="69" t="s">
        <v>2991</v>
      </c>
      <c r="D1312" s="71" t="s">
        <v>2387</v>
      </c>
      <c r="E1312" s="69" t="s">
        <v>2388</v>
      </c>
      <c r="F1312" s="69">
        <v>30</v>
      </c>
      <c r="G1312" s="69">
        <v>60</v>
      </c>
      <c r="H1312" s="69" t="s">
        <v>2399</v>
      </c>
      <c r="I1312" s="69" t="s">
        <v>2479</v>
      </c>
      <c r="J1312" s="69" t="s">
        <v>2424</v>
      </c>
      <c r="K1312" s="69"/>
    </row>
    <row r="1313" spans="1:11" x14ac:dyDescent="0.25">
      <c r="A1313" s="69" t="s">
        <v>154</v>
      </c>
      <c r="B1313" s="70" t="s">
        <v>3216</v>
      </c>
      <c r="C1313" s="69" t="s">
        <v>2991</v>
      </c>
      <c r="D1313" s="71" t="s">
        <v>2387</v>
      </c>
      <c r="E1313" s="69" t="s">
        <v>2388</v>
      </c>
      <c r="F1313" s="69">
        <v>30</v>
      </c>
      <c r="G1313" s="69">
        <v>60</v>
      </c>
      <c r="H1313" s="69" t="s">
        <v>2399</v>
      </c>
      <c r="I1313" s="69" t="s">
        <v>2479</v>
      </c>
      <c r="J1313" s="69" t="s">
        <v>2424</v>
      </c>
      <c r="K1313" s="69"/>
    </row>
    <row r="1314" spans="1:11" x14ac:dyDescent="0.25">
      <c r="A1314" s="69" t="s">
        <v>151</v>
      </c>
      <c r="B1314" s="70" t="s">
        <v>3216</v>
      </c>
      <c r="C1314" s="69" t="s">
        <v>2991</v>
      </c>
      <c r="D1314" s="71" t="s">
        <v>2387</v>
      </c>
      <c r="E1314" s="69" t="s">
        <v>2388</v>
      </c>
      <c r="F1314" s="69">
        <v>30</v>
      </c>
      <c r="G1314" s="69">
        <v>60</v>
      </c>
      <c r="H1314" s="69" t="s">
        <v>2399</v>
      </c>
      <c r="I1314" s="69" t="s">
        <v>2479</v>
      </c>
      <c r="J1314" s="69" t="s">
        <v>2424</v>
      </c>
      <c r="K1314" s="69"/>
    </row>
    <row r="1315" spans="1:11" x14ac:dyDescent="0.25">
      <c r="A1315" s="69" t="s">
        <v>2355</v>
      </c>
      <c r="B1315" s="70" t="s">
        <v>3216</v>
      </c>
      <c r="C1315" s="69" t="s">
        <v>2991</v>
      </c>
      <c r="D1315" s="71" t="s">
        <v>2387</v>
      </c>
      <c r="E1315" s="69" t="s">
        <v>2388</v>
      </c>
      <c r="F1315" s="69">
        <v>30</v>
      </c>
      <c r="G1315" s="69">
        <v>60</v>
      </c>
      <c r="H1315" s="69" t="s">
        <v>2412</v>
      </c>
      <c r="I1315" s="69" t="s">
        <v>2479</v>
      </c>
      <c r="J1315" s="69" t="s">
        <v>3027</v>
      </c>
      <c r="K1315" s="69" t="s">
        <v>3026</v>
      </c>
    </row>
    <row r="1316" spans="1:11" x14ac:dyDescent="0.25">
      <c r="A1316" s="69" t="s">
        <v>2092</v>
      </c>
      <c r="B1316" s="70" t="s">
        <v>3216</v>
      </c>
      <c r="C1316" s="69" t="s">
        <v>2991</v>
      </c>
      <c r="D1316" s="71" t="s">
        <v>2387</v>
      </c>
      <c r="E1316" s="69" t="s">
        <v>2388</v>
      </c>
      <c r="F1316" s="69">
        <v>30</v>
      </c>
      <c r="G1316" s="69">
        <v>60</v>
      </c>
      <c r="H1316" s="69" t="s">
        <v>2399</v>
      </c>
      <c r="I1316" s="69" t="s">
        <v>2479</v>
      </c>
      <c r="J1316" s="69" t="s">
        <v>2424</v>
      </c>
      <c r="K1316" s="69"/>
    </row>
    <row r="1317" spans="1:11" x14ac:dyDescent="0.25">
      <c r="A1317" s="69" t="s">
        <v>136</v>
      </c>
      <c r="B1317" s="70" t="s">
        <v>3216</v>
      </c>
      <c r="C1317" s="69" t="s">
        <v>2991</v>
      </c>
      <c r="D1317" s="71" t="s">
        <v>2387</v>
      </c>
      <c r="E1317" s="69" t="s">
        <v>2388</v>
      </c>
      <c r="F1317" s="69">
        <v>30</v>
      </c>
      <c r="G1317" s="69">
        <v>60</v>
      </c>
      <c r="H1317" s="69" t="s">
        <v>2399</v>
      </c>
      <c r="I1317" s="69" t="s">
        <v>2479</v>
      </c>
      <c r="J1317" s="69" t="s">
        <v>2424</v>
      </c>
      <c r="K1317" s="69"/>
    </row>
    <row r="1318" spans="1:11" x14ac:dyDescent="0.25">
      <c r="A1318" s="69" t="s">
        <v>133</v>
      </c>
      <c r="B1318" s="70" t="s">
        <v>3216</v>
      </c>
      <c r="C1318" s="69" t="s">
        <v>2991</v>
      </c>
      <c r="D1318" s="71" t="s">
        <v>2387</v>
      </c>
      <c r="E1318" s="69" t="s">
        <v>2388</v>
      </c>
      <c r="F1318" s="69">
        <v>30</v>
      </c>
      <c r="G1318" s="69">
        <v>60</v>
      </c>
      <c r="H1318" s="69" t="s">
        <v>2399</v>
      </c>
      <c r="I1318" s="69" t="s">
        <v>2479</v>
      </c>
      <c r="J1318" s="69" t="s">
        <v>2424</v>
      </c>
      <c r="K1318" s="69"/>
    </row>
    <row r="1319" spans="1:11" x14ac:dyDescent="0.25">
      <c r="A1319" s="69" t="s">
        <v>2301</v>
      </c>
      <c r="B1319" s="70" t="s">
        <v>3216</v>
      </c>
      <c r="C1319" s="69" t="s">
        <v>2991</v>
      </c>
      <c r="D1319" s="71" t="s">
        <v>2387</v>
      </c>
      <c r="E1319" s="69" t="s">
        <v>2388</v>
      </c>
      <c r="F1319" s="69">
        <v>30</v>
      </c>
      <c r="G1319" s="69">
        <v>60</v>
      </c>
      <c r="H1319" s="69" t="s">
        <v>2399</v>
      </c>
      <c r="I1319" s="69" t="s">
        <v>2479</v>
      </c>
      <c r="J1319" s="69" t="s">
        <v>2424</v>
      </c>
      <c r="K1319" s="69"/>
    </row>
    <row r="1320" spans="1:11" x14ac:dyDescent="0.25">
      <c r="A1320" s="69" t="s">
        <v>114</v>
      </c>
      <c r="B1320" s="70" t="s">
        <v>3216</v>
      </c>
      <c r="C1320" s="69" t="s">
        <v>2991</v>
      </c>
      <c r="D1320" s="71" t="s">
        <v>2387</v>
      </c>
      <c r="E1320" s="69" t="s">
        <v>2388</v>
      </c>
      <c r="F1320" s="69">
        <v>30</v>
      </c>
      <c r="G1320" s="69">
        <v>60</v>
      </c>
      <c r="H1320" s="69" t="s">
        <v>2399</v>
      </c>
      <c r="I1320" s="69" t="s">
        <v>2479</v>
      </c>
      <c r="J1320" s="69" t="s">
        <v>2424</v>
      </c>
      <c r="K1320" s="69"/>
    </row>
    <row r="1321" spans="1:11" x14ac:dyDescent="0.25">
      <c r="A1321" s="69" t="s">
        <v>109</v>
      </c>
      <c r="B1321" s="70" t="s">
        <v>3216</v>
      </c>
      <c r="C1321" s="69" t="s">
        <v>2991</v>
      </c>
      <c r="D1321" s="71" t="s">
        <v>2387</v>
      </c>
      <c r="E1321" s="69" t="s">
        <v>2388</v>
      </c>
      <c r="F1321" s="69">
        <v>30</v>
      </c>
      <c r="G1321" s="69">
        <v>60</v>
      </c>
      <c r="H1321" s="69" t="s">
        <v>2399</v>
      </c>
      <c r="I1321" s="69" t="s">
        <v>2479</v>
      </c>
      <c r="J1321" s="69" t="s">
        <v>2424</v>
      </c>
      <c r="K1321" s="69"/>
    </row>
    <row r="1322" spans="1:11" x14ac:dyDescent="0.25">
      <c r="A1322" s="69" t="s">
        <v>2083</v>
      </c>
      <c r="B1322" s="70" t="s">
        <v>3216</v>
      </c>
      <c r="C1322" s="69" t="s">
        <v>2991</v>
      </c>
      <c r="D1322" s="71" t="s">
        <v>2387</v>
      </c>
      <c r="E1322" s="69" t="s">
        <v>2388</v>
      </c>
      <c r="F1322" s="69">
        <v>30</v>
      </c>
      <c r="G1322" s="69">
        <v>60</v>
      </c>
      <c r="H1322" s="69" t="s">
        <v>2412</v>
      </c>
      <c r="I1322" s="69" t="s">
        <v>2479</v>
      </c>
      <c r="J1322" s="69" t="s">
        <v>2424</v>
      </c>
      <c r="K1322" s="69" t="s">
        <v>3026</v>
      </c>
    </row>
    <row r="1323" spans="1:11" x14ac:dyDescent="0.25">
      <c r="A1323" s="69" t="s">
        <v>106</v>
      </c>
      <c r="B1323" s="70" t="s">
        <v>3216</v>
      </c>
      <c r="C1323" s="69" t="s">
        <v>2991</v>
      </c>
      <c r="D1323" s="71" t="s">
        <v>2387</v>
      </c>
      <c r="E1323" s="69" t="s">
        <v>2388</v>
      </c>
      <c r="F1323" s="69">
        <v>30</v>
      </c>
      <c r="G1323" s="69">
        <v>60</v>
      </c>
      <c r="H1323" s="69" t="s">
        <v>2399</v>
      </c>
      <c r="I1323" s="69" t="s">
        <v>2479</v>
      </c>
      <c r="J1323" s="69" t="s">
        <v>2424</v>
      </c>
      <c r="K1323" s="69"/>
    </row>
    <row r="1324" spans="1:11" x14ac:dyDescent="0.25">
      <c r="A1324" s="69" t="s">
        <v>81</v>
      </c>
      <c r="B1324" s="70" t="s">
        <v>3216</v>
      </c>
      <c r="C1324" s="69" t="s">
        <v>2991</v>
      </c>
      <c r="D1324" s="71" t="s">
        <v>2387</v>
      </c>
      <c r="E1324" s="69" t="s">
        <v>2388</v>
      </c>
      <c r="F1324" s="69">
        <v>30</v>
      </c>
      <c r="G1324" s="69">
        <v>60</v>
      </c>
      <c r="H1324" s="69" t="s">
        <v>2399</v>
      </c>
      <c r="I1324" s="69" t="s">
        <v>2479</v>
      </c>
      <c r="J1324" s="69" t="s">
        <v>2424</v>
      </c>
      <c r="K1324" s="69"/>
    </row>
    <row r="1325" spans="1:11" x14ac:dyDescent="0.25">
      <c r="A1325" s="69" t="s">
        <v>78</v>
      </c>
      <c r="B1325" s="70" t="s">
        <v>3216</v>
      </c>
      <c r="C1325" s="69" t="s">
        <v>2991</v>
      </c>
      <c r="D1325" s="71" t="s">
        <v>2387</v>
      </c>
      <c r="E1325" s="69" t="s">
        <v>2388</v>
      </c>
      <c r="F1325" s="69">
        <v>30</v>
      </c>
      <c r="G1325" s="69">
        <v>60</v>
      </c>
      <c r="H1325" s="69" t="s">
        <v>2399</v>
      </c>
      <c r="I1325" s="69" t="s">
        <v>2479</v>
      </c>
      <c r="J1325" s="69" t="s">
        <v>2424</v>
      </c>
      <c r="K1325" s="69"/>
    </row>
    <row r="1326" spans="1:11" x14ac:dyDescent="0.25">
      <c r="A1326" s="69" t="s">
        <v>75</v>
      </c>
      <c r="B1326" s="70" t="s">
        <v>3216</v>
      </c>
      <c r="C1326" s="69" t="s">
        <v>2991</v>
      </c>
      <c r="D1326" s="71" t="s">
        <v>2387</v>
      </c>
      <c r="E1326" s="69" t="s">
        <v>2388</v>
      </c>
      <c r="F1326" s="69">
        <v>30</v>
      </c>
      <c r="G1326" s="69">
        <v>60</v>
      </c>
      <c r="H1326" s="69" t="s">
        <v>2399</v>
      </c>
      <c r="I1326" s="69" t="s">
        <v>2479</v>
      </c>
      <c r="J1326" s="69" t="s">
        <v>2424</v>
      </c>
      <c r="K1326" s="69"/>
    </row>
    <row r="1327" spans="1:11" x14ac:dyDescent="0.25">
      <c r="A1327" s="69" t="s">
        <v>72</v>
      </c>
      <c r="B1327" s="70" t="s">
        <v>3216</v>
      </c>
      <c r="C1327" s="69" t="s">
        <v>2991</v>
      </c>
      <c r="D1327" s="71" t="s">
        <v>2387</v>
      </c>
      <c r="E1327" s="69" t="s">
        <v>2388</v>
      </c>
      <c r="F1327" s="69">
        <v>30</v>
      </c>
      <c r="G1327" s="69">
        <v>60</v>
      </c>
      <c r="H1327" s="69" t="s">
        <v>2399</v>
      </c>
      <c r="I1327" s="69" t="s">
        <v>2479</v>
      </c>
      <c r="J1327" s="69" t="s">
        <v>2424</v>
      </c>
      <c r="K1327" s="69"/>
    </row>
    <row r="1328" spans="1:11" x14ac:dyDescent="0.25">
      <c r="A1328" s="69" t="s">
        <v>69</v>
      </c>
      <c r="B1328" s="70" t="s">
        <v>3216</v>
      </c>
      <c r="C1328" s="69" t="s">
        <v>2991</v>
      </c>
      <c r="D1328" s="71" t="s">
        <v>2387</v>
      </c>
      <c r="E1328" s="69" t="s">
        <v>2388</v>
      </c>
      <c r="F1328" s="69">
        <v>30</v>
      </c>
      <c r="G1328" s="69">
        <v>60</v>
      </c>
      <c r="H1328" s="69" t="s">
        <v>2399</v>
      </c>
      <c r="I1328" s="69" t="s">
        <v>2479</v>
      </c>
      <c r="J1328" s="69" t="s">
        <v>2424</v>
      </c>
      <c r="K1328" s="69"/>
    </row>
    <row r="1329" spans="1:11" x14ac:dyDescent="0.25">
      <c r="A1329" s="69" t="s">
        <v>60</v>
      </c>
      <c r="B1329" s="70" t="s">
        <v>3216</v>
      </c>
      <c r="C1329" s="69" t="s">
        <v>2991</v>
      </c>
      <c r="D1329" s="71" t="s">
        <v>2387</v>
      </c>
      <c r="E1329" s="69" t="s">
        <v>2388</v>
      </c>
      <c r="F1329" s="69">
        <v>30</v>
      </c>
      <c r="G1329" s="69">
        <v>60</v>
      </c>
      <c r="H1329" s="69" t="s">
        <v>2399</v>
      </c>
      <c r="I1329" s="69" t="s">
        <v>2479</v>
      </c>
      <c r="J1329" s="69" t="s">
        <v>2424</v>
      </c>
      <c r="K1329" s="69"/>
    </row>
    <row r="1330" spans="1:11" x14ac:dyDescent="0.25">
      <c r="A1330" s="69" t="s">
        <v>57</v>
      </c>
      <c r="B1330" s="70" t="s">
        <v>3216</v>
      </c>
      <c r="C1330" s="69" t="s">
        <v>2991</v>
      </c>
      <c r="D1330" s="71" t="s">
        <v>2387</v>
      </c>
      <c r="E1330" s="69" t="s">
        <v>2388</v>
      </c>
      <c r="F1330" s="69">
        <v>30</v>
      </c>
      <c r="G1330" s="69">
        <v>60</v>
      </c>
      <c r="H1330" s="69" t="s">
        <v>2399</v>
      </c>
      <c r="I1330" s="69" t="s">
        <v>2479</v>
      </c>
      <c r="J1330" s="69" t="s">
        <v>2424</v>
      </c>
      <c r="K1330" s="69"/>
    </row>
    <row r="1331" spans="1:11" x14ac:dyDescent="0.25">
      <c r="A1331" s="69" t="s">
        <v>54</v>
      </c>
      <c r="B1331" s="70" t="s">
        <v>3216</v>
      </c>
      <c r="C1331" s="69" t="s">
        <v>2991</v>
      </c>
      <c r="D1331" s="71" t="s">
        <v>2387</v>
      </c>
      <c r="E1331" s="69" t="s">
        <v>2388</v>
      </c>
      <c r="F1331" s="69">
        <v>30</v>
      </c>
      <c r="G1331" s="69">
        <v>60</v>
      </c>
      <c r="H1331" s="69" t="s">
        <v>2399</v>
      </c>
      <c r="I1331" s="69" t="s">
        <v>2479</v>
      </c>
      <c r="J1331" s="69" t="s">
        <v>2424</v>
      </c>
      <c r="K1331" s="69"/>
    </row>
    <row r="1332" spans="1:11" x14ac:dyDescent="0.25">
      <c r="A1332" s="69" t="s">
        <v>51</v>
      </c>
      <c r="B1332" s="70" t="s">
        <v>3216</v>
      </c>
      <c r="C1332" s="69" t="s">
        <v>2991</v>
      </c>
      <c r="D1332" s="71" t="s">
        <v>2387</v>
      </c>
      <c r="E1332" s="69" t="s">
        <v>2388</v>
      </c>
      <c r="F1332" s="69">
        <v>30</v>
      </c>
      <c r="G1332" s="69">
        <v>60</v>
      </c>
      <c r="H1332" s="69" t="s">
        <v>2399</v>
      </c>
      <c r="I1332" s="69" t="s">
        <v>2479</v>
      </c>
      <c r="J1332" s="69" t="s">
        <v>2424</v>
      </c>
      <c r="K1332" s="69"/>
    </row>
    <row r="1333" spans="1:11" x14ac:dyDescent="0.25">
      <c r="A1333" s="69" t="s">
        <v>48</v>
      </c>
      <c r="B1333" s="70" t="s">
        <v>3216</v>
      </c>
      <c r="C1333" s="69" t="s">
        <v>2991</v>
      </c>
      <c r="D1333" s="71" t="s">
        <v>2387</v>
      </c>
      <c r="E1333" s="69" t="s">
        <v>2388</v>
      </c>
      <c r="F1333" s="69">
        <v>30</v>
      </c>
      <c r="G1333" s="69">
        <v>60</v>
      </c>
      <c r="H1333" s="69" t="s">
        <v>2399</v>
      </c>
      <c r="I1333" s="69" t="s">
        <v>2479</v>
      </c>
      <c r="J1333" s="69" t="s">
        <v>2424</v>
      </c>
      <c r="K1333" s="69"/>
    </row>
    <row r="1334" spans="1:11" x14ac:dyDescent="0.25">
      <c r="A1334" s="69" t="s">
        <v>45</v>
      </c>
      <c r="B1334" s="70" t="s">
        <v>3216</v>
      </c>
      <c r="C1334" s="69" t="s">
        <v>2991</v>
      </c>
      <c r="D1334" s="71" t="s">
        <v>2387</v>
      </c>
      <c r="E1334" s="69" t="s">
        <v>2388</v>
      </c>
      <c r="F1334" s="69">
        <v>30</v>
      </c>
      <c r="G1334" s="69">
        <v>60</v>
      </c>
      <c r="H1334" s="69" t="s">
        <v>2399</v>
      </c>
      <c r="I1334" s="69" t="s">
        <v>2479</v>
      </c>
      <c r="J1334" s="69" t="s">
        <v>2424</v>
      </c>
      <c r="K1334" s="69"/>
    </row>
    <row r="1335" spans="1:11" x14ac:dyDescent="0.25">
      <c r="A1335" s="69" t="s">
        <v>42</v>
      </c>
      <c r="B1335" s="70" t="s">
        <v>3216</v>
      </c>
      <c r="C1335" s="69" t="s">
        <v>2991</v>
      </c>
      <c r="D1335" s="71" t="s">
        <v>2387</v>
      </c>
      <c r="E1335" s="69" t="s">
        <v>2388</v>
      </c>
      <c r="F1335" s="69">
        <v>30</v>
      </c>
      <c r="G1335" s="69">
        <v>60</v>
      </c>
      <c r="H1335" s="69" t="s">
        <v>2399</v>
      </c>
      <c r="I1335" s="69" t="s">
        <v>2479</v>
      </c>
      <c r="J1335" s="69" t="s">
        <v>2424</v>
      </c>
      <c r="K1335" s="69"/>
    </row>
    <row r="1336" spans="1:11" x14ac:dyDescent="0.25">
      <c r="A1336" s="69" t="s">
        <v>36</v>
      </c>
      <c r="B1336" s="70" t="s">
        <v>3216</v>
      </c>
      <c r="C1336" s="69" t="s">
        <v>2991</v>
      </c>
      <c r="D1336" s="71" t="s">
        <v>2387</v>
      </c>
      <c r="E1336" s="69" t="s">
        <v>2388</v>
      </c>
      <c r="F1336" s="69">
        <v>30</v>
      </c>
      <c r="G1336" s="69">
        <v>60</v>
      </c>
      <c r="H1336" s="69" t="s">
        <v>2399</v>
      </c>
      <c r="I1336" s="69" t="s">
        <v>2479</v>
      </c>
      <c r="J1336" s="69" t="s">
        <v>2424</v>
      </c>
      <c r="K1336" s="69"/>
    </row>
    <row r="1337" spans="1:11" x14ac:dyDescent="0.25">
      <c r="A1337" s="69" t="s">
        <v>33</v>
      </c>
      <c r="B1337" s="70" t="s">
        <v>3216</v>
      </c>
      <c r="C1337" s="69" t="s">
        <v>2991</v>
      </c>
      <c r="D1337" s="71" t="s">
        <v>2387</v>
      </c>
      <c r="E1337" s="69" t="s">
        <v>2388</v>
      </c>
      <c r="F1337" s="69">
        <v>30</v>
      </c>
      <c r="G1337" s="69">
        <v>60</v>
      </c>
      <c r="H1337" s="69" t="s">
        <v>2391</v>
      </c>
      <c r="I1337" s="69" t="s">
        <v>2479</v>
      </c>
      <c r="J1337" s="69" t="s">
        <v>2424</v>
      </c>
      <c r="K1337" s="69"/>
    </row>
    <row r="1338" spans="1:11" x14ac:dyDescent="0.25">
      <c r="A1338" s="69" t="s">
        <v>23</v>
      </c>
      <c r="B1338" s="70" t="s">
        <v>3216</v>
      </c>
      <c r="C1338" s="69" t="s">
        <v>2991</v>
      </c>
      <c r="D1338" s="71" t="s">
        <v>2387</v>
      </c>
      <c r="E1338" s="69" t="s">
        <v>2388</v>
      </c>
      <c r="F1338" s="69">
        <v>30</v>
      </c>
      <c r="G1338" s="69">
        <v>60</v>
      </c>
      <c r="H1338" s="69" t="s">
        <v>2399</v>
      </c>
      <c r="I1338" s="69" t="s">
        <v>2479</v>
      </c>
      <c r="J1338" s="69" t="s">
        <v>2424</v>
      </c>
      <c r="K1338" s="69"/>
    </row>
    <row r="1339" spans="1:11" x14ac:dyDescent="0.25">
      <c r="A1339" s="69" t="s">
        <v>20</v>
      </c>
      <c r="B1339" s="70" t="s">
        <v>3216</v>
      </c>
      <c r="C1339" s="69" t="s">
        <v>2991</v>
      </c>
      <c r="D1339" s="71" t="s">
        <v>2387</v>
      </c>
      <c r="E1339" s="69" t="s">
        <v>2388</v>
      </c>
      <c r="F1339" s="69">
        <v>30</v>
      </c>
      <c r="G1339" s="69">
        <v>60</v>
      </c>
      <c r="H1339" s="69" t="s">
        <v>2399</v>
      </c>
      <c r="I1339" s="69" t="s">
        <v>2479</v>
      </c>
      <c r="J1339" s="69" t="s">
        <v>2424</v>
      </c>
      <c r="K1339" s="69"/>
    </row>
    <row r="1340" spans="1:11" x14ac:dyDescent="0.25">
      <c r="A1340" s="69" t="s">
        <v>17</v>
      </c>
      <c r="B1340" s="70" t="s">
        <v>3216</v>
      </c>
      <c r="C1340" s="69" t="s">
        <v>2991</v>
      </c>
      <c r="D1340" s="71" t="s">
        <v>2387</v>
      </c>
      <c r="E1340" s="69" t="s">
        <v>2388</v>
      </c>
      <c r="F1340" s="69">
        <v>30</v>
      </c>
      <c r="G1340" s="69">
        <v>60</v>
      </c>
      <c r="H1340" s="69" t="s">
        <v>2399</v>
      </c>
      <c r="I1340" s="69" t="s">
        <v>2479</v>
      </c>
      <c r="J1340" s="69" t="s">
        <v>2424</v>
      </c>
      <c r="K1340" s="69"/>
    </row>
    <row r="1341" spans="1:11" x14ac:dyDescent="0.25">
      <c r="A1341" s="69" t="s">
        <v>2005</v>
      </c>
      <c r="B1341" s="70" t="s">
        <v>3216</v>
      </c>
      <c r="C1341" s="69" t="s">
        <v>2991</v>
      </c>
      <c r="D1341" s="71" t="s">
        <v>2387</v>
      </c>
      <c r="E1341" s="69" t="s">
        <v>2388</v>
      </c>
      <c r="F1341" s="69">
        <v>30</v>
      </c>
      <c r="G1341" s="69">
        <v>60</v>
      </c>
      <c r="H1341" s="69" t="s">
        <v>2391</v>
      </c>
      <c r="I1341" s="69" t="s">
        <v>2479</v>
      </c>
      <c r="J1341" s="69" t="s">
        <v>2424</v>
      </c>
      <c r="K1341" s="69"/>
    </row>
    <row r="1342" spans="1:11" x14ac:dyDescent="0.25">
      <c r="A1342" s="69" t="s">
        <v>696</v>
      </c>
      <c r="B1342" s="70" t="s">
        <v>3216</v>
      </c>
      <c r="C1342" s="69" t="s">
        <v>2991</v>
      </c>
      <c r="D1342" s="71" t="s">
        <v>2387</v>
      </c>
      <c r="E1342" s="69" t="s">
        <v>2388</v>
      </c>
      <c r="F1342" s="69">
        <v>30</v>
      </c>
      <c r="G1342" s="69">
        <v>60</v>
      </c>
      <c r="H1342" s="69" t="s">
        <v>2399</v>
      </c>
      <c r="I1342" s="69" t="s">
        <v>2479</v>
      </c>
      <c r="J1342" s="69" t="s">
        <v>2424</v>
      </c>
      <c r="K1342" s="69"/>
    </row>
    <row r="1343" spans="1:11" x14ac:dyDescent="0.25">
      <c r="A1343" s="69" t="s">
        <v>2367</v>
      </c>
      <c r="B1343" s="70" t="s">
        <v>3216</v>
      </c>
      <c r="C1343" s="69" t="s">
        <v>2991</v>
      </c>
      <c r="D1343" s="71" t="s">
        <v>2387</v>
      </c>
      <c r="E1343" s="69" t="s">
        <v>2388</v>
      </c>
      <c r="F1343" s="69"/>
      <c r="G1343" s="69"/>
      <c r="H1343" s="69" t="s">
        <v>2412</v>
      </c>
      <c r="I1343" s="69" t="s">
        <v>2410</v>
      </c>
      <c r="J1343" s="69" t="s">
        <v>3027</v>
      </c>
      <c r="K1343" s="69" t="s">
        <v>3026</v>
      </c>
    </row>
    <row r="1344" spans="1:11" x14ac:dyDescent="0.25">
      <c r="A1344" s="69" t="s">
        <v>2356</v>
      </c>
      <c r="B1344" s="70" t="s">
        <v>3216</v>
      </c>
      <c r="C1344" s="69" t="s">
        <v>2991</v>
      </c>
      <c r="D1344" s="71" t="s">
        <v>2387</v>
      </c>
      <c r="E1344" s="69" t="s">
        <v>2388</v>
      </c>
      <c r="F1344" s="69"/>
      <c r="G1344" s="69"/>
      <c r="H1344" s="69" t="s">
        <v>2412</v>
      </c>
      <c r="I1344" s="69" t="s">
        <v>2410</v>
      </c>
      <c r="J1344" s="69" t="s">
        <v>3027</v>
      </c>
      <c r="K1344" s="69" t="s">
        <v>3026</v>
      </c>
    </row>
    <row r="1345" spans="1:11" x14ac:dyDescent="0.25">
      <c r="A1345" s="69" t="s">
        <v>2311</v>
      </c>
      <c r="B1345" s="70" t="s">
        <v>3216</v>
      </c>
      <c r="C1345" s="69" t="s">
        <v>2991</v>
      </c>
      <c r="D1345" s="71" t="s">
        <v>2387</v>
      </c>
      <c r="E1345" s="69" t="s">
        <v>2388</v>
      </c>
      <c r="F1345" s="69"/>
      <c r="G1345" s="69"/>
      <c r="H1345" s="69" t="s">
        <v>2412</v>
      </c>
      <c r="I1345" s="69" t="s">
        <v>2410</v>
      </c>
      <c r="J1345" s="69" t="s">
        <v>3027</v>
      </c>
      <c r="K1345" s="69" t="s">
        <v>3026</v>
      </c>
    </row>
    <row r="1346" spans="1:11" x14ac:dyDescent="0.25">
      <c r="A1346" s="69" t="s">
        <v>693</v>
      </c>
      <c r="B1346" s="70" t="s">
        <v>3216</v>
      </c>
      <c r="C1346" s="69" t="s">
        <v>2991</v>
      </c>
      <c r="D1346" s="71" t="s">
        <v>2387</v>
      </c>
      <c r="E1346" s="69" t="s">
        <v>2388</v>
      </c>
      <c r="F1346" s="69">
        <v>30</v>
      </c>
      <c r="G1346" s="69">
        <v>60</v>
      </c>
      <c r="H1346" s="69" t="s">
        <v>2399</v>
      </c>
      <c r="I1346" s="69" t="s">
        <v>2479</v>
      </c>
      <c r="J1346" s="69" t="s">
        <v>2424</v>
      </c>
      <c r="K1346" s="69"/>
    </row>
    <row r="1347" spans="1:11" x14ac:dyDescent="0.25">
      <c r="A1347" s="69" t="s">
        <v>690</v>
      </c>
      <c r="B1347" s="70" t="s">
        <v>3216</v>
      </c>
      <c r="C1347" s="69" t="s">
        <v>2991</v>
      </c>
      <c r="D1347" s="71" t="s">
        <v>2387</v>
      </c>
      <c r="E1347" s="69" t="s">
        <v>2388</v>
      </c>
      <c r="F1347" s="69">
        <v>30</v>
      </c>
      <c r="G1347" s="69">
        <v>60</v>
      </c>
      <c r="H1347" s="69" t="s">
        <v>2399</v>
      </c>
      <c r="I1347" s="69" t="s">
        <v>2479</v>
      </c>
      <c r="J1347" s="69" t="s">
        <v>2424</v>
      </c>
      <c r="K1347" s="69"/>
    </row>
    <row r="1348" spans="1:11" x14ac:dyDescent="0.25">
      <c r="A1348" s="69" t="s">
        <v>687</v>
      </c>
      <c r="B1348" s="70" t="s">
        <v>3216</v>
      </c>
      <c r="C1348" s="69" t="s">
        <v>2991</v>
      </c>
      <c r="D1348" s="71" t="s">
        <v>2387</v>
      </c>
      <c r="E1348" s="69" t="s">
        <v>2388</v>
      </c>
      <c r="F1348" s="69">
        <v>30</v>
      </c>
      <c r="G1348" s="69">
        <v>60</v>
      </c>
      <c r="H1348" s="69" t="s">
        <v>2399</v>
      </c>
      <c r="I1348" s="69" t="s">
        <v>2479</v>
      </c>
      <c r="J1348" s="69" t="s">
        <v>2424</v>
      </c>
      <c r="K1348" s="69"/>
    </row>
    <row r="1349" spans="1:11" x14ac:dyDescent="0.25">
      <c r="A1349" s="69" t="s">
        <v>684</v>
      </c>
      <c r="B1349" s="70" t="s">
        <v>3216</v>
      </c>
      <c r="C1349" s="69" t="s">
        <v>2991</v>
      </c>
      <c r="D1349" s="71" t="s">
        <v>2387</v>
      </c>
      <c r="E1349" s="69" t="s">
        <v>2388</v>
      </c>
      <c r="F1349" s="69">
        <v>30</v>
      </c>
      <c r="G1349" s="69">
        <v>60</v>
      </c>
      <c r="H1349" s="69" t="s">
        <v>2399</v>
      </c>
      <c r="I1349" s="69" t="s">
        <v>2479</v>
      </c>
      <c r="J1349" s="69" t="s">
        <v>2424</v>
      </c>
      <c r="K1349" s="69"/>
    </row>
    <row r="1350" spans="1:11" x14ac:dyDescent="0.25">
      <c r="A1350" s="69" t="s">
        <v>681</v>
      </c>
      <c r="B1350" s="70" t="s">
        <v>3216</v>
      </c>
      <c r="C1350" s="69" t="s">
        <v>2991</v>
      </c>
      <c r="D1350" s="71" t="s">
        <v>2387</v>
      </c>
      <c r="E1350" s="69" t="s">
        <v>2388</v>
      </c>
      <c r="F1350" s="69">
        <v>30</v>
      </c>
      <c r="G1350" s="69">
        <v>60</v>
      </c>
      <c r="H1350" s="69" t="s">
        <v>2399</v>
      </c>
      <c r="I1350" s="69" t="s">
        <v>2479</v>
      </c>
      <c r="J1350" s="69" t="s">
        <v>2424</v>
      </c>
      <c r="K1350" s="69"/>
    </row>
    <row r="1351" spans="1:11" x14ac:dyDescent="0.25">
      <c r="A1351" s="69" t="s">
        <v>678</v>
      </c>
      <c r="B1351" s="70" t="s">
        <v>3216</v>
      </c>
      <c r="C1351" s="69" t="s">
        <v>2991</v>
      </c>
      <c r="D1351" s="71" t="s">
        <v>2387</v>
      </c>
      <c r="E1351" s="69" t="s">
        <v>2388</v>
      </c>
      <c r="F1351" s="69">
        <v>30</v>
      </c>
      <c r="G1351" s="69">
        <v>60</v>
      </c>
      <c r="H1351" s="69" t="s">
        <v>2399</v>
      </c>
      <c r="I1351" s="69" t="s">
        <v>2479</v>
      </c>
      <c r="J1351" s="69" t="s">
        <v>2424</v>
      </c>
      <c r="K1351" s="69"/>
    </row>
    <row r="1352" spans="1:11" x14ac:dyDescent="0.25">
      <c r="A1352" s="69" t="s">
        <v>675</v>
      </c>
      <c r="B1352" s="70" t="s">
        <v>3216</v>
      </c>
      <c r="C1352" s="69" t="s">
        <v>2991</v>
      </c>
      <c r="D1352" s="71" t="s">
        <v>2387</v>
      </c>
      <c r="E1352" s="69" t="s">
        <v>2388</v>
      </c>
      <c r="F1352" s="69">
        <v>30</v>
      </c>
      <c r="G1352" s="69">
        <v>60</v>
      </c>
      <c r="H1352" s="69" t="s">
        <v>2399</v>
      </c>
      <c r="I1352" s="69" t="s">
        <v>2479</v>
      </c>
      <c r="J1352" s="69" t="s">
        <v>2424</v>
      </c>
      <c r="K1352" s="69"/>
    </row>
    <row r="1353" spans="1:11" x14ac:dyDescent="0.25">
      <c r="A1353" s="69" t="s">
        <v>672</v>
      </c>
      <c r="B1353" s="70" t="s">
        <v>3216</v>
      </c>
      <c r="C1353" s="69" t="s">
        <v>2991</v>
      </c>
      <c r="D1353" s="71" t="s">
        <v>2387</v>
      </c>
      <c r="E1353" s="69" t="s">
        <v>2388</v>
      </c>
      <c r="F1353" s="69">
        <v>30</v>
      </c>
      <c r="G1353" s="69">
        <v>60</v>
      </c>
      <c r="H1353" s="69" t="s">
        <v>2399</v>
      </c>
      <c r="I1353" s="69" t="s">
        <v>2479</v>
      </c>
      <c r="J1353" s="69" t="s">
        <v>2424</v>
      </c>
      <c r="K1353" s="69"/>
    </row>
    <row r="1354" spans="1:11" x14ac:dyDescent="0.25">
      <c r="A1354" s="69" t="s">
        <v>669</v>
      </c>
      <c r="B1354" s="70" t="s">
        <v>3216</v>
      </c>
      <c r="C1354" s="69" t="s">
        <v>2991</v>
      </c>
      <c r="D1354" s="71" t="s">
        <v>2387</v>
      </c>
      <c r="E1354" s="69" t="s">
        <v>2388</v>
      </c>
      <c r="F1354" s="69">
        <v>30</v>
      </c>
      <c r="G1354" s="69">
        <v>60</v>
      </c>
      <c r="H1354" s="69" t="s">
        <v>2399</v>
      </c>
      <c r="I1354" s="69" t="s">
        <v>2479</v>
      </c>
      <c r="J1354" s="69" t="s">
        <v>2424</v>
      </c>
      <c r="K1354" s="69"/>
    </row>
    <row r="1355" spans="1:11" x14ac:dyDescent="0.25">
      <c r="A1355" s="69" t="s">
        <v>666</v>
      </c>
      <c r="B1355" s="70" t="s">
        <v>3216</v>
      </c>
      <c r="C1355" s="69" t="s">
        <v>2991</v>
      </c>
      <c r="D1355" s="71" t="s">
        <v>2387</v>
      </c>
      <c r="E1355" s="69" t="s">
        <v>2388</v>
      </c>
      <c r="F1355" s="69">
        <v>30</v>
      </c>
      <c r="G1355" s="69">
        <v>60</v>
      </c>
      <c r="H1355" s="69" t="s">
        <v>2399</v>
      </c>
      <c r="I1355" s="69" t="s">
        <v>2479</v>
      </c>
      <c r="J1355" s="69" t="s">
        <v>2424</v>
      </c>
      <c r="K1355" s="69"/>
    </row>
    <row r="1356" spans="1:11" x14ac:dyDescent="0.25">
      <c r="A1356" s="69" t="s">
        <v>663</v>
      </c>
      <c r="B1356" s="70" t="s">
        <v>3216</v>
      </c>
      <c r="C1356" s="69" t="s">
        <v>2991</v>
      </c>
      <c r="D1356" s="71" t="s">
        <v>2387</v>
      </c>
      <c r="E1356" s="69" t="s">
        <v>2388</v>
      </c>
      <c r="F1356" s="69">
        <v>30</v>
      </c>
      <c r="G1356" s="69">
        <v>60</v>
      </c>
      <c r="H1356" s="69" t="s">
        <v>2399</v>
      </c>
      <c r="I1356" s="69" t="s">
        <v>2479</v>
      </c>
      <c r="J1356" s="69" t="s">
        <v>2424</v>
      </c>
      <c r="K1356" s="69"/>
    </row>
    <row r="1357" spans="1:11" x14ac:dyDescent="0.25">
      <c r="A1357" s="69" t="s">
        <v>660</v>
      </c>
      <c r="B1357" s="70" t="s">
        <v>3216</v>
      </c>
      <c r="C1357" s="69" t="s">
        <v>2991</v>
      </c>
      <c r="D1357" s="71" t="s">
        <v>2387</v>
      </c>
      <c r="E1357" s="69" t="s">
        <v>2388</v>
      </c>
      <c r="F1357" s="69">
        <v>30</v>
      </c>
      <c r="G1357" s="69">
        <v>60</v>
      </c>
      <c r="H1357" s="69" t="s">
        <v>2399</v>
      </c>
      <c r="I1357" s="69" t="s">
        <v>2479</v>
      </c>
      <c r="J1357" s="69" t="s">
        <v>2424</v>
      </c>
      <c r="K1357" s="69"/>
    </row>
    <row r="1358" spans="1:11" x14ac:dyDescent="0.25">
      <c r="A1358" s="69" t="s">
        <v>657</v>
      </c>
      <c r="B1358" s="70" t="s">
        <v>3216</v>
      </c>
      <c r="C1358" s="69" t="s">
        <v>2991</v>
      </c>
      <c r="D1358" s="71" t="s">
        <v>2387</v>
      </c>
      <c r="E1358" s="69" t="s">
        <v>2388</v>
      </c>
      <c r="F1358" s="69">
        <v>30</v>
      </c>
      <c r="G1358" s="69">
        <v>60</v>
      </c>
      <c r="H1358" s="69" t="s">
        <v>2399</v>
      </c>
      <c r="I1358" s="69" t="s">
        <v>2479</v>
      </c>
      <c r="J1358" s="69" t="s">
        <v>2424</v>
      </c>
      <c r="K1358" s="69"/>
    </row>
    <row r="1359" spans="1:11" x14ac:dyDescent="0.25">
      <c r="A1359" s="69" t="s">
        <v>654</v>
      </c>
      <c r="B1359" s="70" t="s">
        <v>3216</v>
      </c>
      <c r="C1359" s="69" t="s">
        <v>2991</v>
      </c>
      <c r="D1359" s="71" t="s">
        <v>2387</v>
      </c>
      <c r="E1359" s="69" t="s">
        <v>2388</v>
      </c>
      <c r="F1359" s="69">
        <v>30</v>
      </c>
      <c r="G1359" s="69">
        <v>60</v>
      </c>
      <c r="H1359" s="69" t="s">
        <v>2399</v>
      </c>
      <c r="I1359" s="69" t="s">
        <v>2479</v>
      </c>
      <c r="J1359" s="69" t="s">
        <v>2424</v>
      </c>
      <c r="K1359" s="69"/>
    </row>
    <row r="1360" spans="1:11" x14ac:dyDescent="0.25">
      <c r="A1360" s="69" t="s">
        <v>651</v>
      </c>
      <c r="B1360" s="70" t="s">
        <v>3216</v>
      </c>
      <c r="C1360" s="69" t="s">
        <v>2991</v>
      </c>
      <c r="D1360" s="71" t="s">
        <v>2387</v>
      </c>
      <c r="E1360" s="69" t="s">
        <v>2388</v>
      </c>
      <c r="F1360" s="69">
        <v>30</v>
      </c>
      <c r="G1360" s="69">
        <v>60</v>
      </c>
      <c r="H1360" s="69" t="s">
        <v>2399</v>
      </c>
      <c r="I1360" s="69" t="s">
        <v>2479</v>
      </c>
      <c r="J1360" s="69" t="s">
        <v>2424</v>
      </c>
      <c r="K1360" s="69"/>
    </row>
    <row r="1361" spans="1:11" x14ac:dyDescent="0.25">
      <c r="A1361" s="69" t="s">
        <v>648</v>
      </c>
      <c r="B1361" s="70" t="s">
        <v>3216</v>
      </c>
      <c r="C1361" s="69" t="s">
        <v>2991</v>
      </c>
      <c r="D1361" s="71" t="s">
        <v>2387</v>
      </c>
      <c r="E1361" s="69" t="s">
        <v>2388</v>
      </c>
      <c r="F1361" s="69">
        <v>30</v>
      </c>
      <c r="G1361" s="69">
        <v>60</v>
      </c>
      <c r="H1361" s="69" t="s">
        <v>2399</v>
      </c>
      <c r="I1361" s="69" t="s">
        <v>2479</v>
      </c>
      <c r="J1361" s="69" t="s">
        <v>2424</v>
      </c>
      <c r="K1361" s="69"/>
    </row>
    <row r="1362" spans="1:11" x14ac:dyDescent="0.25">
      <c r="A1362" s="69" t="s">
        <v>646</v>
      </c>
      <c r="B1362" s="70" t="s">
        <v>3216</v>
      </c>
      <c r="C1362" s="69" t="s">
        <v>2991</v>
      </c>
      <c r="D1362" s="71" t="s">
        <v>2387</v>
      </c>
      <c r="E1362" s="69" t="s">
        <v>2388</v>
      </c>
      <c r="F1362" s="69">
        <v>30</v>
      </c>
      <c r="G1362" s="69">
        <v>60</v>
      </c>
      <c r="H1362" s="69" t="s">
        <v>2399</v>
      </c>
      <c r="I1362" s="69" t="s">
        <v>2479</v>
      </c>
      <c r="J1362" s="69" t="s">
        <v>2424</v>
      </c>
      <c r="K1362" s="69"/>
    </row>
    <row r="1363" spans="1:11" x14ac:dyDescent="0.25">
      <c r="A1363" s="69" t="s">
        <v>643</v>
      </c>
      <c r="B1363" s="70" t="s">
        <v>3216</v>
      </c>
      <c r="C1363" s="69" t="s">
        <v>2991</v>
      </c>
      <c r="D1363" s="71" t="s">
        <v>2387</v>
      </c>
      <c r="E1363" s="69" t="s">
        <v>2388</v>
      </c>
      <c r="F1363" s="69">
        <v>30</v>
      </c>
      <c r="G1363" s="69">
        <v>60</v>
      </c>
      <c r="H1363" s="69" t="s">
        <v>2399</v>
      </c>
      <c r="I1363" s="69" t="s">
        <v>2479</v>
      </c>
      <c r="J1363" s="69" t="s">
        <v>2424</v>
      </c>
      <c r="K1363" s="69"/>
    </row>
    <row r="1364" spans="1:11" x14ac:dyDescent="0.25">
      <c r="A1364" s="69" t="s">
        <v>640</v>
      </c>
      <c r="B1364" s="70" t="s">
        <v>3216</v>
      </c>
      <c r="C1364" s="69" t="s">
        <v>2991</v>
      </c>
      <c r="D1364" s="71" t="s">
        <v>2387</v>
      </c>
      <c r="E1364" s="69" t="s">
        <v>2388</v>
      </c>
      <c r="F1364" s="69">
        <v>30</v>
      </c>
      <c r="G1364" s="69">
        <v>60</v>
      </c>
      <c r="H1364" s="69" t="s">
        <v>2399</v>
      </c>
      <c r="I1364" s="69" t="s">
        <v>2479</v>
      </c>
      <c r="J1364" s="69" t="s">
        <v>2424</v>
      </c>
      <c r="K1364" s="69"/>
    </row>
    <row r="1365" spans="1:11" x14ac:dyDescent="0.25">
      <c r="A1365" s="69" t="s">
        <v>638</v>
      </c>
      <c r="B1365" s="70" t="s">
        <v>3216</v>
      </c>
      <c r="C1365" s="69" t="s">
        <v>2991</v>
      </c>
      <c r="D1365" s="71" t="s">
        <v>2387</v>
      </c>
      <c r="E1365" s="69" t="s">
        <v>2388</v>
      </c>
      <c r="F1365" s="69">
        <v>30</v>
      </c>
      <c r="G1365" s="69">
        <v>60</v>
      </c>
      <c r="H1365" s="69" t="s">
        <v>2399</v>
      </c>
      <c r="I1365" s="69" t="s">
        <v>2479</v>
      </c>
      <c r="J1365" s="69" t="s">
        <v>2424</v>
      </c>
      <c r="K1365" s="69"/>
    </row>
    <row r="1366" spans="1:11" x14ac:dyDescent="0.25">
      <c r="A1366" s="69" t="s">
        <v>635</v>
      </c>
      <c r="B1366" s="70" t="s">
        <v>3216</v>
      </c>
      <c r="C1366" s="69" t="s">
        <v>2991</v>
      </c>
      <c r="D1366" s="71" t="s">
        <v>2387</v>
      </c>
      <c r="E1366" s="69" t="s">
        <v>2388</v>
      </c>
      <c r="F1366" s="69">
        <v>30</v>
      </c>
      <c r="G1366" s="69">
        <v>60</v>
      </c>
      <c r="H1366" s="69" t="s">
        <v>2399</v>
      </c>
      <c r="I1366" s="69" t="s">
        <v>2479</v>
      </c>
      <c r="J1366" s="69" t="s">
        <v>2424</v>
      </c>
      <c r="K1366" s="69"/>
    </row>
    <row r="1367" spans="1:11" x14ac:dyDescent="0.25">
      <c r="A1367" s="69" t="s">
        <v>2158</v>
      </c>
      <c r="B1367" s="70" t="s">
        <v>3216</v>
      </c>
      <c r="C1367" s="69" t="s">
        <v>2991</v>
      </c>
      <c r="D1367" s="71" t="s">
        <v>2387</v>
      </c>
      <c r="E1367" s="69" t="s">
        <v>2388</v>
      </c>
      <c r="F1367" s="69">
        <v>30</v>
      </c>
      <c r="G1367" s="69">
        <v>60</v>
      </c>
      <c r="H1367" s="69" t="s">
        <v>2399</v>
      </c>
      <c r="I1367" s="69" t="s">
        <v>2479</v>
      </c>
      <c r="J1367" s="69" t="s">
        <v>2424</v>
      </c>
      <c r="K1367" s="69"/>
    </row>
    <row r="1368" spans="1:11" x14ac:dyDescent="0.25">
      <c r="A1368" s="69" t="s">
        <v>632</v>
      </c>
      <c r="B1368" s="70" t="s">
        <v>3216</v>
      </c>
      <c r="C1368" s="69" t="s">
        <v>2991</v>
      </c>
      <c r="D1368" s="71" t="s">
        <v>2387</v>
      </c>
      <c r="E1368" s="69" t="s">
        <v>2388</v>
      </c>
      <c r="F1368" s="69">
        <v>30</v>
      </c>
      <c r="G1368" s="69">
        <v>60</v>
      </c>
      <c r="H1368" s="69" t="s">
        <v>2399</v>
      </c>
      <c r="I1368" s="69" t="s">
        <v>2479</v>
      </c>
      <c r="J1368" s="69" t="s">
        <v>2424</v>
      </c>
      <c r="K1368" s="69"/>
    </row>
    <row r="1369" spans="1:11" x14ac:dyDescent="0.25">
      <c r="A1369" s="69" t="s">
        <v>629</v>
      </c>
      <c r="B1369" s="70" t="s">
        <v>3216</v>
      </c>
      <c r="C1369" s="69" t="s">
        <v>2991</v>
      </c>
      <c r="D1369" s="71" t="s">
        <v>2387</v>
      </c>
      <c r="E1369" s="69" t="s">
        <v>2388</v>
      </c>
      <c r="F1369" s="69">
        <v>30</v>
      </c>
      <c r="G1369" s="69">
        <v>60</v>
      </c>
      <c r="H1369" s="69" t="s">
        <v>2399</v>
      </c>
      <c r="I1369" s="69" t="s">
        <v>2479</v>
      </c>
      <c r="J1369" s="69" t="s">
        <v>2424</v>
      </c>
      <c r="K1369" s="69"/>
    </row>
    <row r="1370" spans="1:11" x14ac:dyDescent="0.25">
      <c r="A1370" s="69" t="s">
        <v>626</v>
      </c>
      <c r="B1370" s="70" t="s">
        <v>3216</v>
      </c>
      <c r="C1370" s="69" t="s">
        <v>2991</v>
      </c>
      <c r="D1370" s="71" t="s">
        <v>2387</v>
      </c>
      <c r="E1370" s="69" t="s">
        <v>2388</v>
      </c>
      <c r="F1370" s="69">
        <v>30</v>
      </c>
      <c r="G1370" s="69">
        <v>60</v>
      </c>
      <c r="H1370" s="69" t="s">
        <v>2399</v>
      </c>
      <c r="I1370" s="69" t="s">
        <v>2479</v>
      </c>
      <c r="J1370" s="69" t="s">
        <v>2424</v>
      </c>
      <c r="K1370" s="69"/>
    </row>
    <row r="1371" spans="1:11" x14ac:dyDescent="0.25">
      <c r="A1371" s="69" t="s">
        <v>623</v>
      </c>
      <c r="B1371" s="70" t="s">
        <v>3216</v>
      </c>
      <c r="C1371" s="69" t="s">
        <v>2991</v>
      </c>
      <c r="D1371" s="71" t="s">
        <v>2387</v>
      </c>
      <c r="E1371" s="69" t="s">
        <v>2388</v>
      </c>
      <c r="F1371" s="69">
        <v>30</v>
      </c>
      <c r="G1371" s="69">
        <v>60</v>
      </c>
      <c r="H1371" s="69" t="s">
        <v>2399</v>
      </c>
      <c r="I1371" s="69" t="s">
        <v>2479</v>
      </c>
      <c r="J1371" s="69" t="s">
        <v>2424</v>
      </c>
      <c r="K1371" s="69"/>
    </row>
    <row r="1372" spans="1:11" x14ac:dyDescent="0.25">
      <c r="A1372" s="69" t="s">
        <v>620</v>
      </c>
      <c r="B1372" s="70" t="s">
        <v>3216</v>
      </c>
      <c r="C1372" s="69" t="s">
        <v>2991</v>
      </c>
      <c r="D1372" s="71" t="s">
        <v>2387</v>
      </c>
      <c r="E1372" s="69" t="s">
        <v>2388</v>
      </c>
      <c r="F1372" s="69">
        <v>30</v>
      </c>
      <c r="G1372" s="69">
        <v>60</v>
      </c>
      <c r="H1372" s="69" t="s">
        <v>2399</v>
      </c>
      <c r="I1372" s="69" t="s">
        <v>2479</v>
      </c>
      <c r="J1372" s="69" t="s">
        <v>2424</v>
      </c>
      <c r="K1372" s="69"/>
    </row>
    <row r="1373" spans="1:11" x14ac:dyDescent="0.25">
      <c r="A1373" s="69" t="s">
        <v>618</v>
      </c>
      <c r="B1373" s="70" t="s">
        <v>3216</v>
      </c>
      <c r="C1373" s="69" t="s">
        <v>2991</v>
      </c>
      <c r="D1373" s="71" t="s">
        <v>2387</v>
      </c>
      <c r="E1373" s="69" t="s">
        <v>2388</v>
      </c>
      <c r="F1373" s="69">
        <v>30</v>
      </c>
      <c r="G1373" s="69">
        <v>60</v>
      </c>
      <c r="H1373" s="69" t="s">
        <v>2399</v>
      </c>
      <c r="I1373" s="69" t="s">
        <v>2479</v>
      </c>
      <c r="J1373" s="69" t="s">
        <v>2424</v>
      </c>
      <c r="K1373" s="69"/>
    </row>
    <row r="1374" spans="1:11" x14ac:dyDescent="0.25">
      <c r="A1374" s="69" t="s">
        <v>615</v>
      </c>
      <c r="B1374" s="70" t="s">
        <v>3216</v>
      </c>
      <c r="C1374" s="69" t="s">
        <v>2991</v>
      </c>
      <c r="D1374" s="71" t="s">
        <v>2387</v>
      </c>
      <c r="E1374" s="69" t="s">
        <v>2388</v>
      </c>
      <c r="F1374" s="69">
        <v>30</v>
      </c>
      <c r="G1374" s="69">
        <v>60</v>
      </c>
      <c r="H1374" s="69" t="s">
        <v>2399</v>
      </c>
      <c r="I1374" s="69" t="s">
        <v>2479</v>
      </c>
      <c r="J1374" s="69" t="s">
        <v>2424</v>
      </c>
      <c r="K1374" s="69"/>
    </row>
    <row r="1375" spans="1:11" x14ac:dyDescent="0.25">
      <c r="A1375" s="69" t="s">
        <v>612</v>
      </c>
      <c r="B1375" s="70" t="s">
        <v>3216</v>
      </c>
      <c r="C1375" s="69" t="s">
        <v>2991</v>
      </c>
      <c r="D1375" s="71" t="s">
        <v>2387</v>
      </c>
      <c r="E1375" s="69" t="s">
        <v>2388</v>
      </c>
      <c r="F1375" s="69">
        <v>30</v>
      </c>
      <c r="G1375" s="69">
        <v>60</v>
      </c>
      <c r="H1375" s="69" t="s">
        <v>2399</v>
      </c>
      <c r="I1375" s="69" t="s">
        <v>2479</v>
      </c>
      <c r="J1375" s="69" t="s">
        <v>2424</v>
      </c>
      <c r="K1375" s="69"/>
    </row>
    <row r="1376" spans="1:11" x14ac:dyDescent="0.25">
      <c r="A1376" s="69" t="s">
        <v>609</v>
      </c>
      <c r="B1376" s="70" t="s">
        <v>3216</v>
      </c>
      <c r="C1376" s="69" t="s">
        <v>2991</v>
      </c>
      <c r="D1376" s="71" t="s">
        <v>2387</v>
      </c>
      <c r="E1376" s="69" t="s">
        <v>2388</v>
      </c>
      <c r="F1376" s="69">
        <v>30</v>
      </c>
      <c r="G1376" s="69">
        <v>60</v>
      </c>
      <c r="H1376" s="69" t="s">
        <v>2399</v>
      </c>
      <c r="I1376" s="69" t="s">
        <v>2479</v>
      </c>
      <c r="J1376" s="69" t="s">
        <v>2424</v>
      </c>
      <c r="K1376" s="69"/>
    </row>
    <row r="1377" spans="1:12" x14ac:dyDescent="0.25">
      <c r="A1377" s="69" t="s">
        <v>606</v>
      </c>
      <c r="B1377" s="70" t="s">
        <v>3216</v>
      </c>
      <c r="C1377" s="69" t="s">
        <v>2991</v>
      </c>
      <c r="D1377" s="71" t="s">
        <v>2387</v>
      </c>
      <c r="E1377" s="69" t="s">
        <v>2388</v>
      </c>
      <c r="F1377" s="69">
        <v>30</v>
      </c>
      <c r="G1377" s="69">
        <v>60</v>
      </c>
      <c r="H1377" s="69" t="s">
        <v>2399</v>
      </c>
      <c r="I1377" s="69" t="s">
        <v>2479</v>
      </c>
      <c r="J1377" s="69" t="s">
        <v>2424</v>
      </c>
      <c r="K1377" s="69"/>
    </row>
    <row r="1378" spans="1:12" x14ac:dyDescent="0.25">
      <c r="A1378" s="69" t="s">
        <v>603</v>
      </c>
      <c r="B1378" s="70" t="s">
        <v>3216</v>
      </c>
      <c r="C1378" s="69" t="s">
        <v>2991</v>
      </c>
      <c r="D1378" s="71" t="s">
        <v>2387</v>
      </c>
      <c r="E1378" s="69" t="s">
        <v>2388</v>
      </c>
      <c r="F1378" s="69">
        <v>30</v>
      </c>
      <c r="G1378" s="69">
        <v>60</v>
      </c>
      <c r="H1378" s="69" t="s">
        <v>2399</v>
      </c>
      <c r="I1378" s="69" t="s">
        <v>2479</v>
      </c>
      <c r="J1378" s="69" t="s">
        <v>2424</v>
      </c>
      <c r="K1378" s="69"/>
    </row>
    <row r="1379" spans="1:12" x14ac:dyDescent="0.25">
      <c r="A1379" s="69" t="s">
        <v>601</v>
      </c>
      <c r="B1379" s="70" t="s">
        <v>3216</v>
      </c>
      <c r="C1379" s="69" t="s">
        <v>2991</v>
      </c>
      <c r="D1379" s="71" t="s">
        <v>2387</v>
      </c>
      <c r="E1379" s="69" t="s">
        <v>2388</v>
      </c>
      <c r="F1379" s="69">
        <v>30</v>
      </c>
      <c r="G1379" s="69">
        <v>60</v>
      </c>
      <c r="H1379" s="69" t="s">
        <v>2399</v>
      </c>
      <c r="I1379" s="69" t="s">
        <v>2479</v>
      </c>
      <c r="J1379" s="69" t="s">
        <v>2424</v>
      </c>
      <c r="K1379" s="69"/>
    </row>
    <row r="1380" spans="1:12" x14ac:dyDescent="0.25">
      <c r="A1380" s="69" t="s">
        <v>598</v>
      </c>
      <c r="B1380" s="70" t="s">
        <v>3216</v>
      </c>
      <c r="C1380" s="69" t="s">
        <v>2991</v>
      </c>
      <c r="D1380" s="71" t="s">
        <v>2387</v>
      </c>
      <c r="E1380" s="69" t="s">
        <v>2388</v>
      </c>
      <c r="F1380" s="69">
        <v>30</v>
      </c>
      <c r="G1380" s="69">
        <v>60</v>
      </c>
      <c r="H1380" s="69" t="s">
        <v>2399</v>
      </c>
      <c r="I1380" s="69" t="s">
        <v>2479</v>
      </c>
      <c r="J1380" s="69" t="s">
        <v>2424</v>
      </c>
      <c r="K1380" s="69"/>
    </row>
    <row r="1381" spans="1:12" x14ac:dyDescent="0.25">
      <c r="A1381" s="69" t="s">
        <v>594</v>
      </c>
      <c r="B1381" s="70" t="s">
        <v>3216</v>
      </c>
      <c r="C1381" s="69" t="s">
        <v>2991</v>
      </c>
      <c r="D1381" s="71" t="s">
        <v>2387</v>
      </c>
      <c r="E1381" s="69" t="s">
        <v>2388</v>
      </c>
      <c r="F1381" s="69">
        <v>30</v>
      </c>
      <c r="G1381" s="69">
        <v>60</v>
      </c>
      <c r="H1381" s="69" t="s">
        <v>2399</v>
      </c>
      <c r="I1381" s="69" t="s">
        <v>2479</v>
      </c>
      <c r="J1381" s="69" t="s">
        <v>2424</v>
      </c>
      <c r="K1381" s="69"/>
    </row>
    <row r="1382" spans="1:12" x14ac:dyDescent="0.25">
      <c r="A1382" s="69" t="s">
        <v>591</v>
      </c>
      <c r="B1382" s="70" t="s">
        <v>3216</v>
      </c>
      <c r="C1382" s="69" t="s">
        <v>2991</v>
      </c>
      <c r="D1382" s="71" t="s">
        <v>2387</v>
      </c>
      <c r="E1382" s="69" t="s">
        <v>2388</v>
      </c>
      <c r="F1382" s="69">
        <v>30</v>
      </c>
      <c r="G1382" s="69">
        <v>60</v>
      </c>
      <c r="H1382" s="69" t="s">
        <v>2399</v>
      </c>
      <c r="I1382" s="69" t="s">
        <v>2479</v>
      </c>
      <c r="J1382" s="69" t="s">
        <v>2424</v>
      </c>
      <c r="K1382" s="69"/>
    </row>
    <row r="1383" spans="1:12" x14ac:dyDescent="0.25">
      <c r="A1383" s="69" t="s">
        <v>2163</v>
      </c>
      <c r="B1383" s="70" t="s">
        <v>3216</v>
      </c>
      <c r="C1383" s="69" t="s">
        <v>2991</v>
      </c>
      <c r="D1383" s="71" t="s">
        <v>2387</v>
      </c>
      <c r="E1383" s="69" t="s">
        <v>2388</v>
      </c>
      <c r="F1383" s="69">
        <v>30</v>
      </c>
      <c r="G1383" s="69">
        <v>60</v>
      </c>
      <c r="H1383" s="69" t="s">
        <v>2399</v>
      </c>
      <c r="I1383" s="69" t="s">
        <v>2479</v>
      </c>
      <c r="J1383" s="69" t="s">
        <v>2424</v>
      </c>
      <c r="K1383" s="69"/>
    </row>
    <row r="1384" spans="1:12" x14ac:dyDescent="0.25">
      <c r="A1384" s="69" t="s">
        <v>2178</v>
      </c>
      <c r="B1384" s="70" t="s">
        <v>3216</v>
      </c>
      <c r="C1384" s="69" t="s">
        <v>2991</v>
      </c>
      <c r="D1384" s="71" t="s">
        <v>2387</v>
      </c>
      <c r="E1384" s="69" t="s">
        <v>2388</v>
      </c>
      <c r="F1384" s="69">
        <v>30</v>
      </c>
      <c r="G1384" s="69">
        <v>60</v>
      </c>
      <c r="H1384" s="69" t="s">
        <v>2399</v>
      </c>
      <c r="I1384" s="69" t="s">
        <v>2479</v>
      </c>
      <c r="J1384" s="69" t="s">
        <v>2424</v>
      </c>
      <c r="K1384" s="69"/>
    </row>
    <row r="1385" spans="1:12" x14ac:dyDescent="0.25">
      <c r="A1385" s="69" t="s">
        <v>2148</v>
      </c>
      <c r="B1385" s="70" t="s">
        <v>3216</v>
      </c>
      <c r="C1385" s="69" t="s">
        <v>2991</v>
      </c>
      <c r="D1385" s="71" t="s">
        <v>2387</v>
      </c>
      <c r="E1385" s="69" t="s">
        <v>2388</v>
      </c>
      <c r="F1385" s="69">
        <v>30</v>
      </c>
      <c r="G1385" s="69">
        <v>60</v>
      </c>
      <c r="H1385" s="69" t="s">
        <v>2399</v>
      </c>
      <c r="I1385" s="69" t="s">
        <v>2479</v>
      </c>
      <c r="J1385" s="69" t="s">
        <v>2424</v>
      </c>
      <c r="K1385" s="69"/>
    </row>
    <row r="1386" spans="1:12" x14ac:dyDescent="0.25">
      <c r="A1386" s="69" t="s">
        <v>585</v>
      </c>
      <c r="B1386" s="70" t="s">
        <v>3216</v>
      </c>
      <c r="C1386" s="69" t="s">
        <v>2991</v>
      </c>
      <c r="D1386" s="71" t="s">
        <v>2387</v>
      </c>
      <c r="E1386" s="69" t="s">
        <v>2388</v>
      </c>
      <c r="F1386" s="69">
        <v>30</v>
      </c>
      <c r="G1386" s="69">
        <v>60</v>
      </c>
      <c r="H1386" s="69" t="s">
        <v>2399</v>
      </c>
      <c r="I1386" s="69" t="s">
        <v>2479</v>
      </c>
      <c r="J1386" s="69" t="s">
        <v>2424</v>
      </c>
      <c r="K1386" s="69"/>
    </row>
    <row r="1387" spans="1:12" x14ac:dyDescent="0.25">
      <c r="A1387" s="69" t="s">
        <v>2251</v>
      </c>
      <c r="B1387" s="70" t="s">
        <v>3216</v>
      </c>
      <c r="C1387" s="69" t="s">
        <v>2991</v>
      </c>
      <c r="D1387" s="71" t="s">
        <v>2387</v>
      </c>
      <c r="E1387" s="69" t="s">
        <v>2388</v>
      </c>
      <c r="F1387" s="69">
        <v>30</v>
      </c>
      <c r="G1387" s="69">
        <v>0</v>
      </c>
      <c r="H1387" s="69" t="s">
        <v>2412</v>
      </c>
      <c r="I1387" s="69" t="s">
        <v>2410</v>
      </c>
      <c r="J1387" s="69" t="s">
        <v>2424</v>
      </c>
      <c r="K1387" s="69" t="s">
        <v>3026</v>
      </c>
      <c r="L1387" s="72" t="s">
        <v>2387</v>
      </c>
    </row>
    <row r="1388" spans="1:12" x14ac:dyDescent="0.25">
      <c r="A1388" s="69" t="s">
        <v>582</v>
      </c>
      <c r="B1388" s="70" t="s">
        <v>3216</v>
      </c>
      <c r="C1388" s="69" t="s">
        <v>2991</v>
      </c>
      <c r="D1388" s="71" t="s">
        <v>2387</v>
      </c>
      <c r="E1388" s="69" t="s">
        <v>2388</v>
      </c>
      <c r="F1388" s="69">
        <v>30</v>
      </c>
      <c r="G1388" s="69">
        <v>60</v>
      </c>
      <c r="H1388" s="69" t="s">
        <v>2399</v>
      </c>
      <c r="I1388" s="69" t="s">
        <v>2479</v>
      </c>
      <c r="J1388" s="69" t="s">
        <v>2424</v>
      </c>
      <c r="K1388" s="69"/>
    </row>
    <row r="1389" spans="1:12" x14ac:dyDescent="0.25">
      <c r="A1389" s="69" t="s">
        <v>579</v>
      </c>
      <c r="B1389" s="70" t="s">
        <v>3216</v>
      </c>
      <c r="C1389" s="69" t="s">
        <v>2991</v>
      </c>
      <c r="D1389" s="71" t="s">
        <v>2387</v>
      </c>
      <c r="E1389" s="69" t="s">
        <v>2388</v>
      </c>
      <c r="F1389" s="69">
        <v>30</v>
      </c>
      <c r="G1389" s="69">
        <v>60</v>
      </c>
      <c r="H1389" s="69" t="s">
        <v>2399</v>
      </c>
      <c r="I1389" s="69" t="s">
        <v>2479</v>
      </c>
      <c r="J1389" s="69" t="s">
        <v>2424</v>
      </c>
      <c r="K1389" s="69"/>
    </row>
    <row r="1390" spans="1:12" x14ac:dyDescent="0.25">
      <c r="A1390" s="69" t="s">
        <v>576</v>
      </c>
      <c r="B1390" s="70" t="s">
        <v>3216</v>
      </c>
      <c r="C1390" s="69" t="s">
        <v>2991</v>
      </c>
      <c r="D1390" s="71" t="s">
        <v>2387</v>
      </c>
      <c r="E1390" s="69" t="s">
        <v>2388</v>
      </c>
      <c r="F1390" s="69">
        <v>30</v>
      </c>
      <c r="G1390" s="69">
        <v>60</v>
      </c>
      <c r="H1390" s="69" t="s">
        <v>2399</v>
      </c>
      <c r="I1390" s="69" t="s">
        <v>2479</v>
      </c>
      <c r="J1390" s="69" t="s">
        <v>2424</v>
      </c>
      <c r="K1390" s="69"/>
    </row>
    <row r="1391" spans="1:12" x14ac:dyDescent="0.25">
      <c r="A1391" s="69" t="s">
        <v>573</v>
      </c>
      <c r="B1391" s="70" t="s">
        <v>3216</v>
      </c>
      <c r="C1391" s="69" t="s">
        <v>2991</v>
      </c>
      <c r="D1391" s="71" t="s">
        <v>2387</v>
      </c>
      <c r="E1391" s="69" t="s">
        <v>2388</v>
      </c>
      <c r="F1391" s="69">
        <v>30</v>
      </c>
      <c r="G1391" s="69">
        <v>60</v>
      </c>
      <c r="H1391" s="69" t="s">
        <v>2399</v>
      </c>
      <c r="I1391" s="69" t="s">
        <v>2479</v>
      </c>
      <c r="J1391" s="69" t="s">
        <v>2424</v>
      </c>
      <c r="K1391" s="69"/>
    </row>
    <row r="1392" spans="1:12" x14ac:dyDescent="0.25">
      <c r="A1392" s="69" t="s">
        <v>567</v>
      </c>
      <c r="B1392" s="70" t="s">
        <v>3216</v>
      </c>
      <c r="C1392" s="69" t="s">
        <v>2991</v>
      </c>
      <c r="D1392" s="71" t="s">
        <v>2387</v>
      </c>
      <c r="E1392" s="69" t="s">
        <v>2388</v>
      </c>
      <c r="F1392" s="69">
        <v>30</v>
      </c>
      <c r="G1392" s="69">
        <v>60</v>
      </c>
      <c r="H1392" s="69" t="s">
        <v>2399</v>
      </c>
      <c r="I1392" s="69" t="s">
        <v>2479</v>
      </c>
      <c r="J1392" s="69" t="s">
        <v>2424</v>
      </c>
      <c r="K1392" s="69"/>
    </row>
    <row r="1393" spans="1:12" x14ac:dyDescent="0.25">
      <c r="A1393" s="69" t="s">
        <v>564</v>
      </c>
      <c r="B1393" s="70" t="s">
        <v>3216</v>
      </c>
      <c r="C1393" s="69" t="s">
        <v>2991</v>
      </c>
      <c r="D1393" s="71" t="s">
        <v>2387</v>
      </c>
      <c r="E1393" s="69" t="s">
        <v>2388</v>
      </c>
      <c r="F1393" s="69">
        <v>30</v>
      </c>
      <c r="G1393" s="69">
        <v>60</v>
      </c>
      <c r="H1393" s="69" t="s">
        <v>2399</v>
      </c>
      <c r="I1393" s="69" t="s">
        <v>2479</v>
      </c>
      <c r="J1393" s="69" t="s">
        <v>2424</v>
      </c>
      <c r="K1393" s="69"/>
    </row>
    <row r="1394" spans="1:12" x14ac:dyDescent="0.25">
      <c r="A1394" s="69" t="s">
        <v>558</v>
      </c>
      <c r="B1394" s="70" t="s">
        <v>3216</v>
      </c>
      <c r="C1394" s="69" t="s">
        <v>2991</v>
      </c>
      <c r="D1394" s="71" t="s">
        <v>2387</v>
      </c>
      <c r="E1394" s="69" t="s">
        <v>2388</v>
      </c>
      <c r="F1394" s="69">
        <v>30</v>
      </c>
      <c r="G1394" s="69">
        <v>60</v>
      </c>
      <c r="H1394" s="69" t="s">
        <v>2399</v>
      </c>
      <c r="I1394" s="69" t="s">
        <v>2479</v>
      </c>
      <c r="J1394" s="69" t="s">
        <v>2424</v>
      </c>
      <c r="K1394" s="69"/>
    </row>
    <row r="1395" spans="1:12" x14ac:dyDescent="0.25">
      <c r="A1395" s="69" t="s">
        <v>555</v>
      </c>
      <c r="B1395" s="70" t="s">
        <v>3216</v>
      </c>
      <c r="C1395" s="69" t="s">
        <v>2991</v>
      </c>
      <c r="D1395" s="71" t="s">
        <v>2387</v>
      </c>
      <c r="E1395" s="69" t="s">
        <v>2388</v>
      </c>
      <c r="F1395" s="69">
        <v>30</v>
      </c>
      <c r="G1395" s="69">
        <v>60</v>
      </c>
      <c r="H1395" s="69" t="s">
        <v>2399</v>
      </c>
      <c r="I1395" s="69" t="s">
        <v>2479</v>
      </c>
      <c r="J1395" s="69" t="s">
        <v>2424</v>
      </c>
      <c r="K1395" s="69"/>
    </row>
    <row r="1396" spans="1:12" x14ac:dyDescent="0.25">
      <c r="A1396" s="69" t="s">
        <v>552</v>
      </c>
      <c r="B1396" s="70" t="s">
        <v>3216</v>
      </c>
      <c r="C1396" s="69" t="s">
        <v>2991</v>
      </c>
      <c r="D1396" s="71" t="s">
        <v>2387</v>
      </c>
      <c r="E1396" s="69" t="s">
        <v>2388</v>
      </c>
      <c r="F1396" s="69">
        <v>30</v>
      </c>
      <c r="G1396" s="69">
        <v>60</v>
      </c>
      <c r="H1396" s="69" t="s">
        <v>2399</v>
      </c>
      <c r="I1396" s="69" t="s">
        <v>2479</v>
      </c>
      <c r="J1396" s="69" t="s">
        <v>2424</v>
      </c>
      <c r="K1396" s="69"/>
    </row>
    <row r="1397" spans="1:12" x14ac:dyDescent="0.25">
      <c r="A1397" s="69" t="s">
        <v>550</v>
      </c>
      <c r="B1397" s="70" t="s">
        <v>3216</v>
      </c>
      <c r="C1397" s="69" t="s">
        <v>2991</v>
      </c>
      <c r="D1397" s="71" t="s">
        <v>2387</v>
      </c>
      <c r="E1397" s="69" t="s">
        <v>2388</v>
      </c>
      <c r="F1397" s="69">
        <v>30</v>
      </c>
      <c r="G1397" s="69">
        <v>0</v>
      </c>
      <c r="H1397" s="69" t="s">
        <v>2412</v>
      </c>
      <c r="I1397" s="69" t="s">
        <v>2410</v>
      </c>
      <c r="J1397" s="69" t="s">
        <v>2424</v>
      </c>
      <c r="K1397" s="69" t="s">
        <v>3026</v>
      </c>
      <c r="L1397" s="72" t="s">
        <v>2387</v>
      </c>
    </row>
    <row r="1398" spans="1:12" x14ac:dyDescent="0.25">
      <c r="A1398" s="69" t="s">
        <v>2327</v>
      </c>
      <c r="B1398" s="70" t="s">
        <v>3216</v>
      </c>
      <c r="C1398" s="69" t="s">
        <v>2991</v>
      </c>
      <c r="D1398" s="71" t="s">
        <v>2387</v>
      </c>
      <c r="E1398" s="69" t="s">
        <v>2388</v>
      </c>
      <c r="F1398" s="69"/>
      <c r="G1398" s="69"/>
      <c r="H1398" s="69" t="s">
        <v>2412</v>
      </c>
      <c r="I1398" s="69" t="s">
        <v>2410</v>
      </c>
      <c r="J1398" s="69" t="s">
        <v>2424</v>
      </c>
      <c r="K1398" s="69" t="s">
        <v>3026</v>
      </c>
      <c r="L1398" s="72" t="s">
        <v>2387</v>
      </c>
    </row>
    <row r="1399" spans="1:12" x14ac:dyDescent="0.25">
      <c r="A1399" s="69" t="s">
        <v>547</v>
      </c>
      <c r="B1399" s="70" t="s">
        <v>3216</v>
      </c>
      <c r="C1399" s="69" t="s">
        <v>2991</v>
      </c>
      <c r="D1399" s="71" t="s">
        <v>2387</v>
      </c>
      <c r="E1399" s="69" t="s">
        <v>2388</v>
      </c>
      <c r="F1399" s="69">
        <v>30</v>
      </c>
      <c r="G1399" s="69">
        <v>60</v>
      </c>
      <c r="H1399" s="69" t="s">
        <v>2399</v>
      </c>
      <c r="I1399" s="69" t="s">
        <v>2479</v>
      </c>
      <c r="J1399" s="69" t="s">
        <v>2424</v>
      </c>
      <c r="K1399" s="69"/>
    </row>
    <row r="1400" spans="1:12" x14ac:dyDescent="0.25">
      <c r="A1400" s="69" t="s">
        <v>544</v>
      </c>
      <c r="B1400" s="70" t="s">
        <v>3216</v>
      </c>
      <c r="C1400" s="69" t="s">
        <v>2991</v>
      </c>
      <c r="D1400" s="71" t="s">
        <v>2387</v>
      </c>
      <c r="E1400" s="69" t="s">
        <v>2388</v>
      </c>
      <c r="F1400" s="69">
        <v>30</v>
      </c>
      <c r="G1400" s="69">
        <v>60</v>
      </c>
      <c r="H1400" s="69" t="s">
        <v>2399</v>
      </c>
      <c r="I1400" s="69" t="s">
        <v>2479</v>
      </c>
      <c r="J1400" s="69" t="s">
        <v>2424</v>
      </c>
      <c r="K1400" s="69"/>
    </row>
    <row r="1401" spans="1:12" x14ac:dyDescent="0.25">
      <c r="A1401" s="69" t="s">
        <v>540</v>
      </c>
      <c r="B1401" s="70" t="s">
        <v>3216</v>
      </c>
      <c r="C1401" s="69" t="s">
        <v>2991</v>
      </c>
      <c r="D1401" s="71" t="s">
        <v>2387</v>
      </c>
      <c r="E1401" s="69" t="s">
        <v>2388</v>
      </c>
      <c r="F1401" s="69">
        <v>30</v>
      </c>
      <c r="G1401" s="69">
        <v>60</v>
      </c>
      <c r="H1401" s="69" t="s">
        <v>2399</v>
      </c>
      <c r="I1401" s="69" t="s">
        <v>2479</v>
      </c>
      <c r="J1401" s="69" t="s">
        <v>2424</v>
      </c>
      <c r="K1401" s="69"/>
    </row>
    <row r="1402" spans="1:12" x14ac:dyDescent="0.25">
      <c r="A1402" s="69" t="s">
        <v>2204</v>
      </c>
      <c r="B1402" s="70" t="s">
        <v>3216</v>
      </c>
      <c r="C1402" s="69" t="s">
        <v>2991</v>
      </c>
      <c r="D1402" s="71" t="s">
        <v>2387</v>
      </c>
      <c r="E1402" s="69" t="s">
        <v>2388</v>
      </c>
      <c r="F1402" s="69">
        <v>30</v>
      </c>
      <c r="G1402" s="69">
        <v>0</v>
      </c>
      <c r="H1402" s="69" t="s">
        <v>2412</v>
      </c>
      <c r="I1402" s="69" t="s">
        <v>2410</v>
      </c>
      <c r="J1402" s="69" t="s">
        <v>2424</v>
      </c>
      <c r="K1402" s="69" t="s">
        <v>3026</v>
      </c>
      <c r="L1402" s="72" t="s">
        <v>2387</v>
      </c>
    </row>
    <row r="1403" spans="1:12" x14ac:dyDescent="0.25">
      <c r="A1403" s="69" t="s">
        <v>2320</v>
      </c>
      <c r="B1403" s="70" t="s">
        <v>3216</v>
      </c>
      <c r="C1403" s="69" t="s">
        <v>2991</v>
      </c>
      <c r="D1403" s="71" t="s">
        <v>2387</v>
      </c>
      <c r="E1403" s="69" t="s">
        <v>2388</v>
      </c>
      <c r="F1403" s="69"/>
      <c r="G1403" s="69"/>
      <c r="H1403" s="69" t="s">
        <v>2412</v>
      </c>
      <c r="I1403" s="69" t="s">
        <v>2410</v>
      </c>
      <c r="J1403" s="69" t="s">
        <v>2424</v>
      </c>
      <c r="K1403" s="69" t="s">
        <v>3026</v>
      </c>
    </row>
    <row r="1404" spans="1:12" x14ac:dyDescent="0.25">
      <c r="A1404" s="69" t="s">
        <v>538</v>
      </c>
      <c r="B1404" s="70" t="s">
        <v>3216</v>
      </c>
      <c r="C1404" s="69" t="s">
        <v>2991</v>
      </c>
      <c r="D1404" s="71" t="s">
        <v>2387</v>
      </c>
      <c r="E1404" s="69" t="s">
        <v>2388</v>
      </c>
      <c r="F1404" s="69"/>
      <c r="G1404" s="69"/>
      <c r="H1404" s="69" t="s">
        <v>2412</v>
      </c>
      <c r="I1404" s="69" t="s">
        <v>2410</v>
      </c>
      <c r="J1404" s="69" t="s">
        <v>3027</v>
      </c>
      <c r="K1404" s="69" t="s">
        <v>3026</v>
      </c>
      <c r="L1404" s="72" t="s">
        <v>2387</v>
      </c>
    </row>
    <row r="1405" spans="1:12" x14ac:dyDescent="0.25">
      <c r="A1405" s="69" t="s">
        <v>535</v>
      </c>
      <c r="B1405" s="70" t="s">
        <v>3216</v>
      </c>
      <c r="C1405" s="69" t="s">
        <v>2991</v>
      </c>
      <c r="D1405" s="71" t="s">
        <v>2387</v>
      </c>
      <c r="E1405" s="69" t="s">
        <v>2388</v>
      </c>
      <c r="F1405" s="69">
        <v>30</v>
      </c>
      <c r="G1405" s="69">
        <v>60</v>
      </c>
      <c r="H1405" s="69" t="s">
        <v>2399</v>
      </c>
      <c r="I1405" s="69" t="s">
        <v>2479</v>
      </c>
      <c r="J1405" s="69" t="s">
        <v>2424</v>
      </c>
      <c r="K1405" s="69"/>
    </row>
    <row r="1406" spans="1:12" x14ac:dyDescent="0.25">
      <c r="A1406" s="69" t="s">
        <v>532</v>
      </c>
      <c r="B1406" s="70" t="s">
        <v>3216</v>
      </c>
      <c r="C1406" s="69" t="s">
        <v>2991</v>
      </c>
      <c r="D1406" s="71" t="s">
        <v>2387</v>
      </c>
      <c r="E1406" s="69" t="s">
        <v>2388</v>
      </c>
      <c r="F1406" s="69">
        <v>30</v>
      </c>
      <c r="G1406" s="69">
        <v>60</v>
      </c>
      <c r="H1406" s="69" t="s">
        <v>2399</v>
      </c>
      <c r="I1406" s="69" t="s">
        <v>2479</v>
      </c>
      <c r="J1406" s="69" t="s">
        <v>2424</v>
      </c>
      <c r="K1406" s="69"/>
    </row>
    <row r="1407" spans="1:12" x14ac:dyDescent="0.25">
      <c r="A1407" s="69" t="s">
        <v>2340</v>
      </c>
      <c r="B1407" s="70" t="s">
        <v>3216</v>
      </c>
      <c r="C1407" s="69" t="s">
        <v>2991</v>
      </c>
      <c r="D1407" s="71" t="s">
        <v>2387</v>
      </c>
      <c r="E1407" s="69" t="s">
        <v>2388</v>
      </c>
      <c r="F1407" s="69"/>
      <c r="G1407" s="69"/>
      <c r="H1407" s="69" t="s">
        <v>2412</v>
      </c>
      <c r="I1407" s="69" t="s">
        <v>2410</v>
      </c>
      <c r="J1407" s="69" t="s">
        <v>2424</v>
      </c>
      <c r="K1407" s="69" t="s">
        <v>3026</v>
      </c>
      <c r="L1407" s="72" t="s">
        <v>2387</v>
      </c>
    </row>
    <row r="1408" spans="1:12" x14ac:dyDescent="0.25">
      <c r="A1408" s="69" t="s">
        <v>2324</v>
      </c>
      <c r="B1408" s="70" t="s">
        <v>3216</v>
      </c>
      <c r="C1408" s="69" t="s">
        <v>2991</v>
      </c>
      <c r="D1408" s="71" t="s">
        <v>2387</v>
      </c>
      <c r="E1408" s="69" t="s">
        <v>2388</v>
      </c>
      <c r="F1408" s="69"/>
      <c r="G1408" s="69"/>
      <c r="H1408" s="69" t="s">
        <v>2412</v>
      </c>
      <c r="I1408" s="69" t="s">
        <v>2410</v>
      </c>
      <c r="J1408" s="69" t="s">
        <v>2424</v>
      </c>
      <c r="K1408" s="69" t="s">
        <v>3026</v>
      </c>
    </row>
    <row r="1409" spans="1:11" x14ac:dyDescent="0.25">
      <c r="A1409" s="69" t="s">
        <v>207</v>
      </c>
      <c r="B1409" s="70" t="s">
        <v>3216</v>
      </c>
      <c r="C1409" s="69" t="s">
        <v>2991</v>
      </c>
      <c r="D1409" s="71" t="s">
        <v>2387</v>
      </c>
      <c r="E1409" s="69" t="s">
        <v>2388</v>
      </c>
      <c r="F1409" s="69">
        <v>30</v>
      </c>
      <c r="G1409" s="69"/>
      <c r="H1409" s="69" t="s">
        <v>2399</v>
      </c>
      <c r="I1409" s="69" t="s">
        <v>2410</v>
      </c>
      <c r="J1409" s="69" t="s">
        <v>2424</v>
      </c>
      <c r="K1409" s="69"/>
    </row>
    <row r="1410" spans="1:11" x14ac:dyDescent="0.25">
      <c r="A1410" s="69" t="s">
        <v>196</v>
      </c>
      <c r="B1410" s="70" t="s">
        <v>3216</v>
      </c>
      <c r="C1410" s="69" t="s">
        <v>2991</v>
      </c>
      <c r="D1410" s="71" t="s">
        <v>2387</v>
      </c>
      <c r="E1410" s="69" t="s">
        <v>2388</v>
      </c>
      <c r="F1410" s="69">
        <v>30</v>
      </c>
      <c r="G1410" s="69">
        <v>60</v>
      </c>
      <c r="H1410" s="69" t="s">
        <v>2399</v>
      </c>
      <c r="I1410" s="69" t="s">
        <v>2479</v>
      </c>
      <c r="J1410" s="69" t="s">
        <v>2424</v>
      </c>
      <c r="K1410" s="69"/>
    </row>
    <row r="1411" spans="1:11" x14ac:dyDescent="0.25">
      <c r="A1411" s="69" t="s">
        <v>193</v>
      </c>
      <c r="B1411" s="70" t="s">
        <v>3216</v>
      </c>
      <c r="C1411" s="69" t="s">
        <v>2991</v>
      </c>
      <c r="D1411" s="71" t="s">
        <v>2387</v>
      </c>
      <c r="E1411" s="69" t="s">
        <v>2388</v>
      </c>
      <c r="F1411" s="69">
        <v>30</v>
      </c>
      <c r="G1411" s="69">
        <v>60</v>
      </c>
      <c r="H1411" s="69" t="s">
        <v>2399</v>
      </c>
      <c r="I1411" s="69" t="s">
        <v>2479</v>
      </c>
      <c r="J1411" s="69" t="s">
        <v>2424</v>
      </c>
      <c r="K1411" s="69"/>
    </row>
    <row r="1412" spans="1:11" x14ac:dyDescent="0.25">
      <c r="A1412" s="69" t="s">
        <v>190</v>
      </c>
      <c r="B1412" s="70" t="s">
        <v>3216</v>
      </c>
      <c r="C1412" s="69" t="s">
        <v>2991</v>
      </c>
      <c r="D1412" s="71" t="s">
        <v>2387</v>
      </c>
      <c r="E1412" s="69" t="s">
        <v>2388</v>
      </c>
      <c r="F1412" s="69">
        <v>30</v>
      </c>
      <c r="G1412" s="69">
        <v>60</v>
      </c>
      <c r="H1412" s="69" t="s">
        <v>2399</v>
      </c>
      <c r="I1412" s="69" t="s">
        <v>2479</v>
      </c>
      <c r="J1412" s="69" t="s">
        <v>2424</v>
      </c>
      <c r="K1412" s="69"/>
    </row>
    <row r="1413" spans="1:11" x14ac:dyDescent="0.25">
      <c r="A1413" s="69" t="s">
        <v>187</v>
      </c>
      <c r="B1413" s="70" t="s">
        <v>3216</v>
      </c>
      <c r="C1413" s="69" t="s">
        <v>2991</v>
      </c>
      <c r="D1413" s="71" t="s">
        <v>2387</v>
      </c>
      <c r="E1413" s="69" t="s">
        <v>2388</v>
      </c>
      <c r="F1413" s="69">
        <v>30</v>
      </c>
      <c r="G1413" s="69">
        <v>60</v>
      </c>
      <c r="H1413" s="69" t="s">
        <v>2399</v>
      </c>
      <c r="I1413" s="69" t="s">
        <v>2479</v>
      </c>
      <c r="J1413" s="69" t="s">
        <v>2424</v>
      </c>
      <c r="K1413" s="69"/>
    </row>
    <row r="1414" spans="1:11" x14ac:dyDescent="0.25">
      <c r="A1414" s="69" t="s">
        <v>2214</v>
      </c>
      <c r="B1414" s="70" t="s">
        <v>3216</v>
      </c>
      <c r="C1414" s="69" t="s">
        <v>2991</v>
      </c>
      <c r="D1414" s="71" t="s">
        <v>2387</v>
      </c>
      <c r="E1414" s="69" t="s">
        <v>2388</v>
      </c>
      <c r="F1414" s="69">
        <v>30</v>
      </c>
      <c r="G1414" s="69">
        <v>60</v>
      </c>
      <c r="H1414" s="69" t="s">
        <v>2399</v>
      </c>
      <c r="I1414" s="69" t="s">
        <v>2479</v>
      </c>
      <c r="J1414" s="69" t="s">
        <v>2424</v>
      </c>
      <c r="K1414" s="69"/>
    </row>
    <row r="1415" spans="1:11" x14ac:dyDescent="0.25">
      <c r="A1415" s="69" t="s">
        <v>13</v>
      </c>
      <c r="B1415" s="70" t="s">
        <v>3216</v>
      </c>
      <c r="C1415" s="69" t="s">
        <v>2991</v>
      </c>
      <c r="D1415" s="71" t="s">
        <v>2387</v>
      </c>
      <c r="E1415" s="69" t="s">
        <v>2388</v>
      </c>
      <c r="F1415" s="69">
        <v>30</v>
      </c>
      <c r="G1415" s="69">
        <v>60</v>
      </c>
      <c r="H1415" s="69" t="s">
        <v>2399</v>
      </c>
      <c r="I1415" s="69" t="s">
        <v>2479</v>
      </c>
      <c r="J1415" s="69" t="s">
        <v>2424</v>
      </c>
      <c r="K1415" s="69"/>
    </row>
    <row r="1416" spans="1:11" x14ac:dyDescent="0.25">
      <c r="A1416" s="69" t="s">
        <v>2361</v>
      </c>
      <c r="B1416" s="70" t="s">
        <v>3216</v>
      </c>
      <c r="C1416" s="69" t="s">
        <v>2991</v>
      </c>
      <c r="D1416" s="71" t="s">
        <v>2387</v>
      </c>
      <c r="E1416" s="69" t="s">
        <v>2388</v>
      </c>
      <c r="F1416" s="69">
        <v>30</v>
      </c>
      <c r="G1416" s="69">
        <v>60</v>
      </c>
      <c r="H1416" s="69" t="s">
        <v>2412</v>
      </c>
      <c r="I1416" s="69" t="s">
        <v>2479</v>
      </c>
      <c r="J1416" s="69" t="s">
        <v>3027</v>
      </c>
      <c r="K1416" s="69" t="s">
        <v>3026</v>
      </c>
    </row>
    <row r="1417" spans="1:11" x14ac:dyDescent="0.25">
      <c r="A1417" s="69" t="s">
        <v>243</v>
      </c>
      <c r="B1417" s="70" t="s">
        <v>3216</v>
      </c>
      <c r="C1417" s="69" t="s">
        <v>2991</v>
      </c>
      <c r="D1417" s="71" t="s">
        <v>2387</v>
      </c>
      <c r="E1417" s="69" t="s">
        <v>2388</v>
      </c>
      <c r="F1417" s="69">
        <v>30</v>
      </c>
      <c r="G1417" s="69">
        <v>60</v>
      </c>
      <c r="H1417" s="69" t="s">
        <v>2399</v>
      </c>
      <c r="I1417" s="69" t="s">
        <v>2479</v>
      </c>
      <c r="J1417" s="69" t="s">
        <v>2424</v>
      </c>
      <c r="K1417" s="69" t="s">
        <v>3087</v>
      </c>
    </row>
    <row r="1418" spans="1:11" x14ac:dyDescent="0.25">
      <c r="A1418" s="69" t="s">
        <v>246</v>
      </c>
      <c r="B1418" s="70" t="s">
        <v>3216</v>
      </c>
      <c r="C1418" s="69" t="s">
        <v>2991</v>
      </c>
      <c r="D1418" s="71" t="s">
        <v>2387</v>
      </c>
      <c r="E1418" s="69" t="s">
        <v>2388</v>
      </c>
      <c r="F1418" s="69">
        <v>30</v>
      </c>
      <c r="G1418" s="69">
        <v>60</v>
      </c>
      <c r="H1418" s="69" t="s">
        <v>2399</v>
      </c>
      <c r="I1418" s="69" t="s">
        <v>2479</v>
      </c>
      <c r="J1418" s="69" t="s">
        <v>2424</v>
      </c>
      <c r="K1418" s="69" t="s">
        <v>247</v>
      </c>
    </row>
    <row r="1419" spans="1:11" x14ac:dyDescent="0.25">
      <c r="A1419" s="69" t="s">
        <v>2238</v>
      </c>
      <c r="B1419" s="70" t="s">
        <v>3216</v>
      </c>
      <c r="C1419" s="69" t="s">
        <v>2991</v>
      </c>
      <c r="D1419" s="71" t="s">
        <v>2387</v>
      </c>
      <c r="E1419" s="69" t="s">
        <v>2388</v>
      </c>
      <c r="F1419" s="69">
        <v>30</v>
      </c>
      <c r="G1419" s="69">
        <v>60</v>
      </c>
      <c r="H1419" s="69" t="s">
        <v>2399</v>
      </c>
      <c r="I1419" s="69" t="s">
        <v>2479</v>
      </c>
      <c r="J1419" s="69" t="s">
        <v>2424</v>
      </c>
      <c r="K1419" s="69"/>
    </row>
    <row r="1420" spans="1:11" x14ac:dyDescent="0.25">
      <c r="A1420" s="69" t="s">
        <v>2227</v>
      </c>
      <c r="B1420" s="70" t="s">
        <v>3216</v>
      </c>
      <c r="C1420" s="69" t="s">
        <v>2991</v>
      </c>
      <c r="D1420" s="71" t="s">
        <v>2387</v>
      </c>
      <c r="E1420" s="69" t="s">
        <v>2388</v>
      </c>
      <c r="F1420" s="69">
        <v>30</v>
      </c>
      <c r="G1420" s="69">
        <v>60</v>
      </c>
      <c r="H1420" s="69" t="s">
        <v>2399</v>
      </c>
      <c r="I1420" s="69" t="s">
        <v>2479</v>
      </c>
      <c r="J1420" s="69" t="s">
        <v>2424</v>
      </c>
      <c r="K1420" s="69"/>
    </row>
    <row r="1421" spans="1:11" x14ac:dyDescent="0.25">
      <c r="A1421" s="69" t="s">
        <v>249</v>
      </c>
      <c r="B1421" s="70" t="s">
        <v>3216</v>
      </c>
      <c r="C1421" s="69" t="s">
        <v>2991</v>
      </c>
      <c r="D1421" s="71" t="s">
        <v>2387</v>
      </c>
      <c r="E1421" s="69" t="s">
        <v>2388</v>
      </c>
      <c r="F1421" s="69">
        <v>30</v>
      </c>
      <c r="G1421" s="69">
        <v>60</v>
      </c>
      <c r="H1421" s="69" t="s">
        <v>2399</v>
      </c>
      <c r="I1421" s="69" t="s">
        <v>2479</v>
      </c>
      <c r="J1421" s="69" t="s">
        <v>2424</v>
      </c>
      <c r="K1421" s="69" t="s">
        <v>3093</v>
      </c>
    </row>
    <row r="1422" spans="1:11" x14ac:dyDescent="0.25">
      <c r="A1422" s="69" t="s">
        <v>258</v>
      </c>
      <c r="B1422" s="70" t="s">
        <v>3216</v>
      </c>
      <c r="C1422" s="69" t="s">
        <v>2991</v>
      </c>
      <c r="D1422" s="71" t="s">
        <v>2387</v>
      </c>
      <c r="E1422" s="69" t="s">
        <v>2388</v>
      </c>
      <c r="F1422" s="69">
        <v>30</v>
      </c>
      <c r="G1422" s="69">
        <v>60</v>
      </c>
      <c r="H1422" s="69" t="s">
        <v>2399</v>
      </c>
      <c r="I1422" s="69" t="s">
        <v>2479</v>
      </c>
      <c r="J1422" s="69" t="s">
        <v>2424</v>
      </c>
      <c r="K1422" s="69"/>
    </row>
    <row r="1423" spans="1:11" x14ac:dyDescent="0.25">
      <c r="A1423" s="69" t="s">
        <v>2273</v>
      </c>
      <c r="B1423" s="70" t="s">
        <v>3216</v>
      </c>
      <c r="C1423" s="69" t="s">
        <v>2991</v>
      </c>
      <c r="D1423" s="71" t="s">
        <v>2387</v>
      </c>
      <c r="E1423" s="69" t="s">
        <v>2388</v>
      </c>
      <c r="F1423" s="69">
        <v>30</v>
      </c>
      <c r="G1423" s="69">
        <v>60</v>
      </c>
      <c r="H1423" s="69" t="s">
        <v>2399</v>
      </c>
      <c r="I1423" s="69" t="s">
        <v>2479</v>
      </c>
      <c r="J1423" s="69" t="s">
        <v>2424</v>
      </c>
      <c r="K1423" s="69"/>
    </row>
    <row r="1424" spans="1:11" x14ac:dyDescent="0.25">
      <c r="A1424" s="69" t="s">
        <v>261</v>
      </c>
      <c r="B1424" s="70" t="s">
        <v>3216</v>
      </c>
      <c r="C1424" s="69" t="s">
        <v>2991</v>
      </c>
      <c r="D1424" s="71" t="s">
        <v>2387</v>
      </c>
      <c r="E1424" s="69" t="s">
        <v>2388</v>
      </c>
      <c r="F1424" s="69">
        <v>30</v>
      </c>
      <c r="G1424" s="69">
        <v>60</v>
      </c>
      <c r="H1424" s="69" t="s">
        <v>2399</v>
      </c>
      <c r="I1424" s="69" t="s">
        <v>2479</v>
      </c>
      <c r="J1424" s="69" t="s">
        <v>2424</v>
      </c>
      <c r="K1424" s="69"/>
    </row>
    <row r="1425" spans="1:12" x14ac:dyDescent="0.25">
      <c r="A1425" s="69" t="s">
        <v>264</v>
      </c>
      <c r="B1425" s="70" t="s">
        <v>3216</v>
      </c>
      <c r="C1425" s="69" t="s">
        <v>2991</v>
      </c>
      <c r="D1425" s="71" t="s">
        <v>2387</v>
      </c>
      <c r="E1425" s="69" t="s">
        <v>2388</v>
      </c>
      <c r="F1425" s="69">
        <v>30</v>
      </c>
      <c r="G1425" s="69">
        <v>60</v>
      </c>
      <c r="H1425" s="69" t="s">
        <v>2399</v>
      </c>
      <c r="I1425" s="69" t="s">
        <v>2479</v>
      </c>
      <c r="J1425" s="69" t="s">
        <v>2424</v>
      </c>
      <c r="K1425" s="69"/>
    </row>
    <row r="1426" spans="1:12" x14ac:dyDescent="0.25">
      <c r="A1426" s="69" t="s">
        <v>267</v>
      </c>
      <c r="B1426" s="70" t="s">
        <v>3216</v>
      </c>
      <c r="C1426" s="69" t="s">
        <v>2991</v>
      </c>
      <c r="D1426" s="71" t="s">
        <v>2387</v>
      </c>
      <c r="E1426" s="69" t="s">
        <v>2388</v>
      </c>
      <c r="F1426" s="69">
        <v>30</v>
      </c>
      <c r="G1426" s="69">
        <v>60</v>
      </c>
      <c r="H1426" s="69" t="s">
        <v>2399</v>
      </c>
      <c r="I1426" s="69" t="s">
        <v>2479</v>
      </c>
      <c r="J1426" s="69" t="s">
        <v>2424</v>
      </c>
      <c r="K1426" s="69"/>
    </row>
    <row r="1427" spans="1:12" x14ac:dyDescent="0.25">
      <c r="A1427" s="69" t="s">
        <v>270</v>
      </c>
      <c r="B1427" s="70" t="s">
        <v>3216</v>
      </c>
      <c r="C1427" s="69" t="s">
        <v>2991</v>
      </c>
      <c r="D1427" s="71" t="s">
        <v>2387</v>
      </c>
      <c r="E1427" s="69" t="s">
        <v>2388</v>
      </c>
      <c r="F1427" s="69">
        <v>30</v>
      </c>
      <c r="G1427" s="69">
        <v>60</v>
      </c>
      <c r="H1427" s="69" t="s">
        <v>2399</v>
      </c>
      <c r="I1427" s="69" t="s">
        <v>2479</v>
      </c>
      <c r="J1427" s="69" t="s">
        <v>2424</v>
      </c>
      <c r="K1427" s="69" t="s">
        <v>3105</v>
      </c>
    </row>
    <row r="1428" spans="1:12" x14ac:dyDescent="0.25">
      <c r="A1428" s="69" t="s">
        <v>276</v>
      </c>
      <c r="B1428" s="70" t="s">
        <v>3216</v>
      </c>
      <c r="C1428" s="69" t="s">
        <v>2991</v>
      </c>
      <c r="D1428" s="71" t="s">
        <v>2387</v>
      </c>
      <c r="E1428" s="69" t="s">
        <v>2388</v>
      </c>
      <c r="F1428" s="69">
        <v>30</v>
      </c>
      <c r="G1428" s="69">
        <v>60</v>
      </c>
      <c r="H1428" s="69" t="s">
        <v>2399</v>
      </c>
      <c r="I1428" s="69" t="s">
        <v>2479</v>
      </c>
      <c r="J1428" s="69" t="s">
        <v>2424</v>
      </c>
      <c r="K1428" s="69" t="s">
        <v>3105</v>
      </c>
    </row>
    <row r="1429" spans="1:12" x14ac:dyDescent="0.25">
      <c r="A1429" s="69" t="s">
        <v>273</v>
      </c>
      <c r="B1429" s="70" t="s">
        <v>3216</v>
      </c>
      <c r="C1429" s="69" t="s">
        <v>2991</v>
      </c>
      <c r="D1429" s="71" t="s">
        <v>2387</v>
      </c>
      <c r="E1429" s="69" t="s">
        <v>2388</v>
      </c>
      <c r="F1429" s="69">
        <v>30</v>
      </c>
      <c r="G1429" s="69">
        <v>60</v>
      </c>
      <c r="H1429" s="69" t="s">
        <v>2399</v>
      </c>
      <c r="I1429" s="69" t="s">
        <v>2479</v>
      </c>
      <c r="J1429" s="69" t="s">
        <v>2424</v>
      </c>
      <c r="K1429" s="69"/>
    </row>
    <row r="1430" spans="1:12" x14ac:dyDescent="0.25">
      <c r="A1430" s="69" t="s">
        <v>2239</v>
      </c>
      <c r="B1430" s="70" t="s">
        <v>3216</v>
      </c>
      <c r="C1430" s="69" t="s">
        <v>2991</v>
      </c>
      <c r="D1430" s="71" t="s">
        <v>2387</v>
      </c>
      <c r="E1430" s="69" t="s">
        <v>2388</v>
      </c>
      <c r="F1430" s="69">
        <v>30</v>
      </c>
      <c r="G1430" s="69">
        <v>60</v>
      </c>
      <c r="H1430" s="69" t="s">
        <v>2399</v>
      </c>
      <c r="I1430" s="69" t="s">
        <v>2479</v>
      </c>
      <c r="J1430" s="69" t="s">
        <v>2424</v>
      </c>
      <c r="K1430" s="69"/>
    </row>
    <row r="1431" spans="1:12" x14ac:dyDescent="0.25">
      <c r="A1431" s="69" t="s">
        <v>1773</v>
      </c>
      <c r="B1431" s="70" t="s">
        <v>3216</v>
      </c>
      <c r="C1431" s="69" t="s">
        <v>2991</v>
      </c>
      <c r="D1431" s="71" t="s">
        <v>2387</v>
      </c>
      <c r="E1431" s="69" t="s">
        <v>2388</v>
      </c>
      <c r="F1431" s="69">
        <v>30</v>
      </c>
      <c r="G1431" s="69">
        <v>0</v>
      </c>
      <c r="H1431" s="69" t="s">
        <v>2412</v>
      </c>
      <c r="I1431" s="69" t="s">
        <v>2410</v>
      </c>
      <c r="J1431" s="69" t="s">
        <v>2427</v>
      </c>
      <c r="K1431" s="69"/>
      <c r="L1431" s="72" t="s">
        <v>2387</v>
      </c>
    </row>
    <row r="1432" spans="1:12" x14ac:dyDescent="0.25">
      <c r="A1432" s="69" t="s">
        <v>2116</v>
      </c>
      <c r="B1432" s="70" t="s">
        <v>3216</v>
      </c>
      <c r="C1432" s="69" t="s">
        <v>2991</v>
      </c>
      <c r="D1432" s="71" t="s">
        <v>2387</v>
      </c>
      <c r="E1432" s="69" t="s">
        <v>2388</v>
      </c>
      <c r="F1432" s="69">
        <v>30</v>
      </c>
      <c r="G1432" s="69">
        <v>0</v>
      </c>
      <c r="H1432" s="69" t="s">
        <v>2412</v>
      </c>
      <c r="I1432" s="69" t="s">
        <v>2410</v>
      </c>
      <c r="J1432" s="69" t="s">
        <v>2427</v>
      </c>
      <c r="K1432" s="69" t="s">
        <v>3168</v>
      </c>
      <c r="L1432" s="72" t="s">
        <v>2387</v>
      </c>
    </row>
    <row r="1433" spans="1:12" x14ac:dyDescent="0.25">
      <c r="A1433" s="69" t="s">
        <v>279</v>
      </c>
      <c r="B1433" s="70" t="s">
        <v>3216</v>
      </c>
      <c r="C1433" s="69" t="s">
        <v>2991</v>
      </c>
      <c r="D1433" s="71" t="s">
        <v>2387</v>
      </c>
      <c r="E1433" s="69" t="s">
        <v>2388</v>
      </c>
      <c r="F1433" s="69">
        <v>30</v>
      </c>
      <c r="G1433" s="69">
        <v>60</v>
      </c>
      <c r="H1433" s="69" t="s">
        <v>2399</v>
      </c>
      <c r="I1433" s="69" t="s">
        <v>2479</v>
      </c>
      <c r="J1433" s="69" t="s">
        <v>2424</v>
      </c>
      <c r="K1433" s="69"/>
    </row>
    <row r="1434" spans="1:12" x14ac:dyDescent="0.25">
      <c r="A1434" s="69" t="s">
        <v>282</v>
      </c>
      <c r="B1434" s="70" t="s">
        <v>3216</v>
      </c>
      <c r="C1434" s="69" t="s">
        <v>2991</v>
      </c>
      <c r="D1434" s="71" t="s">
        <v>2387</v>
      </c>
      <c r="E1434" s="69" t="s">
        <v>2388</v>
      </c>
      <c r="F1434" s="69">
        <v>30</v>
      </c>
      <c r="G1434" s="69">
        <v>60</v>
      </c>
      <c r="H1434" s="69" t="s">
        <v>2399</v>
      </c>
      <c r="I1434" s="69" t="s">
        <v>2479</v>
      </c>
      <c r="J1434" s="69" t="s">
        <v>2424</v>
      </c>
      <c r="K1434" s="69"/>
    </row>
    <row r="1435" spans="1:12" x14ac:dyDescent="0.25">
      <c r="A1435" s="69" t="s">
        <v>292</v>
      </c>
      <c r="B1435" s="70" t="s">
        <v>3216</v>
      </c>
      <c r="C1435" s="69" t="s">
        <v>2991</v>
      </c>
      <c r="D1435" s="71" t="s">
        <v>2387</v>
      </c>
      <c r="E1435" s="69" t="s">
        <v>2388</v>
      </c>
      <c r="F1435" s="69">
        <v>30</v>
      </c>
      <c r="G1435" s="69">
        <v>60</v>
      </c>
      <c r="H1435" s="69" t="s">
        <v>2399</v>
      </c>
      <c r="I1435" s="69" t="s">
        <v>2479</v>
      </c>
      <c r="J1435" s="69" t="s">
        <v>2424</v>
      </c>
      <c r="K1435" s="69"/>
    </row>
    <row r="1436" spans="1:12" x14ac:dyDescent="0.25">
      <c r="A1436" s="69" t="s">
        <v>2254</v>
      </c>
      <c r="B1436" s="70" t="s">
        <v>3216</v>
      </c>
      <c r="C1436" s="69" t="s">
        <v>2991</v>
      </c>
      <c r="D1436" s="71" t="s">
        <v>2387</v>
      </c>
      <c r="E1436" s="69" t="s">
        <v>2388</v>
      </c>
      <c r="F1436" s="69">
        <v>30</v>
      </c>
      <c r="G1436" s="69">
        <v>60</v>
      </c>
      <c r="H1436" s="69" t="s">
        <v>2399</v>
      </c>
      <c r="I1436" s="69" t="s">
        <v>2479</v>
      </c>
      <c r="J1436" s="69" t="s">
        <v>2424</v>
      </c>
      <c r="K1436" s="69"/>
    </row>
    <row r="1437" spans="1:12" x14ac:dyDescent="0.25">
      <c r="A1437" s="69" t="s">
        <v>2246</v>
      </c>
      <c r="B1437" s="70" t="s">
        <v>3216</v>
      </c>
      <c r="C1437" s="69" t="s">
        <v>2991</v>
      </c>
      <c r="D1437" s="71" t="s">
        <v>2387</v>
      </c>
      <c r="E1437" s="69" t="s">
        <v>2388</v>
      </c>
      <c r="F1437" s="69">
        <v>30</v>
      </c>
      <c r="G1437" s="69">
        <v>60</v>
      </c>
      <c r="H1437" s="69" t="s">
        <v>2399</v>
      </c>
      <c r="I1437" s="69" t="s">
        <v>2479</v>
      </c>
      <c r="J1437" s="69" t="s">
        <v>2424</v>
      </c>
      <c r="K1437" s="69"/>
    </row>
    <row r="1438" spans="1:12" x14ac:dyDescent="0.25">
      <c r="A1438" s="69" t="s">
        <v>295</v>
      </c>
      <c r="B1438" s="70" t="s">
        <v>3216</v>
      </c>
      <c r="C1438" s="69" t="s">
        <v>2991</v>
      </c>
      <c r="D1438" s="71" t="s">
        <v>2387</v>
      </c>
      <c r="E1438" s="69" t="s">
        <v>2388</v>
      </c>
      <c r="F1438" s="69">
        <v>30</v>
      </c>
      <c r="G1438" s="69">
        <v>60</v>
      </c>
      <c r="H1438" s="69" t="s">
        <v>2399</v>
      </c>
      <c r="I1438" s="69" t="s">
        <v>2479</v>
      </c>
      <c r="J1438" s="69" t="s">
        <v>2424</v>
      </c>
      <c r="K1438" s="69"/>
    </row>
    <row r="1439" spans="1:12" x14ac:dyDescent="0.25">
      <c r="A1439" s="69" t="s">
        <v>298</v>
      </c>
      <c r="B1439" s="70" t="s">
        <v>3216</v>
      </c>
      <c r="C1439" s="69" t="s">
        <v>2991</v>
      </c>
      <c r="D1439" s="71" t="s">
        <v>2387</v>
      </c>
      <c r="E1439" s="69" t="s">
        <v>2388</v>
      </c>
      <c r="F1439" s="69">
        <v>30</v>
      </c>
      <c r="G1439" s="69">
        <v>60</v>
      </c>
      <c r="H1439" s="69" t="s">
        <v>2399</v>
      </c>
      <c r="I1439" s="69" t="s">
        <v>2479</v>
      </c>
      <c r="J1439" s="69" t="s">
        <v>2424</v>
      </c>
      <c r="K1439" s="69"/>
    </row>
    <row r="1440" spans="1:12" x14ac:dyDescent="0.25">
      <c r="A1440" s="69" t="s">
        <v>2245</v>
      </c>
      <c r="B1440" s="70" t="s">
        <v>3216</v>
      </c>
      <c r="C1440" s="69" t="s">
        <v>2991</v>
      </c>
      <c r="D1440" s="71" t="s">
        <v>2387</v>
      </c>
      <c r="E1440" s="69" t="s">
        <v>2388</v>
      </c>
      <c r="F1440" s="69">
        <v>30</v>
      </c>
      <c r="G1440" s="69">
        <v>60</v>
      </c>
      <c r="H1440" s="69" t="s">
        <v>2399</v>
      </c>
      <c r="I1440" s="69" t="s">
        <v>2479</v>
      </c>
      <c r="J1440" s="69" t="s">
        <v>2424</v>
      </c>
      <c r="K1440" s="69"/>
    </row>
    <row r="1441" spans="1:11" x14ac:dyDescent="0.25">
      <c r="A1441" s="69" t="s">
        <v>2236</v>
      </c>
      <c r="B1441" s="70" t="s">
        <v>3216</v>
      </c>
      <c r="C1441" s="69" t="s">
        <v>2991</v>
      </c>
      <c r="D1441" s="71" t="s">
        <v>2387</v>
      </c>
      <c r="E1441" s="69" t="s">
        <v>2388</v>
      </c>
      <c r="F1441" s="69">
        <v>30</v>
      </c>
      <c r="G1441" s="69">
        <v>60</v>
      </c>
      <c r="H1441" s="69" t="s">
        <v>2399</v>
      </c>
      <c r="I1441" s="69" t="s">
        <v>2479</v>
      </c>
      <c r="J1441" s="69" t="s">
        <v>2424</v>
      </c>
      <c r="K1441" s="69"/>
    </row>
    <row r="1442" spans="1:11" x14ac:dyDescent="0.25">
      <c r="A1442" s="69" t="s">
        <v>2243</v>
      </c>
      <c r="B1442" s="70" t="s">
        <v>3216</v>
      </c>
      <c r="C1442" s="69" t="s">
        <v>2991</v>
      </c>
      <c r="D1442" s="71" t="s">
        <v>2387</v>
      </c>
      <c r="E1442" s="69" t="s">
        <v>2388</v>
      </c>
      <c r="F1442" s="69">
        <v>30</v>
      </c>
      <c r="G1442" s="69">
        <v>60</v>
      </c>
      <c r="H1442" s="69" t="s">
        <v>2399</v>
      </c>
      <c r="I1442" s="69" t="s">
        <v>2479</v>
      </c>
      <c r="J1442" s="69" t="s">
        <v>2424</v>
      </c>
      <c r="K1442" s="69"/>
    </row>
    <row r="1443" spans="1:11" x14ac:dyDescent="0.25">
      <c r="A1443" s="69" t="s">
        <v>2244</v>
      </c>
      <c r="B1443" s="70" t="s">
        <v>3216</v>
      </c>
      <c r="C1443" s="69" t="s">
        <v>2991</v>
      </c>
      <c r="D1443" s="71" t="s">
        <v>2387</v>
      </c>
      <c r="E1443" s="69" t="s">
        <v>2388</v>
      </c>
      <c r="F1443" s="69">
        <v>30</v>
      </c>
      <c r="G1443" s="69">
        <v>60</v>
      </c>
      <c r="H1443" s="69" t="s">
        <v>2399</v>
      </c>
      <c r="I1443" s="69" t="s">
        <v>2479</v>
      </c>
      <c r="J1443" s="69" t="s">
        <v>2424</v>
      </c>
      <c r="K1443" s="69"/>
    </row>
    <row r="1444" spans="1:11" x14ac:dyDescent="0.25">
      <c r="A1444" s="69" t="s">
        <v>2248</v>
      </c>
      <c r="B1444" s="70" t="s">
        <v>3216</v>
      </c>
      <c r="C1444" s="69" t="s">
        <v>2991</v>
      </c>
      <c r="D1444" s="71" t="s">
        <v>2387</v>
      </c>
      <c r="E1444" s="69" t="s">
        <v>2388</v>
      </c>
      <c r="F1444" s="69">
        <v>30</v>
      </c>
      <c r="G1444" s="69">
        <v>60</v>
      </c>
      <c r="H1444" s="69" t="s">
        <v>2399</v>
      </c>
      <c r="I1444" s="69" t="s">
        <v>2479</v>
      </c>
      <c r="J1444" s="69" t="s">
        <v>2401</v>
      </c>
      <c r="K1444" s="69"/>
    </row>
    <row r="1445" spans="1:11" x14ac:dyDescent="0.25">
      <c r="A1445" s="69" t="s">
        <v>2297</v>
      </c>
      <c r="B1445" s="70" t="s">
        <v>3216</v>
      </c>
      <c r="C1445" s="69" t="s">
        <v>2991</v>
      </c>
      <c r="D1445" s="71" t="s">
        <v>2387</v>
      </c>
      <c r="E1445" s="69" t="s">
        <v>2388</v>
      </c>
      <c r="F1445" s="69">
        <v>30</v>
      </c>
      <c r="G1445" s="69">
        <v>60</v>
      </c>
      <c r="H1445" s="69" t="s">
        <v>2399</v>
      </c>
      <c r="I1445" s="69" t="s">
        <v>2479</v>
      </c>
      <c r="J1445" s="69" t="s">
        <v>2424</v>
      </c>
      <c r="K1445" s="69"/>
    </row>
    <row r="1446" spans="1:11" x14ac:dyDescent="0.25">
      <c r="A1446" s="69" t="s">
        <v>2229</v>
      </c>
      <c r="B1446" s="70" t="s">
        <v>3216</v>
      </c>
      <c r="C1446" s="69" t="s">
        <v>2991</v>
      </c>
      <c r="D1446" s="71" t="s">
        <v>2387</v>
      </c>
      <c r="E1446" s="69" t="s">
        <v>2388</v>
      </c>
      <c r="F1446" s="69">
        <v>30</v>
      </c>
      <c r="G1446" s="69">
        <v>60</v>
      </c>
      <c r="H1446" s="69" t="s">
        <v>2399</v>
      </c>
      <c r="I1446" s="69" t="s">
        <v>2479</v>
      </c>
      <c r="J1446" s="69" t="s">
        <v>2424</v>
      </c>
      <c r="K1446" s="69"/>
    </row>
    <row r="1447" spans="1:11" x14ac:dyDescent="0.25">
      <c r="A1447" s="69" t="s">
        <v>2218</v>
      </c>
      <c r="B1447" s="70" t="s">
        <v>3216</v>
      </c>
      <c r="C1447" s="69" t="s">
        <v>2991</v>
      </c>
      <c r="D1447" s="71" t="s">
        <v>2387</v>
      </c>
      <c r="E1447" s="69" t="s">
        <v>2388</v>
      </c>
      <c r="F1447" s="69">
        <v>30</v>
      </c>
      <c r="G1447" s="69">
        <v>60</v>
      </c>
      <c r="H1447" s="69" t="s">
        <v>2399</v>
      </c>
      <c r="I1447" s="69" t="s">
        <v>2479</v>
      </c>
      <c r="J1447" s="69" t="s">
        <v>2424</v>
      </c>
      <c r="K1447" s="69"/>
    </row>
    <row r="1448" spans="1:11" x14ac:dyDescent="0.25">
      <c r="A1448" s="69" t="s">
        <v>2228</v>
      </c>
      <c r="B1448" s="70" t="s">
        <v>3216</v>
      </c>
      <c r="C1448" s="69" t="s">
        <v>2991</v>
      </c>
      <c r="D1448" s="71" t="s">
        <v>2387</v>
      </c>
      <c r="E1448" s="69" t="s">
        <v>2388</v>
      </c>
      <c r="F1448" s="69">
        <v>30</v>
      </c>
      <c r="G1448" s="69">
        <v>60</v>
      </c>
      <c r="H1448" s="69" t="s">
        <v>2399</v>
      </c>
      <c r="I1448" s="69" t="s">
        <v>2479</v>
      </c>
      <c r="J1448" s="69" t="s">
        <v>2424</v>
      </c>
      <c r="K1448" s="69"/>
    </row>
    <row r="1449" spans="1:11" x14ac:dyDescent="0.25">
      <c r="A1449" s="69" t="s">
        <v>2237</v>
      </c>
      <c r="B1449" s="70" t="s">
        <v>3216</v>
      </c>
      <c r="C1449" s="69" t="s">
        <v>2991</v>
      </c>
      <c r="D1449" s="71" t="s">
        <v>2387</v>
      </c>
      <c r="E1449" s="69" t="s">
        <v>2388</v>
      </c>
      <c r="F1449" s="69">
        <v>30</v>
      </c>
      <c r="G1449" s="69">
        <v>60</v>
      </c>
      <c r="H1449" s="69" t="s">
        <v>2399</v>
      </c>
      <c r="I1449" s="69" t="s">
        <v>2479</v>
      </c>
      <c r="J1449" s="69" t="s">
        <v>2424</v>
      </c>
      <c r="K1449" s="69"/>
    </row>
    <row r="1450" spans="1:11" x14ac:dyDescent="0.25">
      <c r="A1450" s="69" t="s">
        <v>2217</v>
      </c>
      <c r="B1450" s="70" t="s">
        <v>3216</v>
      </c>
      <c r="C1450" s="69" t="s">
        <v>2991</v>
      </c>
      <c r="D1450" s="71" t="s">
        <v>2387</v>
      </c>
      <c r="E1450" s="69" t="s">
        <v>2388</v>
      </c>
      <c r="F1450" s="69">
        <v>30</v>
      </c>
      <c r="G1450" s="69">
        <v>60</v>
      </c>
      <c r="H1450" s="69" t="s">
        <v>2399</v>
      </c>
      <c r="I1450" s="69" t="s">
        <v>2394</v>
      </c>
      <c r="J1450" s="69" t="s">
        <v>2424</v>
      </c>
      <c r="K1450" s="69"/>
    </row>
    <row r="1451" spans="1:11" x14ac:dyDescent="0.25">
      <c r="A1451" s="69" t="s">
        <v>2950</v>
      </c>
      <c r="B1451" s="70" t="s">
        <v>3216</v>
      </c>
      <c r="C1451" s="69" t="s">
        <v>2991</v>
      </c>
      <c r="D1451" s="71" t="s">
        <v>2387</v>
      </c>
      <c r="E1451" s="69" t="s">
        <v>2388</v>
      </c>
      <c r="F1451" s="69">
        <v>30</v>
      </c>
      <c r="G1451" s="69">
        <v>60</v>
      </c>
      <c r="H1451" s="69" t="s">
        <v>2399</v>
      </c>
      <c r="I1451" s="69" t="s">
        <v>2479</v>
      </c>
      <c r="J1451" s="69" t="s">
        <v>2424</v>
      </c>
      <c r="K1451" s="69"/>
    </row>
    <row r="1452" spans="1:11" x14ac:dyDescent="0.25">
      <c r="A1452" s="69" t="s">
        <v>2951</v>
      </c>
      <c r="B1452" s="70" t="s">
        <v>3216</v>
      </c>
      <c r="C1452" s="69" t="s">
        <v>2991</v>
      </c>
      <c r="D1452" s="71" t="s">
        <v>2387</v>
      </c>
      <c r="E1452" s="69" t="s">
        <v>2388</v>
      </c>
      <c r="F1452" s="69">
        <v>30</v>
      </c>
      <c r="G1452" s="69">
        <v>60</v>
      </c>
      <c r="H1452" s="69" t="s">
        <v>2399</v>
      </c>
      <c r="I1452" s="69" t="s">
        <v>2479</v>
      </c>
      <c r="J1452" s="69" t="s">
        <v>2424</v>
      </c>
      <c r="K1452" s="69"/>
    </row>
    <row r="1453" spans="1:11" x14ac:dyDescent="0.25">
      <c r="A1453" s="69" t="s">
        <v>2956</v>
      </c>
      <c r="B1453" s="70"/>
      <c r="C1453" s="69"/>
      <c r="D1453" s="71" t="s">
        <v>2961</v>
      </c>
      <c r="E1453" s="69" t="s">
        <v>2393</v>
      </c>
      <c r="F1453" s="69">
        <v>30</v>
      </c>
      <c r="G1453" s="69">
        <v>0</v>
      </c>
      <c r="H1453" s="69" t="s">
        <v>2472</v>
      </c>
      <c r="I1453" s="69" t="s">
        <v>2394</v>
      </c>
      <c r="J1453" s="69" t="s">
        <v>3169</v>
      </c>
      <c r="K1453" s="69" t="s">
        <v>3170</v>
      </c>
    </row>
    <row r="1454" spans="1:11" x14ac:dyDescent="0.25">
      <c r="A1454" s="69" t="s">
        <v>2959</v>
      </c>
      <c r="B1454" s="70"/>
      <c r="C1454" s="69"/>
      <c r="D1454" s="71" t="s">
        <v>2961</v>
      </c>
      <c r="E1454" s="69" t="s">
        <v>2393</v>
      </c>
      <c r="F1454" s="69">
        <v>30</v>
      </c>
      <c r="G1454" s="69">
        <v>0</v>
      </c>
      <c r="H1454" s="69" t="s">
        <v>2472</v>
      </c>
      <c r="I1454" s="69" t="s">
        <v>2394</v>
      </c>
      <c r="J1454" s="69" t="s">
        <v>3169</v>
      </c>
      <c r="K1454" s="69" t="s">
        <v>3170</v>
      </c>
    </row>
    <row r="1455" spans="1:11" x14ac:dyDescent="0.25">
      <c r="A1455" s="69" t="s">
        <v>2955</v>
      </c>
      <c r="B1455" s="70"/>
      <c r="C1455" s="69"/>
      <c r="D1455" s="71" t="s">
        <v>2961</v>
      </c>
      <c r="E1455" s="69" t="s">
        <v>2388</v>
      </c>
      <c r="F1455" s="69">
        <v>30</v>
      </c>
      <c r="G1455" s="69">
        <v>0</v>
      </c>
      <c r="H1455" s="69" t="s">
        <v>2472</v>
      </c>
      <c r="I1455" s="69" t="s">
        <v>2394</v>
      </c>
      <c r="J1455" s="69" t="s">
        <v>3169</v>
      </c>
      <c r="K1455" s="69" t="s">
        <v>3170</v>
      </c>
    </row>
    <row r="1456" spans="1:11" x14ac:dyDescent="0.25">
      <c r="A1456" s="69" t="s">
        <v>2957</v>
      </c>
      <c r="B1456" s="70"/>
      <c r="C1456" s="69"/>
      <c r="D1456" s="71" t="s">
        <v>2392</v>
      </c>
      <c r="E1456" s="69"/>
      <c r="F1456" s="69">
        <v>0</v>
      </c>
      <c r="G1456" s="69">
        <v>0</v>
      </c>
      <c r="H1456" s="69" t="s">
        <v>2472</v>
      </c>
      <c r="I1456" s="69" t="s">
        <v>2394</v>
      </c>
      <c r="J1456" s="69" t="s">
        <v>2401</v>
      </c>
      <c r="K1456" s="69"/>
    </row>
    <row r="1457" spans="1:11" x14ac:dyDescent="0.25">
      <c r="A1457" s="69" t="s">
        <v>2958</v>
      </c>
      <c r="B1457" s="70"/>
      <c r="C1457" s="69"/>
      <c r="D1457" s="71" t="s">
        <v>2392</v>
      </c>
      <c r="E1457" s="69"/>
      <c r="F1457" s="69">
        <v>0</v>
      </c>
      <c r="G1457" s="69">
        <v>0</v>
      </c>
      <c r="H1457" s="69" t="s">
        <v>2472</v>
      </c>
      <c r="I1457" s="69" t="s">
        <v>2394</v>
      </c>
      <c r="J1457" s="69" t="s">
        <v>2401</v>
      </c>
      <c r="K1457" s="69"/>
    </row>
    <row r="1458" spans="1:11" x14ac:dyDescent="0.25">
      <c r="A1458" s="69" t="s">
        <v>2960</v>
      </c>
      <c r="B1458" s="70"/>
      <c r="C1458" s="69"/>
      <c r="D1458" s="71" t="s">
        <v>2392</v>
      </c>
      <c r="E1458" s="69"/>
      <c r="F1458" s="69">
        <v>0</v>
      </c>
      <c r="G1458" s="69">
        <v>0</v>
      </c>
      <c r="H1458" s="69" t="s">
        <v>2472</v>
      </c>
      <c r="I1458" s="69" t="s">
        <v>2394</v>
      </c>
      <c r="J1458" s="69" t="s">
        <v>2401</v>
      </c>
      <c r="K1458" s="69"/>
    </row>
    <row r="1459" spans="1:11" x14ac:dyDescent="0.25">
      <c r="A1459" s="69" t="s">
        <v>2957</v>
      </c>
      <c r="B1459" s="70"/>
      <c r="C1459" s="69"/>
      <c r="D1459" s="71" t="s">
        <v>2392</v>
      </c>
      <c r="E1459" s="69"/>
      <c r="F1459" s="69">
        <v>0</v>
      </c>
      <c r="G1459" s="69">
        <v>0</v>
      </c>
      <c r="H1459" s="69" t="s">
        <v>2472</v>
      </c>
      <c r="I1459" s="69" t="s">
        <v>2394</v>
      </c>
      <c r="J1459" s="69" t="s">
        <v>3171</v>
      </c>
      <c r="K1459" s="69" t="s">
        <v>3172</v>
      </c>
    </row>
    <row r="1460" spans="1:11" x14ac:dyDescent="0.25">
      <c r="A1460" s="69" t="s">
        <v>2958</v>
      </c>
      <c r="B1460" s="70"/>
      <c r="C1460" s="69"/>
      <c r="D1460" s="71" t="s">
        <v>2392</v>
      </c>
      <c r="E1460" s="69"/>
      <c r="F1460" s="69">
        <v>0</v>
      </c>
      <c r="G1460" s="69">
        <v>0</v>
      </c>
      <c r="H1460" s="69" t="s">
        <v>2472</v>
      </c>
      <c r="I1460" s="69" t="s">
        <v>2394</v>
      </c>
      <c r="J1460" s="69" t="s">
        <v>3171</v>
      </c>
      <c r="K1460" s="69" t="s">
        <v>3172</v>
      </c>
    </row>
    <row r="1461" spans="1:11" x14ac:dyDescent="0.25">
      <c r="A1461" s="69" t="s">
        <v>2960</v>
      </c>
      <c r="B1461" s="70"/>
      <c r="C1461" s="69"/>
      <c r="D1461" s="71" t="s">
        <v>2392</v>
      </c>
      <c r="E1461" s="69"/>
      <c r="F1461" s="69">
        <v>0</v>
      </c>
      <c r="G1461" s="69">
        <v>0</v>
      </c>
      <c r="H1461" s="69" t="s">
        <v>2472</v>
      </c>
      <c r="I1461" s="69" t="s">
        <v>2394</v>
      </c>
      <c r="J1461" s="69" t="s">
        <v>3171</v>
      </c>
      <c r="K1461" s="69" t="s">
        <v>3172</v>
      </c>
    </row>
    <row r="1462" spans="1:11" x14ac:dyDescent="0.25">
      <c r="A1462" s="69" t="s">
        <v>3173</v>
      </c>
      <c r="B1462" s="70">
        <v>44010235</v>
      </c>
      <c r="C1462" s="69" t="s">
        <v>3174</v>
      </c>
      <c r="D1462" s="71" t="s">
        <v>2392</v>
      </c>
      <c r="E1462" s="69" t="s">
        <v>2393</v>
      </c>
      <c r="F1462" s="69">
        <v>0</v>
      </c>
      <c r="G1462" s="69">
        <v>0</v>
      </c>
      <c r="H1462" s="69" t="s">
        <v>2472</v>
      </c>
      <c r="I1462" s="69" t="s">
        <v>2394</v>
      </c>
      <c r="J1462" s="69" t="s">
        <v>3175</v>
      </c>
      <c r="K1462" s="69" t="s">
        <v>3176</v>
      </c>
    </row>
    <row r="1463" spans="1:11" x14ac:dyDescent="0.25">
      <c r="A1463" s="69" t="s">
        <v>3177</v>
      </c>
      <c r="B1463" s="70">
        <v>8922</v>
      </c>
      <c r="C1463" s="69" t="s">
        <v>2475</v>
      </c>
      <c r="D1463" s="71" t="s">
        <v>2387</v>
      </c>
      <c r="E1463" s="69" t="s">
        <v>2476</v>
      </c>
      <c r="F1463" s="69">
        <v>60</v>
      </c>
      <c r="G1463" s="69">
        <v>180</v>
      </c>
      <c r="H1463" s="69" t="s">
        <v>2399</v>
      </c>
      <c r="I1463" s="69" t="s">
        <v>2456</v>
      </c>
      <c r="J1463" s="69" t="s">
        <v>2401</v>
      </c>
      <c r="K1463" s="69"/>
    </row>
    <row r="1464" spans="1:11" x14ac:dyDescent="0.25">
      <c r="A1464" s="75" t="s">
        <v>3178</v>
      </c>
      <c r="B1464" s="70">
        <v>8922</v>
      </c>
      <c r="C1464" s="69" t="s">
        <v>2475</v>
      </c>
      <c r="D1464" s="71" t="s">
        <v>2387</v>
      </c>
      <c r="E1464" s="69" t="s">
        <v>2476</v>
      </c>
      <c r="F1464" s="69">
        <v>60</v>
      </c>
      <c r="G1464" s="69">
        <v>180</v>
      </c>
      <c r="H1464" s="69" t="s">
        <v>2399</v>
      </c>
      <c r="I1464" s="69" t="s">
        <v>2456</v>
      </c>
      <c r="J1464" s="69" t="s">
        <v>2401</v>
      </c>
      <c r="K1464" s="69"/>
    </row>
    <row r="1465" spans="1:11" x14ac:dyDescent="0.25">
      <c r="A1465" s="75" t="s">
        <v>3179</v>
      </c>
      <c r="B1465" s="70">
        <v>8922</v>
      </c>
      <c r="C1465" s="69" t="s">
        <v>2475</v>
      </c>
      <c r="D1465" s="71" t="s">
        <v>2387</v>
      </c>
      <c r="E1465" s="69" t="s">
        <v>2476</v>
      </c>
      <c r="F1465" s="69">
        <v>60</v>
      </c>
      <c r="G1465" s="69">
        <v>180</v>
      </c>
      <c r="H1465" s="69" t="s">
        <v>2399</v>
      </c>
      <c r="I1465" s="69" t="s">
        <v>2456</v>
      </c>
      <c r="J1465" s="69" t="s">
        <v>2401</v>
      </c>
      <c r="K1465" s="69"/>
    </row>
    <row r="1466" spans="1:11" x14ac:dyDescent="0.25">
      <c r="A1466" s="81" t="s">
        <v>3180</v>
      </c>
      <c r="B1466" s="70">
        <v>44001733</v>
      </c>
      <c r="C1466" s="69" t="s">
        <v>41</v>
      </c>
      <c r="D1466" s="71" t="s">
        <v>2961</v>
      </c>
      <c r="E1466" s="69" t="s">
        <v>2388</v>
      </c>
      <c r="F1466" s="69">
        <v>30</v>
      </c>
      <c r="G1466" s="69">
        <v>45</v>
      </c>
      <c r="H1466" s="69" t="s">
        <v>2391</v>
      </c>
      <c r="I1466" s="69" t="s">
        <v>2429</v>
      </c>
      <c r="J1466" s="69" t="s">
        <v>2435</v>
      </c>
      <c r="K1466" s="69"/>
    </row>
    <row r="1467" spans="1:11" x14ac:dyDescent="0.25">
      <c r="A1467" s="81" t="s">
        <v>3181</v>
      </c>
      <c r="B1467" s="70">
        <v>44001733</v>
      </c>
      <c r="C1467" s="69" t="s">
        <v>41</v>
      </c>
      <c r="D1467" s="71" t="s">
        <v>2961</v>
      </c>
      <c r="E1467" s="69" t="s">
        <v>2388</v>
      </c>
      <c r="F1467" s="69">
        <v>30</v>
      </c>
      <c r="G1467" s="69">
        <v>45</v>
      </c>
      <c r="H1467" s="69" t="s">
        <v>2391</v>
      </c>
      <c r="I1467" s="69" t="s">
        <v>2429</v>
      </c>
      <c r="J1467" s="69" t="s">
        <v>2435</v>
      </c>
      <c r="K1467" s="69"/>
    </row>
    <row r="1468" spans="1:11" x14ac:dyDescent="0.25">
      <c r="A1468" s="75" t="s">
        <v>3182</v>
      </c>
      <c r="B1468" s="70" t="s">
        <v>3153</v>
      </c>
      <c r="C1468" s="69" t="s">
        <v>1847</v>
      </c>
      <c r="D1468" s="71" t="s">
        <v>2387</v>
      </c>
      <c r="E1468" s="69" t="s">
        <v>2388</v>
      </c>
      <c r="F1468" s="69">
        <v>30</v>
      </c>
      <c r="G1468" s="69">
        <v>90</v>
      </c>
      <c r="H1468" s="69" t="s">
        <v>2391</v>
      </c>
      <c r="I1468" s="69" t="s">
        <v>2420</v>
      </c>
      <c r="J1468" s="69" t="s">
        <v>2408</v>
      </c>
      <c r="K1468" s="69" t="s">
        <v>2408</v>
      </c>
    </row>
    <row r="1469" spans="1:11" x14ac:dyDescent="0.25">
      <c r="A1469" s="69" t="s">
        <v>2018</v>
      </c>
      <c r="B1469" s="70" t="s">
        <v>3127</v>
      </c>
      <c r="C1469" s="69" t="s">
        <v>3128</v>
      </c>
      <c r="D1469" s="71" t="s">
        <v>2961</v>
      </c>
      <c r="E1469" s="69" t="s">
        <v>2388</v>
      </c>
      <c r="F1469" s="69">
        <v>30</v>
      </c>
      <c r="G1469" s="69">
        <v>45</v>
      </c>
      <c r="H1469" s="69" t="s">
        <v>2391</v>
      </c>
      <c r="I1469" s="69" t="s">
        <v>2431</v>
      </c>
      <c r="J1469" s="69" t="s">
        <v>2398</v>
      </c>
      <c r="K1469" s="69"/>
    </row>
    <row r="1470" spans="1:11" x14ac:dyDescent="0.25">
      <c r="A1470" s="69" t="s">
        <v>1655</v>
      </c>
      <c r="B1470" s="70">
        <v>44007486</v>
      </c>
      <c r="C1470" s="69" t="s">
        <v>1653</v>
      </c>
      <c r="D1470" s="71" t="s">
        <v>2961</v>
      </c>
      <c r="E1470" s="69" t="s">
        <v>2388</v>
      </c>
      <c r="F1470" s="69">
        <v>30</v>
      </c>
      <c r="G1470" s="69">
        <v>90</v>
      </c>
      <c r="H1470" s="69" t="s">
        <v>2449</v>
      </c>
      <c r="I1470" s="69" t="s">
        <v>2420</v>
      </c>
      <c r="J1470" s="69" t="s">
        <v>2424</v>
      </c>
      <c r="K1470" s="69"/>
    </row>
    <row r="1471" spans="1:11" x14ac:dyDescent="0.25">
      <c r="A1471" s="69" t="s">
        <v>382</v>
      </c>
      <c r="B1471" s="70">
        <v>40004588</v>
      </c>
      <c r="C1471" s="69" t="s">
        <v>2396</v>
      </c>
      <c r="D1471" s="71" t="s">
        <v>2392</v>
      </c>
      <c r="E1471" s="69" t="s">
        <v>2393</v>
      </c>
      <c r="F1471" s="69">
        <v>30</v>
      </c>
      <c r="G1471" s="69">
        <v>900</v>
      </c>
      <c r="H1471" s="69" t="s">
        <v>2399</v>
      </c>
      <c r="I1471" s="69" t="s">
        <v>2397</v>
      </c>
      <c r="J1471" s="69" t="s">
        <v>2398</v>
      </c>
      <c r="K1471" s="69"/>
    </row>
    <row r="1472" spans="1:11" x14ac:dyDescent="0.25">
      <c r="A1472" s="69" t="s">
        <v>1007</v>
      </c>
      <c r="B1472" s="70">
        <v>44004662</v>
      </c>
      <c r="C1472" s="69" t="s">
        <v>2540</v>
      </c>
      <c r="D1472" s="71" t="s">
        <v>2392</v>
      </c>
      <c r="E1472" s="69" t="s">
        <v>2393</v>
      </c>
      <c r="F1472" s="69">
        <v>30</v>
      </c>
      <c r="G1472" s="69">
        <v>180</v>
      </c>
      <c r="H1472" s="69" t="s">
        <v>2399</v>
      </c>
      <c r="I1472" s="69" t="s">
        <v>2447</v>
      </c>
      <c r="J1472" s="69" t="s">
        <v>2408</v>
      </c>
      <c r="K1472" s="69" t="s">
        <v>3102</v>
      </c>
    </row>
    <row r="1473" spans="1:11" x14ac:dyDescent="0.25">
      <c r="A1473" s="69" t="s">
        <v>738</v>
      </c>
      <c r="B1473" s="70">
        <v>8922</v>
      </c>
      <c r="C1473" s="69" t="s">
        <v>2475</v>
      </c>
      <c r="D1473" s="71" t="s">
        <v>2387</v>
      </c>
      <c r="E1473" s="69" t="s">
        <v>2476</v>
      </c>
      <c r="F1473" s="69">
        <v>60</v>
      </c>
      <c r="G1473" s="69">
        <v>180</v>
      </c>
      <c r="H1473" s="69" t="s">
        <v>2399</v>
      </c>
      <c r="I1473" s="69" t="s">
        <v>2456</v>
      </c>
      <c r="J1473" s="69" t="s">
        <v>2424</v>
      </c>
      <c r="K1473" s="69" t="s">
        <v>3025</v>
      </c>
    </row>
    <row r="1474" spans="1:11" x14ac:dyDescent="0.25">
      <c r="A1474" s="69" t="s">
        <v>1368</v>
      </c>
      <c r="B1474" s="70">
        <v>44001772</v>
      </c>
      <c r="C1474" s="69" t="s">
        <v>1019</v>
      </c>
      <c r="D1474" s="71" t="s">
        <v>2387</v>
      </c>
      <c r="E1474" s="69" t="s">
        <v>2388</v>
      </c>
      <c r="F1474" s="69">
        <v>30</v>
      </c>
      <c r="G1474" s="69">
        <v>90</v>
      </c>
      <c r="H1474" s="69" t="s">
        <v>2399</v>
      </c>
      <c r="I1474" s="69" t="s">
        <v>2400</v>
      </c>
      <c r="J1474" s="69" t="s">
        <v>2398</v>
      </c>
      <c r="K1474" s="69"/>
    </row>
    <row r="1475" spans="1:11" x14ac:dyDescent="0.25">
      <c r="A1475" s="69" t="s">
        <v>1994</v>
      </c>
      <c r="B1475" s="70">
        <v>44001839</v>
      </c>
      <c r="C1475" s="69" t="s">
        <v>2440</v>
      </c>
      <c r="D1475" s="71" t="s">
        <v>2961</v>
      </c>
      <c r="E1475" s="69" t="s">
        <v>2388</v>
      </c>
      <c r="F1475" s="69">
        <v>30</v>
      </c>
      <c r="G1475" s="69">
        <v>30</v>
      </c>
      <c r="H1475" s="69" t="s">
        <v>2391</v>
      </c>
      <c r="I1475" s="69" t="s">
        <v>2441</v>
      </c>
      <c r="J1475" s="69" t="s">
        <v>2390</v>
      </c>
      <c r="K1475" s="69"/>
    </row>
    <row r="1476" spans="1:11" x14ac:dyDescent="0.25">
      <c r="A1476" s="73" t="s">
        <v>1294</v>
      </c>
      <c r="B1476" s="70">
        <v>44003166</v>
      </c>
      <c r="C1476" s="69" t="s">
        <v>2455</v>
      </c>
      <c r="D1476" s="71" t="s">
        <v>2392</v>
      </c>
      <c r="E1476" s="69" t="s">
        <v>2388</v>
      </c>
      <c r="F1476" s="69">
        <v>30</v>
      </c>
      <c r="G1476" s="69">
        <v>900</v>
      </c>
      <c r="H1476" s="69" t="s">
        <v>2399</v>
      </c>
      <c r="I1476" s="69" t="s">
        <v>2403</v>
      </c>
      <c r="J1476" s="69" t="s">
        <v>2398</v>
      </c>
      <c r="K1476" s="69"/>
    </row>
    <row r="1477" spans="1:11" x14ac:dyDescent="0.25">
      <c r="A1477" s="69" t="s">
        <v>1123</v>
      </c>
      <c r="B1477" s="70">
        <v>40004587</v>
      </c>
      <c r="C1477" s="69" t="s">
        <v>963</v>
      </c>
      <c r="D1477" s="71" t="s">
        <v>2392</v>
      </c>
      <c r="E1477" s="69" t="s">
        <v>2393</v>
      </c>
      <c r="F1477" s="69">
        <v>30</v>
      </c>
      <c r="G1477" s="69">
        <v>900</v>
      </c>
      <c r="H1477" s="69" t="s">
        <v>2399</v>
      </c>
      <c r="I1477" s="69" t="s">
        <v>2397</v>
      </c>
      <c r="J1477" s="69" t="s">
        <v>2398</v>
      </c>
      <c r="K1477" s="69" t="s">
        <v>3137</v>
      </c>
    </row>
    <row r="1478" spans="1:11" x14ac:dyDescent="0.25">
      <c r="A1478" s="69" t="s">
        <v>2037</v>
      </c>
      <c r="B1478" s="70">
        <v>44003108</v>
      </c>
      <c r="C1478" s="69" t="s">
        <v>86</v>
      </c>
      <c r="D1478" s="71" t="s">
        <v>2961</v>
      </c>
      <c r="E1478" s="69" t="s">
        <v>2388</v>
      </c>
      <c r="F1478" s="69">
        <v>30</v>
      </c>
      <c r="G1478" s="69">
        <v>45</v>
      </c>
      <c r="H1478" s="69" t="s">
        <v>2472</v>
      </c>
      <c r="I1478" s="69" t="s">
        <v>2423</v>
      </c>
      <c r="J1478" s="69" t="s">
        <v>2390</v>
      </c>
      <c r="K1478" s="69"/>
    </row>
    <row r="1479" spans="1:11" x14ac:dyDescent="0.25">
      <c r="A1479" s="69" t="s">
        <v>2208</v>
      </c>
      <c r="B1479" s="70">
        <v>44000038</v>
      </c>
      <c r="C1479" s="69" t="s">
        <v>749</v>
      </c>
      <c r="D1479" s="71" t="s">
        <v>2387</v>
      </c>
      <c r="E1479" s="69" t="s">
        <v>2476</v>
      </c>
      <c r="F1479" s="69">
        <v>60</v>
      </c>
      <c r="G1479" s="69">
        <v>180</v>
      </c>
      <c r="H1479" s="69" t="s">
        <v>2399</v>
      </c>
      <c r="I1479" s="69" t="s">
        <v>2456</v>
      </c>
      <c r="J1479" s="69" t="s">
        <v>2424</v>
      </c>
      <c r="K1479" s="69" t="s">
        <v>3025</v>
      </c>
    </row>
    <row r="1480" spans="1:11" x14ac:dyDescent="0.25">
      <c r="A1480" s="69" t="s">
        <v>384</v>
      </c>
      <c r="B1480" s="70">
        <v>44000122</v>
      </c>
      <c r="C1480" s="69" t="s">
        <v>903</v>
      </c>
      <c r="D1480" s="71" t="s">
        <v>2392</v>
      </c>
      <c r="E1480" s="69" t="s">
        <v>2393</v>
      </c>
      <c r="F1480" s="69">
        <v>30</v>
      </c>
      <c r="G1480" s="69">
        <v>900</v>
      </c>
      <c r="H1480" s="69" t="s">
        <v>2399</v>
      </c>
      <c r="I1480" s="69" t="s">
        <v>2397</v>
      </c>
      <c r="J1480" s="69" t="s">
        <v>2398</v>
      </c>
      <c r="K1480" s="69"/>
    </row>
    <row r="1481" spans="1:11" x14ac:dyDescent="0.25">
      <c r="A1481" s="69" t="s">
        <v>382</v>
      </c>
      <c r="B1481" s="70">
        <v>44000122</v>
      </c>
      <c r="C1481" s="69" t="s">
        <v>903</v>
      </c>
      <c r="D1481" s="71" t="s">
        <v>2392</v>
      </c>
      <c r="E1481" s="69" t="s">
        <v>2393</v>
      </c>
      <c r="F1481" s="69">
        <v>30</v>
      </c>
      <c r="G1481" s="69">
        <v>900</v>
      </c>
      <c r="H1481" s="69" t="s">
        <v>2399</v>
      </c>
      <c r="I1481" s="69" t="s">
        <v>2397</v>
      </c>
      <c r="J1481" s="69" t="s">
        <v>2398</v>
      </c>
      <c r="K1481" s="69"/>
    </row>
    <row r="1482" spans="1:11" x14ac:dyDescent="0.25">
      <c r="A1482" s="69" t="s">
        <v>1874</v>
      </c>
      <c r="B1482" s="70">
        <v>44001839</v>
      </c>
      <c r="C1482" s="69" t="s">
        <v>2440</v>
      </c>
      <c r="D1482" s="71" t="s">
        <v>2961</v>
      </c>
      <c r="E1482" s="69" t="s">
        <v>2388</v>
      </c>
      <c r="F1482" s="69">
        <v>30</v>
      </c>
      <c r="G1482" s="69">
        <v>30</v>
      </c>
      <c r="H1482" s="69" t="s">
        <v>2391</v>
      </c>
      <c r="I1482" s="69" t="s">
        <v>2441</v>
      </c>
      <c r="J1482" s="69" t="s">
        <v>2390</v>
      </c>
      <c r="K1482" s="69"/>
    </row>
    <row r="1483" spans="1:11" x14ac:dyDescent="0.25">
      <c r="A1483" s="69" t="s">
        <v>1187</v>
      </c>
      <c r="B1483" s="70">
        <v>40004587</v>
      </c>
      <c r="C1483" s="69" t="s">
        <v>963</v>
      </c>
      <c r="D1483" s="71" t="s">
        <v>2392</v>
      </c>
      <c r="E1483" s="69" t="s">
        <v>2393</v>
      </c>
      <c r="F1483" s="69">
        <v>30</v>
      </c>
      <c r="G1483" s="69">
        <v>900</v>
      </c>
      <c r="H1483" s="69" t="s">
        <v>2399</v>
      </c>
      <c r="I1483" s="69" t="s">
        <v>2397</v>
      </c>
      <c r="J1483" s="69" t="s">
        <v>2398</v>
      </c>
      <c r="K1483" s="69"/>
    </row>
    <row r="1484" spans="1:11" x14ac:dyDescent="0.25">
      <c r="A1484" s="69" t="s">
        <v>741</v>
      </c>
      <c r="B1484" s="70">
        <v>8922</v>
      </c>
      <c r="C1484" s="69" t="s">
        <v>2475</v>
      </c>
      <c r="D1484" s="71" t="s">
        <v>2387</v>
      </c>
      <c r="E1484" s="69" t="s">
        <v>2476</v>
      </c>
      <c r="F1484" s="69">
        <v>60</v>
      </c>
      <c r="G1484" s="69">
        <v>180</v>
      </c>
      <c r="H1484" s="69" t="s">
        <v>2399</v>
      </c>
      <c r="I1484" s="69" t="s">
        <v>2456</v>
      </c>
      <c r="J1484" s="69" t="s">
        <v>2424</v>
      </c>
      <c r="K1484" s="69" t="s">
        <v>3025</v>
      </c>
    </row>
    <row r="1485" spans="1:11" x14ac:dyDescent="0.25">
      <c r="A1485" s="69" t="s">
        <v>2010</v>
      </c>
      <c r="B1485" s="70">
        <v>44001839</v>
      </c>
      <c r="C1485" s="69" t="s">
        <v>2440</v>
      </c>
      <c r="D1485" s="71" t="s">
        <v>2961</v>
      </c>
      <c r="E1485" s="69" t="s">
        <v>2388</v>
      </c>
      <c r="F1485" s="69">
        <v>30</v>
      </c>
      <c r="G1485" s="69">
        <v>30</v>
      </c>
      <c r="H1485" s="69" t="s">
        <v>2391</v>
      </c>
      <c r="I1485" s="69" t="s">
        <v>2442</v>
      </c>
      <c r="J1485" s="69" t="s">
        <v>2390</v>
      </c>
      <c r="K1485" s="69"/>
    </row>
    <row r="1486" spans="1:11" x14ac:dyDescent="0.25">
      <c r="A1486" s="69" t="s">
        <v>904</v>
      </c>
      <c r="B1486" s="70">
        <v>40004587</v>
      </c>
      <c r="C1486" s="69" t="s">
        <v>963</v>
      </c>
      <c r="D1486" s="71" t="s">
        <v>2392</v>
      </c>
      <c r="E1486" s="69" t="s">
        <v>2393</v>
      </c>
      <c r="F1486" s="69"/>
      <c r="G1486" s="69"/>
      <c r="H1486" s="69" t="s">
        <v>2399</v>
      </c>
      <c r="I1486" s="69" t="s">
        <v>2394</v>
      </c>
      <c r="J1486" s="69"/>
      <c r="K1486" s="69" t="s">
        <v>3082</v>
      </c>
    </row>
    <row r="1487" spans="1:11" x14ac:dyDescent="0.25">
      <c r="A1487" s="69" t="s">
        <v>893</v>
      </c>
      <c r="B1487" s="70">
        <v>40004587</v>
      </c>
      <c r="C1487" s="69" t="s">
        <v>963</v>
      </c>
      <c r="D1487" s="71" t="s">
        <v>2392</v>
      </c>
      <c r="E1487" s="69" t="s">
        <v>2393</v>
      </c>
      <c r="F1487" s="69"/>
      <c r="G1487" s="69"/>
      <c r="H1487" s="69" t="s">
        <v>2399</v>
      </c>
      <c r="I1487" s="69" t="s">
        <v>2394</v>
      </c>
      <c r="J1487" s="69"/>
      <c r="K1487" s="69" t="s">
        <v>3082</v>
      </c>
    </row>
    <row r="1488" spans="1:11" x14ac:dyDescent="0.25">
      <c r="A1488" s="69" t="s">
        <v>847</v>
      </c>
      <c r="B1488" s="70">
        <v>44000038</v>
      </c>
      <c r="C1488" s="69" t="s">
        <v>749</v>
      </c>
      <c r="D1488" s="71" t="s">
        <v>2387</v>
      </c>
      <c r="E1488" s="69" t="s">
        <v>2476</v>
      </c>
      <c r="F1488" s="69">
        <v>60</v>
      </c>
      <c r="G1488" s="69">
        <v>180</v>
      </c>
      <c r="H1488" s="69" t="s">
        <v>2399</v>
      </c>
      <c r="I1488" s="69" t="s">
        <v>2456</v>
      </c>
      <c r="J1488" s="69" t="s">
        <v>2424</v>
      </c>
      <c r="K1488" s="69" t="s">
        <v>3025</v>
      </c>
    </row>
    <row r="1489" spans="1:11" x14ac:dyDescent="0.25">
      <c r="A1489" s="69" t="s">
        <v>2100</v>
      </c>
      <c r="B1489" s="70">
        <v>44000038</v>
      </c>
      <c r="C1489" s="69" t="s">
        <v>749</v>
      </c>
      <c r="D1489" s="71" t="s">
        <v>2387</v>
      </c>
      <c r="E1489" s="69" t="s">
        <v>2476</v>
      </c>
      <c r="F1489" s="69">
        <v>60</v>
      </c>
      <c r="G1489" s="69">
        <v>180</v>
      </c>
      <c r="H1489" s="69" t="s">
        <v>2399</v>
      </c>
      <c r="I1489" s="69" t="s">
        <v>2456</v>
      </c>
      <c r="J1489" s="69" t="s">
        <v>2401</v>
      </c>
      <c r="K1489" s="69" t="s">
        <v>3025</v>
      </c>
    </row>
    <row r="1490" spans="1:11" x14ac:dyDescent="0.25">
      <c r="A1490" s="69" t="s">
        <v>2146</v>
      </c>
      <c r="B1490" s="70">
        <v>44000038</v>
      </c>
      <c r="C1490" s="69" t="s">
        <v>749</v>
      </c>
      <c r="D1490" s="71" t="s">
        <v>2387</v>
      </c>
      <c r="E1490" s="69" t="s">
        <v>2476</v>
      </c>
      <c r="F1490" s="69">
        <v>60</v>
      </c>
      <c r="G1490" s="69">
        <v>180</v>
      </c>
      <c r="H1490" s="69" t="s">
        <v>2399</v>
      </c>
      <c r="I1490" s="69" t="s">
        <v>2456</v>
      </c>
      <c r="J1490" s="69" t="s">
        <v>2401</v>
      </c>
      <c r="K1490" s="69" t="s">
        <v>3025</v>
      </c>
    </row>
    <row r="1491" spans="1:11" x14ac:dyDescent="0.25">
      <c r="A1491" s="69" t="s">
        <v>2102</v>
      </c>
      <c r="B1491" s="70">
        <v>44000038</v>
      </c>
      <c r="C1491" s="69" t="s">
        <v>749</v>
      </c>
      <c r="D1491" s="71" t="s">
        <v>2387</v>
      </c>
      <c r="E1491" s="69" t="s">
        <v>2476</v>
      </c>
      <c r="F1491" s="69">
        <v>60</v>
      </c>
      <c r="G1491" s="69">
        <v>180</v>
      </c>
      <c r="H1491" s="69" t="s">
        <v>2399</v>
      </c>
      <c r="I1491" s="69" t="s">
        <v>2456</v>
      </c>
      <c r="J1491" s="69" t="s">
        <v>2401</v>
      </c>
      <c r="K1491" s="69" t="s">
        <v>3025</v>
      </c>
    </row>
    <row r="1492" spans="1:11" x14ac:dyDescent="0.25">
      <c r="A1492" s="69" t="s">
        <v>1181</v>
      </c>
      <c r="B1492" s="70">
        <v>40004587</v>
      </c>
      <c r="C1492" s="69" t="s">
        <v>963</v>
      </c>
      <c r="D1492" s="71" t="s">
        <v>2392</v>
      </c>
      <c r="E1492" s="69" t="s">
        <v>2393</v>
      </c>
      <c r="F1492" s="69">
        <v>30</v>
      </c>
      <c r="G1492" s="69">
        <v>900</v>
      </c>
      <c r="H1492" s="69" t="s">
        <v>2399</v>
      </c>
      <c r="I1492" s="69" t="s">
        <v>2397</v>
      </c>
      <c r="J1492" s="69" t="s">
        <v>2398</v>
      </c>
      <c r="K1492" s="69"/>
    </row>
    <row r="1493" spans="1:11" x14ac:dyDescent="0.25">
      <c r="A1493" s="69" t="s">
        <v>1288</v>
      </c>
      <c r="B1493" s="70">
        <v>44003166</v>
      </c>
      <c r="C1493" s="69" t="s">
        <v>2455</v>
      </c>
      <c r="D1493" s="71" t="s">
        <v>2392</v>
      </c>
      <c r="E1493" s="69" t="s">
        <v>2388</v>
      </c>
      <c r="F1493" s="69">
        <v>30</v>
      </c>
      <c r="G1493" s="69">
        <v>900</v>
      </c>
      <c r="H1493" s="69" t="s">
        <v>2399</v>
      </c>
      <c r="I1493" s="69" t="s">
        <v>2403</v>
      </c>
      <c r="J1493" s="69" t="s">
        <v>2398</v>
      </c>
      <c r="K1493" s="69" t="s">
        <v>3006</v>
      </c>
    </row>
    <row r="1494" spans="1:11" x14ac:dyDescent="0.25">
      <c r="A1494" s="69" t="s">
        <v>841</v>
      </c>
      <c r="B1494" s="70">
        <v>44000038</v>
      </c>
      <c r="C1494" s="69" t="s">
        <v>749</v>
      </c>
      <c r="D1494" s="71" t="s">
        <v>2387</v>
      </c>
      <c r="E1494" s="69" t="s">
        <v>2476</v>
      </c>
      <c r="F1494" s="69">
        <v>60</v>
      </c>
      <c r="G1494" s="69">
        <v>180</v>
      </c>
      <c r="H1494" s="69" t="s">
        <v>2399</v>
      </c>
      <c r="I1494" s="69" t="s">
        <v>2456</v>
      </c>
      <c r="J1494" s="69" t="s">
        <v>2424</v>
      </c>
      <c r="K1494" s="69" t="s">
        <v>3025</v>
      </c>
    </row>
    <row r="1495" spans="1:11" x14ac:dyDescent="0.25">
      <c r="A1495" s="69" t="s">
        <v>1848</v>
      </c>
      <c r="B1495" s="70">
        <v>44001805</v>
      </c>
      <c r="C1495" s="69" t="s">
        <v>1839</v>
      </c>
      <c r="D1495" s="71" t="s">
        <v>2392</v>
      </c>
      <c r="E1495" s="69" t="s">
        <v>2388</v>
      </c>
      <c r="F1495" s="69">
        <v>30</v>
      </c>
      <c r="G1495" s="69">
        <v>30</v>
      </c>
      <c r="H1495" s="69" t="s">
        <v>2399</v>
      </c>
      <c r="I1495" s="69" t="s">
        <v>2463</v>
      </c>
      <c r="J1495" s="69" t="s">
        <v>3213</v>
      </c>
      <c r="K1495" s="69" t="s">
        <v>3013</v>
      </c>
    </row>
    <row r="1496" spans="1:11" x14ac:dyDescent="0.25">
      <c r="A1496" s="69" t="s">
        <v>961</v>
      </c>
      <c r="B1496" s="70">
        <v>40004588</v>
      </c>
      <c r="C1496" s="69" t="s">
        <v>2396</v>
      </c>
      <c r="D1496" s="71" t="s">
        <v>2392</v>
      </c>
      <c r="E1496" s="69" t="s">
        <v>2393</v>
      </c>
      <c r="F1496" s="69">
        <v>30</v>
      </c>
      <c r="G1496" s="69">
        <v>900</v>
      </c>
      <c r="H1496" s="69" t="s">
        <v>2399</v>
      </c>
      <c r="I1496" s="69" t="s">
        <v>2397</v>
      </c>
      <c r="J1496" s="69" t="s">
        <v>2398</v>
      </c>
      <c r="K1496" s="69"/>
    </row>
    <row r="1497" spans="1:11" x14ac:dyDescent="0.25">
      <c r="A1497" s="69" t="s">
        <v>961</v>
      </c>
      <c r="B1497" s="70">
        <v>44000122</v>
      </c>
      <c r="C1497" s="69" t="s">
        <v>903</v>
      </c>
      <c r="D1497" s="71" t="s">
        <v>2392</v>
      </c>
      <c r="E1497" s="69" t="s">
        <v>2393</v>
      </c>
      <c r="F1497" s="69">
        <v>30</v>
      </c>
      <c r="G1497" s="69">
        <v>900</v>
      </c>
      <c r="H1497" s="69" t="s">
        <v>2399</v>
      </c>
      <c r="I1497" s="69" t="s">
        <v>2397</v>
      </c>
      <c r="J1497" s="69" t="s">
        <v>2398</v>
      </c>
      <c r="K1497" s="69"/>
    </row>
    <row r="1498" spans="1:11" x14ac:dyDescent="0.25">
      <c r="A1498" s="69" t="s">
        <v>844</v>
      </c>
      <c r="B1498" s="70">
        <v>44000038</v>
      </c>
      <c r="C1498" s="69" t="s">
        <v>749</v>
      </c>
      <c r="D1498" s="71" t="s">
        <v>2387</v>
      </c>
      <c r="E1498" s="69" t="s">
        <v>2476</v>
      </c>
      <c r="F1498" s="69">
        <v>60</v>
      </c>
      <c r="G1498" s="69">
        <v>180</v>
      </c>
      <c r="H1498" s="69" t="s">
        <v>2399</v>
      </c>
      <c r="I1498" s="69" t="s">
        <v>2456</v>
      </c>
      <c r="J1498" s="69" t="s">
        <v>2424</v>
      </c>
      <c r="K1498" s="69" t="s">
        <v>3025</v>
      </c>
    </row>
    <row r="1499" spans="1:11" x14ac:dyDescent="0.25">
      <c r="A1499" s="69" t="s">
        <v>2169</v>
      </c>
      <c r="B1499" s="70">
        <v>44000038</v>
      </c>
      <c r="C1499" s="69" t="s">
        <v>749</v>
      </c>
      <c r="D1499" s="71" t="s">
        <v>2387</v>
      </c>
      <c r="E1499" s="69" t="s">
        <v>2476</v>
      </c>
      <c r="F1499" s="69">
        <v>60</v>
      </c>
      <c r="G1499" s="69">
        <v>180</v>
      </c>
      <c r="H1499" s="69" t="s">
        <v>2399</v>
      </c>
      <c r="I1499" s="69" t="s">
        <v>2456</v>
      </c>
      <c r="J1499" s="69" t="s">
        <v>2394</v>
      </c>
      <c r="K1499" s="69" t="s">
        <v>3025</v>
      </c>
    </row>
    <row r="1500" spans="1:11" x14ac:dyDescent="0.25">
      <c r="A1500" s="69" t="s">
        <v>334</v>
      </c>
      <c r="B1500" s="70">
        <v>44006051</v>
      </c>
      <c r="C1500" s="69" t="s">
        <v>2548</v>
      </c>
      <c r="D1500" s="71" t="s">
        <v>2392</v>
      </c>
      <c r="E1500" s="69" t="s">
        <v>2388</v>
      </c>
      <c r="F1500" s="69">
        <v>30</v>
      </c>
      <c r="G1500" s="69">
        <v>0</v>
      </c>
      <c r="H1500" s="69" t="s">
        <v>2395</v>
      </c>
      <c r="I1500" s="69" t="s">
        <v>2463</v>
      </c>
      <c r="J1500" s="69" t="s">
        <v>2444</v>
      </c>
      <c r="K1500" s="69" t="s">
        <v>3013</v>
      </c>
    </row>
    <row r="1501" spans="1:11" x14ac:dyDescent="0.25">
      <c r="A1501" s="69" t="s">
        <v>2175</v>
      </c>
      <c r="B1501" s="70">
        <v>44000038</v>
      </c>
      <c r="C1501" s="69" t="s">
        <v>749</v>
      </c>
      <c r="D1501" s="71" t="s">
        <v>2387</v>
      </c>
      <c r="E1501" s="69" t="s">
        <v>2393</v>
      </c>
      <c r="F1501" s="69">
        <v>60</v>
      </c>
      <c r="G1501" s="69">
        <v>180</v>
      </c>
      <c r="H1501" s="69" t="s">
        <v>2399</v>
      </c>
      <c r="I1501" s="69" t="s">
        <v>2456</v>
      </c>
      <c r="J1501" s="69" t="s">
        <v>2394</v>
      </c>
      <c r="K1501" s="69"/>
    </row>
    <row r="1502" spans="1:11" x14ac:dyDescent="0.25">
      <c r="A1502" s="69" t="s">
        <v>2173</v>
      </c>
      <c r="B1502" s="70">
        <v>44000038</v>
      </c>
      <c r="C1502" s="69" t="s">
        <v>749</v>
      </c>
      <c r="D1502" s="71" t="s">
        <v>2387</v>
      </c>
      <c r="E1502" s="69" t="s">
        <v>2393</v>
      </c>
      <c r="F1502" s="69">
        <v>60</v>
      </c>
      <c r="G1502" s="69">
        <v>180</v>
      </c>
      <c r="H1502" s="69" t="s">
        <v>2399</v>
      </c>
      <c r="I1502" s="69" t="s">
        <v>2456</v>
      </c>
      <c r="J1502" s="69" t="s">
        <v>2394</v>
      </c>
      <c r="K1502" s="69"/>
    </row>
    <row r="1503" spans="1:11" x14ac:dyDescent="0.25">
      <c r="A1503" s="69" t="s">
        <v>715</v>
      </c>
      <c r="B1503" s="70">
        <v>44005830</v>
      </c>
      <c r="C1503" s="69" t="s">
        <v>451</v>
      </c>
      <c r="D1503" s="71" t="s">
        <v>2961</v>
      </c>
      <c r="E1503" s="69" t="s">
        <v>2388</v>
      </c>
      <c r="F1503" s="69">
        <v>30</v>
      </c>
      <c r="G1503" s="69">
        <v>30</v>
      </c>
      <c r="H1503" s="69" t="s">
        <v>2391</v>
      </c>
      <c r="I1503" s="69" t="s">
        <v>2442</v>
      </c>
      <c r="J1503" s="69" t="s">
        <v>2390</v>
      </c>
      <c r="K1503" s="69"/>
    </row>
    <row r="1504" spans="1:11" x14ac:dyDescent="0.25">
      <c r="A1504" s="69" t="s">
        <v>715</v>
      </c>
      <c r="B1504" s="70">
        <v>44001839</v>
      </c>
      <c r="C1504" s="69" t="s">
        <v>2440</v>
      </c>
      <c r="D1504" s="71" t="s">
        <v>2961</v>
      </c>
      <c r="E1504" s="69" t="s">
        <v>2388</v>
      </c>
      <c r="F1504" s="69">
        <v>30</v>
      </c>
      <c r="G1504" s="69">
        <v>30</v>
      </c>
      <c r="H1504" s="69" t="s">
        <v>2391</v>
      </c>
      <c r="I1504" s="69" t="s">
        <v>2442</v>
      </c>
      <c r="J1504" s="69" t="s">
        <v>2390</v>
      </c>
      <c r="K1504" s="69"/>
    </row>
    <row r="1505" spans="1:13" x14ac:dyDescent="0.25">
      <c r="A1505" s="69" t="s">
        <v>311</v>
      </c>
      <c r="B1505" s="70">
        <v>44006051</v>
      </c>
      <c r="C1505" s="69" t="s">
        <v>2548</v>
      </c>
      <c r="D1505" s="71" t="s">
        <v>2392</v>
      </c>
      <c r="E1505" s="69" t="s">
        <v>2388</v>
      </c>
      <c r="F1505" s="69">
        <v>30</v>
      </c>
      <c r="G1505" s="69">
        <v>0</v>
      </c>
      <c r="H1505" s="69" t="s">
        <v>2472</v>
      </c>
      <c r="I1505" s="69" t="s">
        <v>2463</v>
      </c>
      <c r="J1505" s="69" t="s">
        <v>2444</v>
      </c>
      <c r="K1505" s="69" t="s">
        <v>3013</v>
      </c>
    </row>
    <row r="1506" spans="1:13" x14ac:dyDescent="0.25">
      <c r="A1506" s="69" t="s">
        <v>1397</v>
      </c>
      <c r="B1506" s="70" t="s">
        <v>3159</v>
      </c>
      <c r="C1506" s="82" t="s">
        <v>1019</v>
      </c>
      <c r="D1506" s="71" t="s">
        <v>2387</v>
      </c>
      <c r="E1506" s="69" t="s">
        <v>2388</v>
      </c>
      <c r="F1506" s="69">
        <v>30</v>
      </c>
      <c r="G1506" s="69">
        <v>90</v>
      </c>
      <c r="H1506" s="69" t="s">
        <v>2399</v>
      </c>
      <c r="I1506" s="69" t="s">
        <v>2400</v>
      </c>
      <c r="J1506" s="69" t="s">
        <v>2398</v>
      </c>
      <c r="K1506" s="69"/>
    </row>
    <row r="1507" spans="1:13" x14ac:dyDescent="0.25">
      <c r="A1507" s="69" t="s">
        <v>2017</v>
      </c>
      <c r="B1507" s="70" t="s">
        <v>3127</v>
      </c>
      <c r="C1507" s="82" t="s">
        <v>3128</v>
      </c>
      <c r="D1507" s="71" t="s">
        <v>2961</v>
      </c>
      <c r="E1507" s="69" t="s">
        <v>2388</v>
      </c>
      <c r="F1507" s="69">
        <v>30</v>
      </c>
      <c r="G1507" s="69">
        <v>45</v>
      </c>
      <c r="H1507" s="69" t="s">
        <v>2391</v>
      </c>
      <c r="I1507" s="69" t="s">
        <v>2431</v>
      </c>
      <c r="J1507" s="69" t="s">
        <v>2398</v>
      </c>
      <c r="K1507" s="69"/>
    </row>
    <row r="1508" spans="1:13" x14ac:dyDescent="0.25">
      <c r="A1508" s="69" t="s">
        <v>2021</v>
      </c>
      <c r="B1508" s="70">
        <v>44004636</v>
      </c>
      <c r="C1508" s="69" t="s">
        <v>3128</v>
      </c>
      <c r="D1508" s="71" t="s">
        <v>2961</v>
      </c>
      <c r="E1508" s="69" t="s">
        <v>2388</v>
      </c>
      <c r="F1508" s="69">
        <v>30</v>
      </c>
      <c r="G1508" s="69">
        <v>45</v>
      </c>
      <c r="H1508" s="69" t="s">
        <v>2391</v>
      </c>
      <c r="I1508" s="69" t="s">
        <v>2431</v>
      </c>
      <c r="J1508" s="69" t="s">
        <v>2398</v>
      </c>
      <c r="K1508" s="69"/>
    </row>
    <row r="1509" spans="1:13" x14ac:dyDescent="0.25">
      <c r="A1509" s="69" t="s">
        <v>2019</v>
      </c>
      <c r="B1509" s="70" t="s">
        <v>3127</v>
      </c>
      <c r="C1509" s="83" t="s">
        <v>3128</v>
      </c>
      <c r="D1509" s="71" t="s">
        <v>2961</v>
      </c>
      <c r="E1509" s="69" t="s">
        <v>2388</v>
      </c>
      <c r="F1509" s="69">
        <v>30</v>
      </c>
      <c r="G1509" s="69">
        <v>45</v>
      </c>
      <c r="H1509" s="69" t="s">
        <v>2391</v>
      </c>
      <c r="I1509" s="69" t="s">
        <v>2431</v>
      </c>
      <c r="J1509" s="69" t="s">
        <v>2398</v>
      </c>
      <c r="K1509" s="69"/>
      <c r="L1509" s="72" t="s">
        <v>2392</v>
      </c>
      <c r="M1509" s="72" t="b">
        <f>L1509=D1509</f>
        <v>0</v>
      </c>
    </row>
    <row r="1510" spans="1:13" x14ac:dyDescent="0.25">
      <c r="A1510" s="69" t="s">
        <v>2182</v>
      </c>
      <c r="B1510" s="70" t="s">
        <v>3217</v>
      </c>
      <c r="C1510" s="83" t="s">
        <v>3128</v>
      </c>
      <c r="D1510" s="71" t="s">
        <v>2961</v>
      </c>
      <c r="E1510" s="69" t="s">
        <v>2388</v>
      </c>
      <c r="F1510" s="69">
        <v>30</v>
      </c>
      <c r="G1510" s="69">
        <v>45</v>
      </c>
      <c r="H1510" s="69" t="s">
        <v>2391</v>
      </c>
      <c r="I1510" s="69" t="s">
        <v>2431</v>
      </c>
      <c r="J1510" s="69" t="s">
        <v>2398</v>
      </c>
      <c r="K1510" s="69"/>
      <c r="L1510" s="72" t="s">
        <v>2392</v>
      </c>
      <c r="M1510" s="72" t="b">
        <f>L1510=D1510</f>
        <v>0</v>
      </c>
    </row>
    <row r="1511" spans="1:13" x14ac:dyDescent="0.25">
      <c r="A1511" s="69" t="s">
        <v>2199</v>
      </c>
      <c r="B1511" s="70" t="s">
        <v>3217</v>
      </c>
      <c r="C1511" s="69" t="s">
        <v>1766</v>
      </c>
      <c r="D1511" s="71" t="s">
        <v>2392</v>
      </c>
      <c r="E1511" s="69" t="s">
        <v>2388</v>
      </c>
      <c r="F1511" s="69">
        <v>30</v>
      </c>
      <c r="G1511" s="69">
        <v>0</v>
      </c>
      <c r="H1511" s="69" t="s">
        <v>2399</v>
      </c>
      <c r="I1511" s="69" t="s">
        <v>2394</v>
      </c>
      <c r="J1511" s="69" t="s">
        <v>2427</v>
      </c>
      <c r="K1511" s="69" t="s">
        <v>3011</v>
      </c>
      <c r="L1511" s="72" t="s">
        <v>2392</v>
      </c>
      <c r="M1511" s="72" t="b">
        <f t="shared" ref="M1511:M1513" si="20">L1511=D1511</f>
        <v>1</v>
      </c>
    </row>
    <row r="1512" spans="1:13" x14ac:dyDescent="0.25">
      <c r="A1512" s="69" t="s">
        <v>2196</v>
      </c>
      <c r="B1512" s="70" t="s">
        <v>3217</v>
      </c>
      <c r="C1512" s="69" t="s">
        <v>1766</v>
      </c>
      <c r="D1512" s="71" t="s">
        <v>2392</v>
      </c>
      <c r="E1512" s="69" t="s">
        <v>2388</v>
      </c>
      <c r="F1512" s="69">
        <v>30</v>
      </c>
      <c r="G1512" s="69">
        <v>0</v>
      </c>
      <c r="H1512" s="69" t="s">
        <v>2399</v>
      </c>
      <c r="I1512" s="69" t="s">
        <v>2394</v>
      </c>
      <c r="J1512" s="69" t="s">
        <v>2427</v>
      </c>
      <c r="K1512" s="69" t="s">
        <v>3011</v>
      </c>
      <c r="L1512" s="72" t="s">
        <v>2392</v>
      </c>
      <c r="M1512" s="72" t="b">
        <f t="shared" si="20"/>
        <v>1</v>
      </c>
    </row>
    <row r="1513" spans="1:13" x14ac:dyDescent="0.25">
      <c r="A1513" s="75" t="s">
        <v>3218</v>
      </c>
      <c r="B1513" s="70" t="s">
        <v>3219</v>
      </c>
      <c r="C1513" s="69" t="s">
        <v>184</v>
      </c>
      <c r="D1513" s="71" t="s">
        <v>2387</v>
      </c>
      <c r="E1513" s="69" t="s">
        <v>2388</v>
      </c>
      <c r="F1513" s="69">
        <v>30</v>
      </c>
      <c r="G1513" s="69">
        <v>45</v>
      </c>
      <c r="H1513" s="69" t="s">
        <v>2399</v>
      </c>
      <c r="I1513" s="69" t="s">
        <v>2456</v>
      </c>
      <c r="J1513" s="69" t="s">
        <v>2415</v>
      </c>
      <c r="K1513" s="69"/>
      <c r="M1513" s="72" t="b">
        <f t="shared" si="20"/>
        <v>0</v>
      </c>
    </row>
    <row r="1514" spans="1:13" x14ac:dyDescent="0.25">
      <c r="A1514" s="84" t="s">
        <v>3220</v>
      </c>
      <c r="B1514" s="70">
        <v>44001733</v>
      </c>
      <c r="C1514" s="69" t="s">
        <v>41</v>
      </c>
      <c r="D1514" s="71" t="s">
        <v>2961</v>
      </c>
      <c r="E1514" s="69" t="s">
        <v>2388</v>
      </c>
      <c r="F1514" s="69">
        <v>30</v>
      </c>
      <c r="G1514" s="69">
        <v>45</v>
      </c>
      <c r="H1514" s="69" t="s">
        <v>2391</v>
      </c>
      <c r="I1514" s="69" t="s">
        <v>2429</v>
      </c>
      <c r="J1514" s="69" t="s">
        <v>2435</v>
      </c>
      <c r="K1514" s="69"/>
    </row>
    <row r="1515" spans="1:13" x14ac:dyDescent="0.25">
      <c r="A1515" s="69" t="s">
        <v>320</v>
      </c>
      <c r="B1515" s="70">
        <v>44000498</v>
      </c>
      <c r="C1515" s="69" t="s">
        <v>2499</v>
      </c>
      <c r="D1515" s="71" t="s">
        <v>2392</v>
      </c>
      <c r="E1515" s="69" t="s">
        <v>2388</v>
      </c>
      <c r="F1515" s="69">
        <v>30</v>
      </c>
      <c r="G1515" s="69">
        <v>30</v>
      </c>
      <c r="H1515" s="69" t="s">
        <v>2395</v>
      </c>
      <c r="I1515" s="69" t="s">
        <v>2410</v>
      </c>
      <c r="J1515" s="69" t="s">
        <v>2444</v>
      </c>
      <c r="K1515" s="69" t="s">
        <v>3211</v>
      </c>
      <c r="L1515" s="72" t="s">
        <v>2392</v>
      </c>
      <c r="M1515" s="72" t="b">
        <f t="shared" ref="M1515:M1526" si="21">L1515=D1515</f>
        <v>1</v>
      </c>
    </row>
    <row r="1516" spans="1:13" x14ac:dyDescent="0.25">
      <c r="A1516" s="69" t="s">
        <v>2117</v>
      </c>
      <c r="B1516" s="70">
        <v>44004719</v>
      </c>
      <c r="C1516" s="69" t="s">
        <v>1766</v>
      </c>
      <c r="D1516" s="71" t="s">
        <v>2392</v>
      </c>
      <c r="E1516" s="69" t="s">
        <v>2388</v>
      </c>
      <c r="F1516" s="69">
        <v>30</v>
      </c>
      <c r="G1516" s="69">
        <v>0</v>
      </c>
      <c r="H1516" s="69" t="s">
        <v>2399</v>
      </c>
      <c r="I1516" s="69" t="s">
        <v>2394</v>
      </c>
      <c r="J1516" s="69" t="s">
        <v>2427</v>
      </c>
      <c r="K1516" s="69" t="s">
        <v>3011</v>
      </c>
      <c r="L1516" s="72" t="s">
        <v>2387</v>
      </c>
      <c r="M1516" s="72" t="b">
        <f t="shared" si="21"/>
        <v>0</v>
      </c>
    </row>
    <row r="1517" spans="1:13" x14ac:dyDescent="0.25">
      <c r="A1517" s="69" t="s">
        <v>2181</v>
      </c>
      <c r="B1517" s="70">
        <v>44004719</v>
      </c>
      <c r="C1517" s="69" t="s">
        <v>1766</v>
      </c>
      <c r="D1517" s="71" t="s">
        <v>2392</v>
      </c>
      <c r="E1517" s="69" t="s">
        <v>2388</v>
      </c>
      <c r="F1517" s="69">
        <v>30</v>
      </c>
      <c r="G1517" s="69">
        <v>0</v>
      </c>
      <c r="H1517" s="69" t="s">
        <v>2399</v>
      </c>
      <c r="I1517" s="69" t="s">
        <v>2394</v>
      </c>
      <c r="J1517" s="69" t="s">
        <v>2427</v>
      </c>
      <c r="K1517" s="69" t="s">
        <v>3011</v>
      </c>
      <c r="L1517" s="72" t="s">
        <v>2387</v>
      </c>
      <c r="M1517" s="72" t="b">
        <f t="shared" si="21"/>
        <v>0</v>
      </c>
    </row>
    <row r="1518" spans="1:13" x14ac:dyDescent="0.25">
      <c r="A1518" s="69" t="s">
        <v>2200</v>
      </c>
      <c r="B1518" s="70">
        <v>44004719</v>
      </c>
      <c r="C1518" s="69" t="s">
        <v>1766</v>
      </c>
      <c r="D1518" s="71" t="s">
        <v>2392</v>
      </c>
      <c r="E1518" s="69" t="s">
        <v>2388</v>
      </c>
      <c r="F1518" s="69">
        <v>30</v>
      </c>
      <c r="G1518" s="69">
        <v>0</v>
      </c>
      <c r="H1518" s="69" t="s">
        <v>2399</v>
      </c>
      <c r="I1518" s="69" t="s">
        <v>2394</v>
      </c>
      <c r="J1518" s="69" t="s">
        <v>2427</v>
      </c>
      <c r="K1518" s="69" t="s">
        <v>3011</v>
      </c>
      <c r="L1518" s="72" t="s">
        <v>2392</v>
      </c>
      <c r="M1518" s="72" t="b">
        <f t="shared" si="21"/>
        <v>1</v>
      </c>
    </row>
    <row r="1519" spans="1:13" x14ac:dyDescent="0.25">
      <c r="A1519" s="69" t="s">
        <v>2020</v>
      </c>
      <c r="B1519" s="70">
        <v>44006604</v>
      </c>
      <c r="C1519" s="69" t="s">
        <v>998</v>
      </c>
      <c r="D1519" s="71" t="s">
        <v>2961</v>
      </c>
      <c r="E1519" s="69" t="s">
        <v>2388</v>
      </c>
      <c r="F1519" s="69">
        <v>30</v>
      </c>
      <c r="G1519" s="69">
        <v>40</v>
      </c>
      <c r="H1519" s="69" t="s">
        <v>2391</v>
      </c>
      <c r="I1519" s="69" t="s">
        <v>2431</v>
      </c>
      <c r="J1519" s="69" t="s">
        <v>2398</v>
      </c>
      <c r="K1519" s="69"/>
      <c r="L1519" s="72" t="s">
        <v>2392</v>
      </c>
      <c r="M1519" s="72" t="b">
        <f t="shared" si="21"/>
        <v>0</v>
      </c>
    </row>
    <row r="1520" spans="1:13" x14ac:dyDescent="0.25">
      <c r="A1520" s="69" t="s">
        <v>2132</v>
      </c>
      <c r="B1520" s="70">
        <v>44005788</v>
      </c>
      <c r="C1520" s="69" t="s">
        <v>3221</v>
      </c>
      <c r="D1520" s="71" t="s">
        <v>2392</v>
      </c>
      <c r="E1520" s="69" t="s">
        <v>2388</v>
      </c>
      <c r="F1520" s="69">
        <v>30</v>
      </c>
      <c r="G1520" s="69">
        <v>0</v>
      </c>
      <c r="H1520" s="69" t="s">
        <v>2399</v>
      </c>
      <c r="I1520" s="69" t="s">
        <v>2394</v>
      </c>
      <c r="J1520" s="69" t="s">
        <v>2427</v>
      </c>
      <c r="K1520" s="69" t="s">
        <v>3011</v>
      </c>
      <c r="L1520" s="72" t="s">
        <v>2387</v>
      </c>
      <c r="M1520" s="72" t="b">
        <f t="shared" si="21"/>
        <v>0</v>
      </c>
    </row>
    <row r="1521" spans="1:13" x14ac:dyDescent="0.25">
      <c r="A1521" s="80" t="s">
        <v>2036</v>
      </c>
      <c r="B1521" s="70" t="s">
        <v>3080</v>
      </c>
      <c r="C1521" s="69" t="s">
        <v>2438</v>
      </c>
      <c r="D1521" s="71" t="s">
        <v>2961</v>
      </c>
      <c r="E1521" s="69" t="s">
        <v>2388</v>
      </c>
      <c r="F1521" s="69">
        <v>30</v>
      </c>
      <c r="G1521" s="69">
        <v>60</v>
      </c>
      <c r="H1521" s="69" t="s">
        <v>2472</v>
      </c>
      <c r="I1521" s="69" t="s">
        <v>2423</v>
      </c>
      <c r="J1521" s="69" t="s">
        <v>2390</v>
      </c>
      <c r="K1521" s="69"/>
      <c r="L1521" s="72" t="s">
        <v>2392</v>
      </c>
      <c r="M1521" s="72" t="b">
        <f t="shared" si="21"/>
        <v>0</v>
      </c>
    </row>
    <row r="1522" spans="1:13" x14ac:dyDescent="0.25">
      <c r="A1522" s="69" t="s">
        <v>2213</v>
      </c>
      <c r="B1522" s="70" t="s">
        <v>3222</v>
      </c>
      <c r="C1522" s="69" t="s">
        <v>2548</v>
      </c>
      <c r="D1522" s="71" t="s">
        <v>2392</v>
      </c>
      <c r="E1522" s="69" t="s">
        <v>2388</v>
      </c>
      <c r="F1522" s="69">
        <v>30</v>
      </c>
      <c r="G1522" s="69">
        <v>30</v>
      </c>
      <c r="H1522" s="69" t="s">
        <v>2486</v>
      </c>
      <c r="I1522" s="69" t="s">
        <v>2463</v>
      </c>
      <c r="J1522" s="69" t="s">
        <v>3208</v>
      </c>
      <c r="K1522" s="69" t="s">
        <v>3013</v>
      </c>
      <c r="L1522" s="72" t="s">
        <v>2392</v>
      </c>
      <c r="M1522" s="72" t="b">
        <f t="shared" si="21"/>
        <v>1</v>
      </c>
    </row>
    <row r="1523" spans="1:13" x14ac:dyDescent="0.25">
      <c r="A1523" s="69" t="s">
        <v>2196</v>
      </c>
      <c r="B1523" s="70">
        <v>44006932</v>
      </c>
      <c r="C1523" s="69" t="s">
        <v>1766</v>
      </c>
      <c r="D1523" s="71" t="s">
        <v>2392</v>
      </c>
      <c r="E1523" s="69" t="s">
        <v>2388</v>
      </c>
      <c r="F1523" s="69">
        <v>30</v>
      </c>
      <c r="G1523" s="69">
        <v>0</v>
      </c>
      <c r="H1523" s="69" t="s">
        <v>2399</v>
      </c>
      <c r="I1523" s="69" t="s">
        <v>2394</v>
      </c>
      <c r="J1523" s="69" t="s">
        <v>2427</v>
      </c>
      <c r="K1523" s="69" t="s">
        <v>3011</v>
      </c>
      <c r="L1523" s="72" t="s">
        <v>2392</v>
      </c>
      <c r="M1523" s="72" t="b">
        <f t="shared" si="21"/>
        <v>1</v>
      </c>
    </row>
    <row r="1524" spans="1:13" x14ac:dyDescent="0.25">
      <c r="A1524" s="69" t="s">
        <v>2199</v>
      </c>
      <c r="B1524" s="70">
        <v>44006932</v>
      </c>
      <c r="C1524" s="69" t="s">
        <v>1766</v>
      </c>
      <c r="D1524" s="71" t="s">
        <v>2392</v>
      </c>
      <c r="E1524" s="69" t="s">
        <v>2388</v>
      </c>
      <c r="F1524" s="69">
        <v>30</v>
      </c>
      <c r="G1524" s="69">
        <v>0</v>
      </c>
      <c r="H1524" s="69" t="s">
        <v>2399</v>
      </c>
      <c r="I1524" s="69" t="s">
        <v>2394</v>
      </c>
      <c r="J1524" s="69" t="s">
        <v>2427</v>
      </c>
      <c r="K1524" s="69" t="s">
        <v>3011</v>
      </c>
      <c r="L1524" s="72" t="s">
        <v>2392</v>
      </c>
      <c r="M1524" s="72" t="b">
        <f t="shared" si="21"/>
        <v>1</v>
      </c>
    </row>
    <row r="1525" spans="1:13" x14ac:dyDescent="0.25">
      <c r="A1525" s="69" t="s">
        <v>2200</v>
      </c>
      <c r="B1525" s="70">
        <v>44006932</v>
      </c>
      <c r="C1525" s="69" t="s">
        <v>1766</v>
      </c>
      <c r="D1525" s="71" t="s">
        <v>2392</v>
      </c>
      <c r="E1525" s="69" t="s">
        <v>2388</v>
      </c>
      <c r="F1525" s="69">
        <v>30</v>
      </c>
      <c r="G1525" s="69">
        <v>0</v>
      </c>
      <c r="H1525" s="69" t="s">
        <v>2399</v>
      </c>
      <c r="I1525" s="69" t="s">
        <v>2394</v>
      </c>
      <c r="J1525" s="69" t="s">
        <v>2427</v>
      </c>
      <c r="K1525" s="69" t="s">
        <v>3011</v>
      </c>
      <c r="L1525" s="72" t="s">
        <v>2392</v>
      </c>
      <c r="M1525" s="72" t="b">
        <f t="shared" si="21"/>
        <v>1</v>
      </c>
    </row>
    <row r="1526" spans="1:13" x14ac:dyDescent="0.25">
      <c r="A1526" s="69" t="s">
        <v>2182</v>
      </c>
      <c r="B1526" s="70">
        <v>44006932</v>
      </c>
      <c r="C1526" s="69" t="s">
        <v>1766</v>
      </c>
      <c r="D1526" s="71" t="s">
        <v>2392</v>
      </c>
      <c r="E1526" s="69" t="s">
        <v>2388</v>
      </c>
      <c r="F1526" s="69">
        <v>30</v>
      </c>
      <c r="G1526" s="69">
        <v>0</v>
      </c>
      <c r="H1526" s="69" t="s">
        <v>2399</v>
      </c>
      <c r="I1526" s="69" t="s">
        <v>2394</v>
      </c>
      <c r="J1526" s="69" t="s">
        <v>2427</v>
      </c>
      <c r="K1526" s="69" t="s">
        <v>3011</v>
      </c>
      <c r="L1526" s="72" t="s">
        <v>2392</v>
      </c>
      <c r="M1526" s="72" t="b">
        <f t="shared" si="21"/>
        <v>1</v>
      </c>
    </row>
    <row r="1527" spans="1:13" x14ac:dyDescent="0.25">
      <c r="A1527" s="69" t="s">
        <v>3223</v>
      </c>
      <c r="B1527" s="70" t="s">
        <v>3224</v>
      </c>
      <c r="C1527" s="69" t="s">
        <v>3225</v>
      </c>
      <c r="D1527" s="71" t="s">
        <v>2387</v>
      </c>
      <c r="E1527" s="69" t="s">
        <v>2393</v>
      </c>
      <c r="F1527" s="69">
        <v>30</v>
      </c>
      <c r="G1527" s="69">
        <v>90</v>
      </c>
      <c r="H1527" s="69" t="s">
        <v>2391</v>
      </c>
      <c r="I1527" s="69" t="s">
        <v>2431</v>
      </c>
      <c r="J1527" s="69" t="s">
        <v>2550</v>
      </c>
      <c r="K1527" s="69"/>
    </row>
    <row r="1528" spans="1:13" x14ac:dyDescent="0.25">
      <c r="A1528" s="69" t="s">
        <v>3226</v>
      </c>
      <c r="B1528" s="70" t="s">
        <v>3227</v>
      </c>
      <c r="C1528" s="69" t="s">
        <v>3228</v>
      </c>
      <c r="D1528" s="71" t="s">
        <v>2387</v>
      </c>
      <c r="E1528" s="69" t="s">
        <v>2393</v>
      </c>
      <c r="F1528" s="69">
        <v>30</v>
      </c>
      <c r="G1528" s="69">
        <v>90</v>
      </c>
      <c r="H1528" s="69" t="s">
        <v>2391</v>
      </c>
      <c r="I1528" s="69" t="s">
        <v>2431</v>
      </c>
      <c r="J1528" s="69" t="s">
        <v>2550</v>
      </c>
      <c r="K1528" s="69"/>
    </row>
    <row r="1529" spans="1:13" x14ac:dyDescent="0.25">
      <c r="A1529" s="69" t="s">
        <v>3229</v>
      </c>
      <c r="B1529" s="70" t="s">
        <v>3230</v>
      </c>
      <c r="C1529" s="69" t="s">
        <v>998</v>
      </c>
      <c r="D1529" s="71" t="s">
        <v>2961</v>
      </c>
      <c r="E1529" s="69" t="s">
        <v>2388</v>
      </c>
      <c r="F1529" s="69">
        <v>30</v>
      </c>
      <c r="G1529" s="69">
        <v>90</v>
      </c>
      <c r="H1529" s="69" t="s">
        <v>2391</v>
      </c>
      <c r="I1529" s="69" t="s">
        <v>2431</v>
      </c>
      <c r="J1529" s="69" t="s">
        <v>2550</v>
      </c>
      <c r="K1529" s="69"/>
    </row>
    <row r="1530" spans="1:13" x14ac:dyDescent="0.25">
      <c r="A1530" s="69" t="s">
        <v>3231</v>
      </c>
      <c r="B1530" s="70" t="s">
        <v>3227</v>
      </c>
      <c r="C1530" s="69" t="s">
        <v>3228</v>
      </c>
      <c r="D1530" s="71" t="s">
        <v>2387</v>
      </c>
      <c r="E1530" s="69" t="s">
        <v>2393</v>
      </c>
      <c r="F1530" s="69">
        <v>30</v>
      </c>
      <c r="G1530" s="69">
        <v>90</v>
      </c>
      <c r="H1530" s="69" t="s">
        <v>2391</v>
      </c>
      <c r="I1530" s="69" t="s">
        <v>2431</v>
      </c>
      <c r="J1530" s="69" t="s">
        <v>2550</v>
      </c>
      <c r="K1530" s="69"/>
    </row>
    <row r="1531" spans="1:13" x14ac:dyDescent="0.25">
      <c r="A1531" s="69" t="s">
        <v>3232</v>
      </c>
      <c r="B1531" s="70">
        <v>44000454</v>
      </c>
      <c r="C1531" s="69" t="s">
        <v>2487</v>
      </c>
      <c r="D1531" s="71" t="s">
        <v>2392</v>
      </c>
      <c r="E1531" s="69" t="s">
        <v>2388</v>
      </c>
      <c r="F1531" s="69">
        <v>30</v>
      </c>
      <c r="G1531" s="69">
        <v>0</v>
      </c>
      <c r="H1531" s="69" t="s">
        <v>2395</v>
      </c>
      <c r="I1531" s="69" t="s">
        <v>2463</v>
      </c>
      <c r="J1531" s="69" t="s">
        <v>2444</v>
      </c>
      <c r="K1531" s="69"/>
    </row>
    <row r="1532" spans="1:13" x14ac:dyDescent="0.25">
      <c r="A1532" s="69" t="s">
        <v>222</v>
      </c>
      <c r="B1532" s="70" t="s">
        <v>3216</v>
      </c>
      <c r="C1532" s="69" t="s">
        <v>2991</v>
      </c>
      <c r="D1532" s="71" t="s">
        <v>2387</v>
      </c>
      <c r="E1532" s="69" t="s">
        <v>2388</v>
      </c>
      <c r="F1532" s="69">
        <v>30</v>
      </c>
      <c r="G1532" s="69">
        <v>60</v>
      </c>
      <c r="H1532" s="69" t="s">
        <v>2399</v>
      </c>
      <c r="I1532" s="69" t="s">
        <v>2479</v>
      </c>
      <c r="J1532" s="69" t="s">
        <v>2424</v>
      </c>
      <c r="K1532" s="69"/>
    </row>
    <row r="1533" spans="1:13" x14ac:dyDescent="0.25">
      <c r="A1533" s="69" t="s">
        <v>219</v>
      </c>
      <c r="B1533" s="70" t="s">
        <v>3216</v>
      </c>
      <c r="C1533" s="69" t="s">
        <v>2991</v>
      </c>
      <c r="D1533" s="71" t="s">
        <v>2387</v>
      </c>
      <c r="E1533" s="69" t="s">
        <v>2388</v>
      </c>
      <c r="F1533" s="69">
        <v>30</v>
      </c>
      <c r="G1533" s="69">
        <v>60</v>
      </c>
      <c r="H1533" s="69" t="s">
        <v>2399</v>
      </c>
      <c r="I1533" s="69" t="s">
        <v>2479</v>
      </c>
      <c r="J1533" s="69" t="s">
        <v>2424</v>
      </c>
      <c r="K1533" s="69"/>
    </row>
    <row r="1534" spans="1:13" x14ac:dyDescent="0.25">
      <c r="A1534" s="69" t="s">
        <v>1320</v>
      </c>
      <c r="B1534" s="70">
        <v>44001772</v>
      </c>
      <c r="C1534" s="69" t="s">
        <v>1312</v>
      </c>
      <c r="D1534" s="71" t="s">
        <v>2387</v>
      </c>
      <c r="E1534" s="69" t="s">
        <v>2388</v>
      </c>
      <c r="F1534" s="69">
        <v>30</v>
      </c>
      <c r="G1534" s="69">
        <v>90</v>
      </c>
      <c r="H1534" s="69" t="s">
        <v>2399</v>
      </c>
      <c r="I1534" s="69" t="s">
        <v>2400</v>
      </c>
      <c r="J1534" s="69" t="s">
        <v>2398</v>
      </c>
      <c r="K1534" s="69"/>
    </row>
    <row r="1535" spans="1:13" x14ac:dyDescent="0.25">
      <c r="A1535" s="84" t="s">
        <v>3233</v>
      </c>
      <c r="B1535" s="70">
        <v>44001733</v>
      </c>
      <c r="C1535" s="69" t="s">
        <v>41</v>
      </c>
      <c r="D1535" s="71" t="s">
        <v>2961</v>
      </c>
      <c r="E1535" s="69" t="s">
        <v>2388</v>
      </c>
      <c r="F1535" s="69">
        <v>30</v>
      </c>
      <c r="G1535" s="69">
        <v>45</v>
      </c>
      <c r="H1535" s="69" t="s">
        <v>2391</v>
      </c>
      <c r="I1535" s="69" t="s">
        <v>2429</v>
      </c>
      <c r="J1535" s="69" t="s">
        <v>2435</v>
      </c>
      <c r="K1535" s="69"/>
    </row>
    <row r="1536" spans="1:13" x14ac:dyDescent="0.25">
      <c r="A1536" s="84" t="s">
        <v>3234</v>
      </c>
      <c r="B1536" s="70">
        <v>44001733</v>
      </c>
      <c r="C1536" s="69" t="s">
        <v>41</v>
      </c>
      <c r="D1536" s="71" t="s">
        <v>2961</v>
      </c>
      <c r="E1536" s="69" t="s">
        <v>2388</v>
      </c>
      <c r="F1536" s="69">
        <v>30</v>
      </c>
      <c r="G1536" s="69">
        <v>45</v>
      </c>
      <c r="H1536" s="69" t="s">
        <v>2391</v>
      </c>
      <c r="I1536" s="69" t="s">
        <v>2429</v>
      </c>
      <c r="J1536" s="69" t="s">
        <v>2435</v>
      </c>
      <c r="K1536" s="69"/>
    </row>
    <row r="1537" spans="1:13" x14ac:dyDescent="0.25">
      <c r="A1537" s="69" t="s">
        <v>711</v>
      </c>
      <c r="B1537" s="70">
        <v>44011041</v>
      </c>
      <c r="C1537" s="69" t="s">
        <v>3235</v>
      </c>
      <c r="D1537" s="71" t="s">
        <v>2961</v>
      </c>
      <c r="E1537" s="69" t="s">
        <v>2388</v>
      </c>
      <c r="F1537" s="69">
        <v>30</v>
      </c>
      <c r="G1537" s="69">
        <v>30</v>
      </c>
      <c r="H1537" s="69" t="s">
        <v>2391</v>
      </c>
      <c r="I1537" s="69" t="s">
        <v>2442</v>
      </c>
      <c r="J1537" s="69" t="s">
        <v>2390</v>
      </c>
      <c r="K1537" s="69"/>
      <c r="L1537" s="72" t="s">
        <v>2387</v>
      </c>
      <c r="M1537" s="72" t="b">
        <f t="shared" ref="M1537:M1541" si="22">L1537=D1537</f>
        <v>0</v>
      </c>
    </row>
    <row r="1538" spans="1:13" x14ac:dyDescent="0.25">
      <c r="A1538" s="69" t="s">
        <v>1696</v>
      </c>
      <c r="B1538" s="70">
        <v>44011041</v>
      </c>
      <c r="C1538" s="69" t="s">
        <v>3235</v>
      </c>
      <c r="D1538" s="71" t="s">
        <v>2961</v>
      </c>
      <c r="E1538" s="69" t="s">
        <v>2388</v>
      </c>
      <c r="F1538" s="69">
        <v>30</v>
      </c>
      <c r="G1538" s="69">
        <v>30</v>
      </c>
      <c r="H1538" s="69" t="s">
        <v>2391</v>
      </c>
      <c r="I1538" s="69" t="s">
        <v>2442</v>
      </c>
      <c r="J1538" s="69" t="s">
        <v>2390</v>
      </c>
      <c r="K1538" s="69"/>
      <c r="L1538" s="72" t="s">
        <v>2387</v>
      </c>
      <c r="M1538" s="72" t="b">
        <f t="shared" si="22"/>
        <v>0</v>
      </c>
    </row>
    <row r="1539" spans="1:13" x14ac:dyDescent="0.25">
      <c r="A1539" s="69" t="s">
        <v>1996</v>
      </c>
      <c r="B1539" s="70">
        <v>44006604</v>
      </c>
      <c r="C1539" s="69" t="s">
        <v>998</v>
      </c>
      <c r="D1539" s="71" t="s">
        <v>2961</v>
      </c>
      <c r="E1539" s="69" t="s">
        <v>2388</v>
      </c>
      <c r="F1539" s="69">
        <v>30</v>
      </c>
      <c r="G1539" s="69">
        <v>30</v>
      </c>
      <c r="H1539" s="69" t="s">
        <v>2391</v>
      </c>
      <c r="I1539" s="69" t="s">
        <v>2431</v>
      </c>
      <c r="J1539" s="69" t="s">
        <v>2460</v>
      </c>
      <c r="K1539" s="69" t="s">
        <v>3021</v>
      </c>
      <c r="L1539" s="72" t="s">
        <v>2392</v>
      </c>
      <c r="M1539" s="72" t="b">
        <f t="shared" si="22"/>
        <v>0</v>
      </c>
    </row>
    <row r="1540" spans="1:13" x14ac:dyDescent="0.25">
      <c r="A1540" s="69" t="s">
        <v>2198</v>
      </c>
      <c r="B1540" s="70">
        <v>44011013</v>
      </c>
      <c r="C1540" s="69" t="s">
        <v>3037</v>
      </c>
      <c r="D1540" s="71" t="s">
        <v>2961</v>
      </c>
      <c r="E1540" s="69" t="s">
        <v>2388</v>
      </c>
      <c r="F1540" s="69">
        <v>30</v>
      </c>
      <c r="G1540" s="69">
        <v>0</v>
      </c>
      <c r="H1540" s="69" t="s">
        <v>2391</v>
      </c>
      <c r="I1540" s="69" t="s">
        <v>2429</v>
      </c>
      <c r="J1540" s="69" t="s">
        <v>2427</v>
      </c>
      <c r="K1540" s="69" t="s">
        <v>3035</v>
      </c>
      <c r="L1540" s="72" t="s">
        <v>2387</v>
      </c>
      <c r="M1540" s="72" t="b">
        <f t="shared" si="22"/>
        <v>0</v>
      </c>
    </row>
    <row r="1541" spans="1:13" x14ac:dyDescent="0.25">
      <c r="A1541" s="69" t="s">
        <v>1662</v>
      </c>
      <c r="B1541" s="70">
        <v>44008065</v>
      </c>
      <c r="C1541" s="69" t="s">
        <v>3236</v>
      </c>
      <c r="D1541" s="71" t="s">
        <v>2387</v>
      </c>
      <c r="E1541" s="69" t="s">
        <v>2388</v>
      </c>
      <c r="F1541" s="69">
        <v>30</v>
      </c>
      <c r="G1541" s="69">
        <v>90</v>
      </c>
      <c r="H1541" s="69" t="s">
        <v>2391</v>
      </c>
      <c r="I1541" s="69" t="s">
        <v>2431</v>
      </c>
      <c r="J1541" s="69" t="s">
        <v>2424</v>
      </c>
      <c r="K1541" s="69"/>
      <c r="L1541" s="72" t="s">
        <v>2387</v>
      </c>
      <c r="M1541" s="72" t="b">
        <f t="shared" si="22"/>
        <v>1</v>
      </c>
    </row>
  </sheetData>
  <autoFilter ref="A1:M1540" xr:uid="{61A14828-4CE0-4A7B-B5BB-2DBE8636209C}"/>
  <conditionalFormatting sqref="A1:A1011 A1468:A1513 A1515:A1534 A1015:A1465 A1537:A1048576">
    <cfRule type="duplicateValues" dxfId="57" priority="48"/>
  </conditionalFormatting>
  <conditionalFormatting sqref="A1012:A1014">
    <cfRule type="duplicateValues" dxfId="56" priority="47"/>
    <cfRule type="duplicateValues" dxfId="55" priority="46"/>
  </conditionalFormatting>
  <conditionalFormatting sqref="A1015:A1038 A166:A188 A118:A164 A190:A1011 A1498:A1502 A1505:A1508 A1515:A1517 A1519:A1522 A1534 A1086 A1539:A1541">
    <cfRule type="duplicateValues" dxfId="54" priority="50"/>
  </conditionalFormatting>
  <conditionalFormatting sqref="A1039:A1083">
    <cfRule type="duplicateValues" dxfId="53" priority="45"/>
  </conditionalFormatting>
  <conditionalFormatting sqref="A1084:A1093 A1503:A1504 A1537:A1538">
    <cfRule type="duplicateValues" dxfId="52" priority="52"/>
  </conditionalFormatting>
  <conditionalFormatting sqref="A1094:A1101">
    <cfRule type="duplicateValues" dxfId="51" priority="44"/>
  </conditionalFormatting>
  <conditionalFormatting sqref="A1095:A1101 A1:A117 A1039:A1093 A1144:A1147 A1287:A1294 A1471 A1476 A1480:A1481 A1483 A1492:A1493 A1498:A1513 A1515:A1520 A1522:A1534 A1537:A1540 A1542:A1048576">
    <cfRule type="duplicateValues" dxfId="50" priority="49"/>
  </conditionalFormatting>
  <conditionalFormatting sqref="A1102">
    <cfRule type="duplicateValues" dxfId="49" priority="43"/>
  </conditionalFormatting>
  <conditionalFormatting sqref="A1103:A1122">
    <cfRule type="duplicateValues" dxfId="48" priority="55"/>
  </conditionalFormatting>
  <conditionalFormatting sqref="A1123:A1131">
    <cfRule type="duplicateValues" dxfId="47" priority="51"/>
  </conditionalFormatting>
  <conditionalFormatting sqref="A1132">
    <cfRule type="duplicateValues" dxfId="46" priority="42"/>
  </conditionalFormatting>
  <conditionalFormatting sqref="A1133">
    <cfRule type="duplicateValues" dxfId="45" priority="41"/>
  </conditionalFormatting>
  <conditionalFormatting sqref="A1134">
    <cfRule type="duplicateValues" dxfId="44" priority="40"/>
  </conditionalFormatting>
  <conditionalFormatting sqref="A1135">
    <cfRule type="duplicateValues" dxfId="43" priority="39"/>
  </conditionalFormatting>
  <conditionalFormatting sqref="A1136:A1137">
    <cfRule type="duplicateValues" dxfId="42" priority="38"/>
  </conditionalFormatting>
  <conditionalFormatting sqref="A1138:A1143">
    <cfRule type="duplicateValues" dxfId="41" priority="54"/>
  </conditionalFormatting>
  <conditionalFormatting sqref="A1144:A1147">
    <cfRule type="duplicateValues" dxfId="40" priority="37"/>
  </conditionalFormatting>
  <conditionalFormatting sqref="A1287:A1294">
    <cfRule type="duplicateValues" dxfId="39" priority="35"/>
  </conditionalFormatting>
  <conditionalFormatting sqref="A1295:A1296">
    <cfRule type="duplicateValues" dxfId="38" priority="53"/>
  </conditionalFormatting>
  <conditionalFormatting sqref="A1297:A1461 A1532">
    <cfRule type="duplicateValues" dxfId="37" priority="56"/>
  </conditionalFormatting>
  <conditionalFormatting sqref="A1462">
    <cfRule type="duplicateValues" dxfId="36" priority="34"/>
  </conditionalFormatting>
  <conditionalFormatting sqref="A1463:A1465">
    <cfRule type="duplicateValues" dxfId="35" priority="33"/>
  </conditionalFormatting>
  <conditionalFormatting sqref="A1464">
    <cfRule type="duplicateValues" dxfId="34" priority="32"/>
  </conditionalFormatting>
  <conditionalFormatting sqref="A1465">
    <cfRule type="duplicateValues" dxfId="33" priority="31"/>
  </conditionalFormatting>
  <conditionalFormatting sqref="A1466:A1467">
    <cfRule type="duplicateValues" dxfId="32" priority="29"/>
    <cfRule type="duplicateValues" dxfId="31" priority="30"/>
  </conditionalFormatting>
  <conditionalFormatting sqref="A1468">
    <cfRule type="duplicateValues" dxfId="30" priority="28"/>
  </conditionalFormatting>
  <conditionalFormatting sqref="A1469">
    <cfRule type="duplicateValues" dxfId="29" priority="27"/>
  </conditionalFormatting>
  <conditionalFormatting sqref="A1470">
    <cfRule type="duplicateValues" dxfId="28" priority="26"/>
  </conditionalFormatting>
  <conditionalFormatting sqref="A1472">
    <cfRule type="duplicateValues" dxfId="27" priority="25"/>
  </conditionalFormatting>
  <conditionalFormatting sqref="A1473">
    <cfRule type="duplicateValues" dxfId="26" priority="24"/>
  </conditionalFormatting>
  <conditionalFormatting sqref="A1474">
    <cfRule type="duplicateValues" dxfId="25" priority="23"/>
  </conditionalFormatting>
  <conditionalFormatting sqref="A1475">
    <cfRule type="duplicateValues" dxfId="24" priority="22"/>
  </conditionalFormatting>
  <conditionalFormatting sqref="A1477">
    <cfRule type="duplicateValues" dxfId="23" priority="21"/>
  </conditionalFormatting>
  <conditionalFormatting sqref="A1478">
    <cfRule type="duplicateValues" dxfId="22" priority="20"/>
  </conditionalFormatting>
  <conditionalFormatting sqref="A1479">
    <cfRule type="duplicateValues" dxfId="21" priority="19"/>
  </conditionalFormatting>
  <conditionalFormatting sqref="A1482">
    <cfRule type="duplicateValues" dxfId="20" priority="18"/>
  </conditionalFormatting>
  <conditionalFormatting sqref="A1484">
    <cfRule type="duplicateValues" dxfId="19" priority="17"/>
  </conditionalFormatting>
  <conditionalFormatting sqref="A1485">
    <cfRule type="duplicateValues" dxfId="18" priority="16"/>
  </conditionalFormatting>
  <conditionalFormatting sqref="A1486">
    <cfRule type="duplicateValues" dxfId="17" priority="15"/>
  </conditionalFormatting>
  <conditionalFormatting sqref="A1487">
    <cfRule type="duplicateValues" dxfId="16" priority="14"/>
  </conditionalFormatting>
  <conditionalFormatting sqref="A1488">
    <cfRule type="duplicateValues" dxfId="15" priority="13"/>
  </conditionalFormatting>
  <conditionalFormatting sqref="A1489">
    <cfRule type="duplicateValues" dxfId="14" priority="12"/>
  </conditionalFormatting>
  <conditionalFormatting sqref="A1490">
    <cfRule type="duplicateValues" dxfId="13" priority="11"/>
  </conditionalFormatting>
  <conditionalFormatting sqref="A1491">
    <cfRule type="duplicateValues" dxfId="12" priority="10"/>
  </conditionalFormatting>
  <conditionalFormatting sqref="A1494">
    <cfRule type="duplicateValues" dxfId="11" priority="9"/>
  </conditionalFormatting>
  <conditionalFormatting sqref="A1495">
    <cfRule type="duplicateValues" dxfId="10" priority="8"/>
  </conditionalFormatting>
  <conditionalFormatting sqref="A1496:A1497">
    <cfRule type="duplicateValues" dxfId="9" priority="7"/>
  </conditionalFormatting>
  <conditionalFormatting sqref="A1509">
    <cfRule type="duplicateValues" dxfId="8" priority="6"/>
  </conditionalFormatting>
  <conditionalFormatting sqref="A1514">
    <cfRule type="duplicateValues" dxfId="7" priority="5"/>
    <cfRule type="duplicateValues" dxfId="6" priority="4"/>
  </conditionalFormatting>
  <conditionalFormatting sqref="A1533 A1148:A1286">
    <cfRule type="duplicateValues" dxfId="5" priority="36"/>
  </conditionalFormatting>
  <conditionalFormatting sqref="A1535:A1536">
    <cfRule type="duplicateValues" dxfId="4" priority="3"/>
    <cfRule type="duplicateValues" dxfId="3" priority="2"/>
  </conditionalFormatting>
  <conditionalFormatting sqref="A1539">
    <cfRule type="duplicateValues" dxfId="2" priority="1"/>
  </conditionalFormatting>
  <pageMargins left="0.511811024" right="0.511811024" top="0.78740157499999996" bottom="0.78740157499999996" header="0.31496062000000002" footer="0.31496062000000002"/>
  <pageSetup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630"/>
  <sheetViews>
    <sheetView workbookViewId="0">
      <selection activeCell="G169" sqref="G169"/>
    </sheetView>
  </sheetViews>
  <sheetFormatPr defaultRowHeight="12.75" x14ac:dyDescent="0.2"/>
  <cols>
    <col min="1" max="1" width="6.5703125" bestFit="1" customWidth="1"/>
    <col min="2" max="2" width="7.140625" bestFit="1" customWidth="1"/>
    <col min="3" max="3" width="13.140625" bestFit="1" customWidth="1"/>
    <col min="4" max="4" width="13.140625" customWidth="1"/>
    <col min="5" max="5" width="11.42578125" bestFit="1" customWidth="1"/>
    <col min="6" max="6" width="49.5703125" bestFit="1" customWidth="1"/>
    <col min="7" max="7" width="13.28515625" bestFit="1" customWidth="1"/>
    <col min="8" max="8" width="19.85546875" bestFit="1" customWidth="1"/>
    <col min="9" max="9" width="11.85546875" bestFit="1" customWidth="1"/>
    <col min="10" max="10" width="13.85546875" bestFit="1" customWidth="1"/>
    <col min="11" max="11" width="44.28515625" bestFit="1" customWidth="1"/>
    <col min="12" max="12" width="6.7109375" bestFit="1" customWidth="1"/>
    <col min="13" max="13" width="50.85546875" customWidth="1"/>
  </cols>
  <sheetData>
    <row r="1" spans="1:14" x14ac:dyDescent="0.2">
      <c r="A1" s="6" t="s">
        <v>1970</v>
      </c>
      <c r="B1" s="6" t="s">
        <v>1971</v>
      </c>
      <c r="C1" s="6" t="s">
        <v>1972</v>
      </c>
      <c r="D1" s="6" t="s">
        <v>2563</v>
      </c>
      <c r="E1" s="6" t="s">
        <v>2379</v>
      </c>
      <c r="F1" s="6" t="s">
        <v>1973</v>
      </c>
      <c r="G1" s="6" t="s">
        <v>1974</v>
      </c>
      <c r="H1" s="6" t="s">
        <v>1975</v>
      </c>
      <c r="I1" s="6" t="s">
        <v>1976</v>
      </c>
      <c r="J1" s="6" t="s">
        <v>1977</v>
      </c>
      <c r="K1" s="6" t="s">
        <v>1978</v>
      </c>
      <c r="L1" s="6" t="s">
        <v>2372</v>
      </c>
      <c r="M1" s="7" t="s">
        <v>2555</v>
      </c>
      <c r="N1" t="s">
        <v>1985</v>
      </c>
    </row>
    <row r="2" spans="1:14" ht="13.5" hidden="1" x14ac:dyDescent="0.2">
      <c r="A2" t="s">
        <v>0</v>
      </c>
      <c r="B2" t="s">
        <v>729</v>
      </c>
      <c r="C2" t="s">
        <v>1259</v>
      </c>
      <c r="D2" s="10" t="e">
        <f>INDEX(#REF!,MATCH(Validade!C2,#REF!,0))</f>
        <v>#REF!</v>
      </c>
      <c r="E2" s="10" t="e">
        <f>INDEX(#REF!,MATCH(Validade!C2,#REF!,0))</f>
        <v>#REF!</v>
      </c>
      <c r="F2" t="s">
        <v>1260</v>
      </c>
      <c r="G2" t="s">
        <v>1261</v>
      </c>
      <c r="H2" s="1">
        <v>62458</v>
      </c>
      <c r="I2" s="1">
        <v>42999</v>
      </c>
      <c r="J2" s="2">
        <v>3060</v>
      </c>
      <c r="K2" t="s">
        <v>8</v>
      </c>
      <c r="L2" t="str">
        <f>INDEX(Dispodaten2!B:B,MATCH(C2,Dispodaten2!A:A,0))</f>
        <v>PD</v>
      </c>
    </row>
    <row r="3" spans="1:14" ht="13.5" hidden="1" x14ac:dyDescent="0.2">
      <c r="A3" t="s">
        <v>0</v>
      </c>
      <c r="B3" t="s">
        <v>729</v>
      </c>
      <c r="C3" t="s">
        <v>1409</v>
      </c>
      <c r="D3" s="10" t="e">
        <f>INDEX(#REF!,MATCH(Validade!C3,#REF!,0))</f>
        <v>#REF!</v>
      </c>
      <c r="E3" s="10" t="e">
        <f>INDEX(#REF!,MATCH(Validade!C3,#REF!,0))</f>
        <v>#REF!</v>
      </c>
      <c r="F3" t="s">
        <v>1410</v>
      </c>
      <c r="G3" t="s">
        <v>1411</v>
      </c>
      <c r="H3" s="1">
        <v>62458</v>
      </c>
      <c r="I3" s="1">
        <v>43423</v>
      </c>
      <c r="J3" s="2">
        <v>2900</v>
      </c>
      <c r="K3" t="s">
        <v>8</v>
      </c>
      <c r="L3" t="str">
        <f>INDEX(Dispodaten2!B:B,MATCH(C3,Dispodaten2!A:A,0))</f>
        <v>PD</v>
      </c>
    </row>
    <row r="4" spans="1:14" ht="13.5" hidden="1" x14ac:dyDescent="0.2">
      <c r="A4" t="s">
        <v>0</v>
      </c>
      <c r="B4" t="s">
        <v>729</v>
      </c>
      <c r="C4" t="s">
        <v>471</v>
      </c>
      <c r="D4" s="10" t="e">
        <f>INDEX(#REF!,MATCH(Validade!C4,#REF!,0))</f>
        <v>#REF!</v>
      </c>
      <c r="E4" s="10" t="e">
        <f>INDEX(#REF!,MATCH(Validade!C4,#REF!,0))</f>
        <v>#REF!</v>
      </c>
      <c r="F4" t="s">
        <v>472</v>
      </c>
      <c r="G4" t="s">
        <v>473</v>
      </c>
      <c r="H4" s="1">
        <v>62458</v>
      </c>
      <c r="I4" s="1">
        <v>43354</v>
      </c>
      <c r="J4" s="2">
        <v>4</v>
      </c>
      <c r="K4" t="s">
        <v>8</v>
      </c>
      <c r="L4" t="str">
        <f>INDEX(Dispodaten2!B:B,MATCH(C4,Dispodaten2!A:A,0))</f>
        <v>PD</v>
      </c>
    </row>
    <row r="5" spans="1:14" ht="13.5" hidden="1" x14ac:dyDescent="0.2">
      <c r="A5" t="s">
        <v>0</v>
      </c>
      <c r="B5" t="s">
        <v>729</v>
      </c>
      <c r="C5" t="s">
        <v>475</v>
      </c>
      <c r="D5" s="10" t="e">
        <f>INDEX(#REF!,MATCH(Validade!C5,#REF!,0))</f>
        <v>#REF!</v>
      </c>
      <c r="E5" s="10" t="e">
        <f>INDEX(#REF!,MATCH(Validade!C5,#REF!,0))</f>
        <v>#REF!</v>
      </c>
      <c r="F5" t="s">
        <v>476</v>
      </c>
      <c r="G5" t="s">
        <v>477</v>
      </c>
      <c r="H5" s="1">
        <v>62458</v>
      </c>
      <c r="I5" s="1">
        <v>43428</v>
      </c>
      <c r="J5" s="2">
        <v>5</v>
      </c>
      <c r="K5" t="s">
        <v>8</v>
      </c>
      <c r="L5" t="str">
        <f>INDEX(Dispodaten2!B:B,MATCH(C5,Dispodaten2!A:A,0))</f>
        <v>PD</v>
      </c>
    </row>
    <row r="6" spans="1:14" ht="13.5" hidden="1" x14ac:dyDescent="0.2">
      <c r="A6" t="s">
        <v>0</v>
      </c>
      <c r="B6" t="s">
        <v>729</v>
      </c>
      <c r="C6" t="s">
        <v>487</v>
      </c>
      <c r="D6" s="10" t="e">
        <f>INDEX(#REF!,MATCH(Validade!C6,#REF!,0))</f>
        <v>#REF!</v>
      </c>
      <c r="E6" s="10" t="e">
        <f>INDEX(#REF!,MATCH(Validade!C6,#REF!,0))</f>
        <v>#REF!</v>
      </c>
      <c r="F6" t="s">
        <v>488</v>
      </c>
      <c r="G6" t="s">
        <v>489</v>
      </c>
      <c r="H6" s="1">
        <v>62458</v>
      </c>
      <c r="I6" s="1">
        <v>43298</v>
      </c>
      <c r="J6" s="2">
        <v>151</v>
      </c>
      <c r="K6" t="s">
        <v>8</v>
      </c>
      <c r="L6" t="str">
        <f>INDEX(Dispodaten2!B:B,MATCH(C6,Dispodaten2!A:A,0))</f>
        <v>PD</v>
      </c>
    </row>
    <row r="7" spans="1:14" ht="13.5" hidden="1" x14ac:dyDescent="0.2">
      <c r="A7" t="s">
        <v>1752</v>
      </c>
      <c r="B7" t="s">
        <v>729</v>
      </c>
      <c r="C7" t="s">
        <v>1882</v>
      </c>
      <c r="D7" s="10" t="e">
        <f>INDEX(#REF!,MATCH(Validade!C7,#REF!,0))</f>
        <v>#REF!</v>
      </c>
      <c r="E7" s="10" t="e">
        <f>INDEX(#REF!,MATCH(Validade!C7,#REF!,0))</f>
        <v>#REF!</v>
      </c>
      <c r="F7" t="s">
        <v>1883</v>
      </c>
      <c r="G7" t="s">
        <v>1884</v>
      </c>
      <c r="H7" s="1"/>
      <c r="I7" s="1"/>
      <c r="J7" s="2">
        <v>1178</v>
      </c>
      <c r="K7" t="s">
        <v>8</v>
      </c>
      <c r="L7" t="str">
        <f>INDEX(Dispodaten2!B:B,MATCH(C7,Dispodaten2!A:A,0))</f>
        <v>PD</v>
      </c>
    </row>
    <row r="8" spans="1:14" ht="13.5" hidden="1" x14ac:dyDescent="0.2">
      <c r="A8" t="s">
        <v>0</v>
      </c>
      <c r="B8" t="s">
        <v>1</v>
      </c>
      <c r="C8" t="s">
        <v>276</v>
      </c>
      <c r="D8" s="10" t="e">
        <f>INDEX(#REF!,MATCH(Validade!C8,#REF!,0))</f>
        <v>#REF!</v>
      </c>
      <c r="E8" s="10" t="e">
        <f>INDEX(#REF!,MATCH(Validade!C8,#REF!,0))</f>
        <v>#REF!</v>
      </c>
      <c r="F8" t="s">
        <v>277</v>
      </c>
      <c r="G8" t="s">
        <v>278</v>
      </c>
      <c r="H8" s="1"/>
      <c r="I8" s="1"/>
      <c r="J8" s="2">
        <v>970</v>
      </c>
      <c r="K8" t="s">
        <v>8</v>
      </c>
      <c r="L8" t="str">
        <f>INDEX(Dispodaten2!B:B,MATCH(C8,Dispodaten2!A:A,0))</f>
        <v>PD</v>
      </c>
    </row>
    <row r="9" spans="1:14" ht="13.5" hidden="1" x14ac:dyDescent="0.2">
      <c r="A9" t="s">
        <v>0</v>
      </c>
      <c r="B9" t="s">
        <v>1</v>
      </c>
      <c r="C9" t="s">
        <v>618</v>
      </c>
      <c r="D9" s="10" t="e">
        <f>INDEX(#REF!,MATCH(Validade!C9,#REF!,0))</f>
        <v>#REF!</v>
      </c>
      <c r="E9" s="10" t="e">
        <f>INDEX(#REF!,MATCH(Validade!C9,#REF!,0))</f>
        <v>#REF!</v>
      </c>
      <c r="F9" t="s">
        <v>619</v>
      </c>
      <c r="G9" t="s">
        <v>596</v>
      </c>
      <c r="H9" s="1">
        <v>62458</v>
      </c>
      <c r="I9" s="1">
        <v>43230</v>
      </c>
      <c r="J9" s="2">
        <v>500</v>
      </c>
      <c r="K9" t="s">
        <v>8</v>
      </c>
      <c r="L9" t="str">
        <f>INDEX(Dispodaten2!B:B,MATCH(C9,Dispodaten2!A:A,0))</f>
        <v>PD</v>
      </c>
    </row>
    <row r="10" spans="1:14" ht="13.5" hidden="1" x14ac:dyDescent="0.2">
      <c r="A10" t="s">
        <v>0</v>
      </c>
      <c r="B10" t="s">
        <v>729</v>
      </c>
      <c r="C10" t="s">
        <v>530</v>
      </c>
      <c r="D10" s="10" t="e">
        <f>INDEX(#REF!,MATCH(Validade!C10,#REF!,0))</f>
        <v>#REF!</v>
      </c>
      <c r="E10" s="10" t="e">
        <f>INDEX(#REF!,MATCH(Validade!C10,#REF!,0))</f>
        <v>#REF!</v>
      </c>
      <c r="F10" t="s">
        <v>531</v>
      </c>
      <c r="G10" t="s">
        <v>1661</v>
      </c>
      <c r="H10" s="1">
        <v>62458</v>
      </c>
      <c r="I10" s="1">
        <v>42878</v>
      </c>
      <c r="J10" s="2">
        <v>1548000</v>
      </c>
      <c r="K10" t="s">
        <v>8</v>
      </c>
      <c r="L10" t="str">
        <f>INDEX(Dispodaten2!B:B,MATCH(C10,Dispodaten2!A:A,0))</f>
        <v>PD</v>
      </c>
    </row>
    <row r="11" spans="1:14" ht="13.5" hidden="1" x14ac:dyDescent="0.2">
      <c r="A11" t="s">
        <v>0</v>
      </c>
      <c r="B11" t="s">
        <v>729</v>
      </c>
      <c r="C11" t="s">
        <v>890</v>
      </c>
      <c r="D11" s="10" t="e">
        <f>INDEX(#REF!,MATCH(Validade!C11,#REF!,0))</f>
        <v>#REF!</v>
      </c>
      <c r="E11" s="10" t="e">
        <f>INDEX(#REF!,MATCH(Validade!C11,#REF!,0))</f>
        <v>#REF!</v>
      </c>
      <c r="F11" t="s">
        <v>891</v>
      </c>
      <c r="G11" t="s">
        <v>892</v>
      </c>
      <c r="H11" s="1"/>
      <c r="I11" s="1"/>
      <c r="J11" s="2">
        <v>1148</v>
      </c>
      <c r="K11" t="s">
        <v>8</v>
      </c>
      <c r="L11" t="str">
        <f>INDEX(Dispodaten2!B:B,MATCH(C11,Dispodaten2!A:A,0))</f>
        <v>V1</v>
      </c>
    </row>
    <row r="12" spans="1:14" ht="13.5" hidden="1" x14ac:dyDescent="0.2">
      <c r="A12" t="s">
        <v>0</v>
      </c>
      <c r="B12" t="s">
        <v>729</v>
      </c>
      <c r="C12" t="s">
        <v>1162</v>
      </c>
      <c r="D12" s="10" t="e">
        <f>INDEX(#REF!,MATCH(Validade!C12,#REF!,0))</f>
        <v>#REF!</v>
      </c>
      <c r="E12" s="10" t="e">
        <f>INDEX(#REF!,MATCH(Validade!C12,#REF!,0))</f>
        <v>#REF!</v>
      </c>
      <c r="F12" t="s">
        <v>1163</v>
      </c>
      <c r="G12" t="s">
        <v>1164</v>
      </c>
      <c r="H12" s="1"/>
      <c r="I12" s="1"/>
      <c r="J12" s="2">
        <v>9000</v>
      </c>
      <c r="K12" t="s">
        <v>8</v>
      </c>
      <c r="L12" t="str">
        <f>INDEX(Dispodaten2!B:B,MATCH(C12,Dispodaten2!A:A,0))</f>
        <v>PD</v>
      </c>
    </row>
    <row r="13" spans="1:14" ht="13.5" hidden="1" x14ac:dyDescent="0.2">
      <c r="A13" t="s">
        <v>0</v>
      </c>
      <c r="B13" t="s">
        <v>729</v>
      </c>
      <c r="C13" t="s">
        <v>1658</v>
      </c>
      <c r="D13" s="10" t="e">
        <f>INDEX(#REF!,MATCH(Validade!C13,#REF!,0))</f>
        <v>#REF!</v>
      </c>
      <c r="E13" s="10" t="e">
        <f>INDEX(#REF!,MATCH(Validade!C13,#REF!,0))</f>
        <v>#REF!</v>
      </c>
      <c r="F13" t="s">
        <v>1659</v>
      </c>
      <c r="G13" t="s">
        <v>1660</v>
      </c>
      <c r="H13" s="1">
        <v>62458</v>
      </c>
      <c r="I13" s="1">
        <v>43123</v>
      </c>
      <c r="J13" s="2">
        <v>3040</v>
      </c>
      <c r="K13" t="s">
        <v>8</v>
      </c>
      <c r="L13" t="str">
        <f>INDEX(Dispodaten2!B:B,MATCH(C13,Dispodaten2!A:A,0))</f>
        <v>ND</v>
      </c>
    </row>
    <row r="14" spans="1:14" ht="13.5" hidden="1" x14ac:dyDescent="0.2">
      <c r="A14" t="s">
        <v>0</v>
      </c>
      <c r="B14" t="s">
        <v>729</v>
      </c>
      <c r="C14" t="s">
        <v>1466</v>
      </c>
      <c r="D14" s="10" t="e">
        <f>INDEX(#REF!,MATCH(Validade!C14,#REF!,0))</f>
        <v>#REF!</v>
      </c>
      <c r="E14" s="10" t="e">
        <f>INDEX(#REF!,MATCH(Validade!C14,#REF!,0))</f>
        <v>#REF!</v>
      </c>
      <c r="F14" t="s">
        <v>1467</v>
      </c>
      <c r="G14" t="s">
        <v>1468</v>
      </c>
      <c r="H14" s="1">
        <v>62458</v>
      </c>
      <c r="I14" s="1">
        <v>43000</v>
      </c>
      <c r="J14" s="2">
        <v>5000</v>
      </c>
      <c r="K14" t="s">
        <v>8</v>
      </c>
      <c r="L14" t="str">
        <f>INDEX(Dispodaten2!B:B,MATCH(C14,Dispodaten2!A:A,0))</f>
        <v>PD</v>
      </c>
    </row>
    <row r="15" spans="1:14" ht="13.5" hidden="1" x14ac:dyDescent="0.2">
      <c r="A15" t="s">
        <v>0</v>
      </c>
      <c r="B15" t="s">
        <v>729</v>
      </c>
      <c r="C15" t="s">
        <v>1485</v>
      </c>
      <c r="D15" s="10" t="e">
        <f>INDEX(#REF!,MATCH(Validade!C15,#REF!,0))</f>
        <v>#REF!</v>
      </c>
      <c r="E15" s="10" t="e">
        <f>INDEX(#REF!,MATCH(Validade!C15,#REF!,0))</f>
        <v>#REF!</v>
      </c>
      <c r="F15" t="s">
        <v>1486</v>
      </c>
      <c r="G15" t="s">
        <v>1487</v>
      </c>
      <c r="H15" s="1">
        <v>62458</v>
      </c>
      <c r="I15" s="1">
        <v>43000</v>
      </c>
      <c r="J15" s="2">
        <v>181</v>
      </c>
      <c r="K15" t="s">
        <v>8</v>
      </c>
      <c r="L15" t="str">
        <f>INDEX(Dispodaten2!B:B,MATCH(C15,Dispodaten2!A:A,0))</f>
        <v>PD</v>
      </c>
    </row>
    <row r="16" spans="1:14" ht="13.5" hidden="1" x14ac:dyDescent="0.2">
      <c r="A16" t="s">
        <v>0</v>
      </c>
      <c r="B16" t="s">
        <v>729</v>
      </c>
      <c r="C16" t="s">
        <v>1479</v>
      </c>
      <c r="D16" s="10" t="e">
        <f>INDEX(#REF!,MATCH(Validade!C16,#REF!,0))</f>
        <v>#REF!</v>
      </c>
      <c r="E16" s="10" t="e">
        <f>INDEX(#REF!,MATCH(Validade!C16,#REF!,0))</f>
        <v>#REF!</v>
      </c>
      <c r="F16" t="s">
        <v>1480</v>
      </c>
      <c r="G16" t="s">
        <v>1481</v>
      </c>
      <c r="H16" s="1">
        <v>62458</v>
      </c>
      <c r="I16" s="1">
        <v>43000</v>
      </c>
      <c r="J16" s="2">
        <v>94</v>
      </c>
      <c r="K16" t="s">
        <v>8</v>
      </c>
      <c r="L16" t="str">
        <f>INDEX(Dispodaten2!B:B,MATCH(C16,Dispodaten2!A:A,0))</f>
        <v>PD</v>
      </c>
    </row>
    <row r="17" spans="1:13" ht="13.5" hidden="1" x14ac:dyDescent="0.2">
      <c r="A17" t="s">
        <v>0</v>
      </c>
      <c r="B17" t="s">
        <v>729</v>
      </c>
      <c r="C17" t="s">
        <v>1451</v>
      </c>
      <c r="D17" s="10" t="e">
        <f>INDEX(#REF!,MATCH(Validade!C17,#REF!,0))</f>
        <v>#REF!</v>
      </c>
      <c r="E17" s="10" t="e">
        <f>INDEX(#REF!,MATCH(Validade!C17,#REF!,0))</f>
        <v>#REF!</v>
      </c>
      <c r="F17" t="s">
        <v>1452</v>
      </c>
      <c r="G17" t="s">
        <v>1453</v>
      </c>
      <c r="H17" s="1">
        <v>62458</v>
      </c>
      <c r="I17" s="1">
        <v>43000</v>
      </c>
      <c r="J17" s="2">
        <v>1245</v>
      </c>
      <c r="K17" t="s">
        <v>8</v>
      </c>
      <c r="L17" t="str">
        <f>INDEX(Dispodaten2!B:B,MATCH(C17,Dispodaten2!A:A,0))</f>
        <v>V1</v>
      </c>
    </row>
    <row r="18" spans="1:13" ht="13.5" hidden="1" x14ac:dyDescent="0.2">
      <c r="A18" t="s">
        <v>0</v>
      </c>
      <c r="B18" t="s">
        <v>729</v>
      </c>
      <c r="C18" t="s">
        <v>1438</v>
      </c>
      <c r="D18" s="10" t="e">
        <f>INDEX(#REF!,MATCH(Validade!C18,#REF!,0))</f>
        <v>#REF!</v>
      </c>
      <c r="E18" s="10" t="e">
        <f>INDEX(#REF!,MATCH(Validade!C18,#REF!,0))</f>
        <v>#REF!</v>
      </c>
      <c r="F18" t="s">
        <v>1439</v>
      </c>
      <c r="G18" t="s">
        <v>1440</v>
      </c>
      <c r="H18" s="1">
        <v>62458</v>
      </c>
      <c r="I18" s="1">
        <v>43000</v>
      </c>
      <c r="J18" s="2">
        <v>52</v>
      </c>
      <c r="K18" t="s">
        <v>8</v>
      </c>
      <c r="L18" t="str">
        <f>INDEX(Dispodaten2!B:B,MATCH(C18,Dispodaten2!A:A,0))</f>
        <v>ND</v>
      </c>
    </row>
    <row r="19" spans="1:13" ht="13.5" hidden="1" x14ac:dyDescent="0.2">
      <c r="A19" t="s">
        <v>0</v>
      </c>
      <c r="B19" t="s">
        <v>729</v>
      </c>
      <c r="C19" t="s">
        <v>1457</v>
      </c>
      <c r="D19" s="10" t="e">
        <f>INDEX(#REF!,MATCH(Validade!C19,#REF!,0))</f>
        <v>#REF!</v>
      </c>
      <c r="E19" s="10" t="e">
        <f>INDEX(#REF!,MATCH(Validade!C19,#REF!,0))</f>
        <v>#REF!</v>
      </c>
      <c r="F19" t="s">
        <v>1458</v>
      </c>
      <c r="G19" t="s">
        <v>1459</v>
      </c>
      <c r="H19" s="1">
        <v>62458</v>
      </c>
      <c r="I19" s="1">
        <v>43429</v>
      </c>
      <c r="J19" s="2">
        <v>171</v>
      </c>
      <c r="K19" t="s">
        <v>8</v>
      </c>
      <c r="L19" t="str">
        <f>INDEX(Dispodaten2!B:B,MATCH(C19,Dispodaten2!A:A,0))</f>
        <v>V1</v>
      </c>
    </row>
    <row r="20" spans="1:13" ht="13.5" hidden="1" x14ac:dyDescent="0.2">
      <c r="A20" t="s">
        <v>0</v>
      </c>
      <c r="B20" t="s">
        <v>729</v>
      </c>
      <c r="C20" t="s">
        <v>1460</v>
      </c>
      <c r="D20" s="10" t="e">
        <f>INDEX(#REF!,MATCH(Validade!C20,#REF!,0))</f>
        <v>#REF!</v>
      </c>
      <c r="E20" s="10" t="e">
        <f>INDEX(#REF!,MATCH(Validade!C20,#REF!,0))</f>
        <v>#REF!</v>
      </c>
      <c r="F20" t="s">
        <v>1461</v>
      </c>
      <c r="G20" t="s">
        <v>1462</v>
      </c>
      <c r="H20" s="1">
        <v>62458</v>
      </c>
      <c r="I20" s="1">
        <v>43429</v>
      </c>
      <c r="J20" s="2">
        <v>300</v>
      </c>
      <c r="K20" t="s">
        <v>8</v>
      </c>
      <c r="L20" t="str">
        <f>INDEX(Dispodaten2!B:B,MATCH(C20,Dispodaten2!A:A,0))</f>
        <v>V1</v>
      </c>
    </row>
    <row r="21" spans="1:13" ht="13.5" hidden="1" x14ac:dyDescent="0.2">
      <c r="A21" t="s">
        <v>0</v>
      </c>
      <c r="B21" t="s">
        <v>729</v>
      </c>
      <c r="C21" t="s">
        <v>1565</v>
      </c>
      <c r="D21" s="10" t="e">
        <f>INDEX(#REF!,MATCH(Validade!C21,#REF!,0))</f>
        <v>#REF!</v>
      </c>
      <c r="E21" s="10" t="e">
        <f>INDEX(#REF!,MATCH(Validade!C21,#REF!,0))</f>
        <v>#REF!</v>
      </c>
      <c r="F21" t="s">
        <v>1566</v>
      </c>
      <c r="G21" t="s">
        <v>1567</v>
      </c>
      <c r="H21" s="1">
        <v>62458</v>
      </c>
      <c r="I21" s="1">
        <v>43000</v>
      </c>
      <c r="J21" s="2">
        <v>1156</v>
      </c>
      <c r="K21" t="s">
        <v>8</v>
      </c>
      <c r="L21" t="str">
        <f>INDEX(Dispodaten2!B:B,MATCH(C21,Dispodaten2!A:A,0))</f>
        <v>PD</v>
      </c>
    </row>
    <row r="22" spans="1:13" ht="13.5" hidden="1" x14ac:dyDescent="0.2">
      <c r="A22" t="s">
        <v>0</v>
      </c>
      <c r="B22" t="s">
        <v>729</v>
      </c>
      <c r="C22" t="s">
        <v>1568</v>
      </c>
      <c r="D22" s="10" t="e">
        <f>INDEX(#REF!,MATCH(Validade!C22,#REF!,0))</f>
        <v>#REF!</v>
      </c>
      <c r="E22" s="10" t="e">
        <f>INDEX(#REF!,MATCH(Validade!C22,#REF!,0))</f>
        <v>#REF!</v>
      </c>
      <c r="F22" t="s">
        <v>1569</v>
      </c>
      <c r="G22" t="s">
        <v>1570</v>
      </c>
      <c r="H22" s="1">
        <v>62458</v>
      </c>
      <c r="I22" s="1">
        <v>43000</v>
      </c>
      <c r="J22" s="2">
        <v>970</v>
      </c>
      <c r="K22" t="s">
        <v>8</v>
      </c>
      <c r="L22" t="str">
        <f>INDEX(Dispodaten2!B:B,MATCH(C22,Dispodaten2!A:A,0))</f>
        <v>PD</v>
      </c>
    </row>
    <row r="23" spans="1:13" ht="13.5" hidden="1" x14ac:dyDescent="0.2">
      <c r="A23" t="s">
        <v>0</v>
      </c>
      <c r="B23" t="s">
        <v>729</v>
      </c>
      <c r="C23" t="s">
        <v>1168</v>
      </c>
      <c r="D23" s="10" t="e">
        <f>INDEX(#REF!,MATCH(Validade!C23,#REF!,0))</f>
        <v>#REF!</v>
      </c>
      <c r="E23" s="10" t="e">
        <f>INDEX(#REF!,MATCH(Validade!C23,#REF!,0))</f>
        <v>#REF!</v>
      </c>
      <c r="F23" t="s">
        <v>1169</v>
      </c>
      <c r="G23" t="s">
        <v>1170</v>
      </c>
      <c r="H23" s="1"/>
      <c r="I23" s="1"/>
      <c r="J23" s="2">
        <v>27000</v>
      </c>
      <c r="K23" t="s">
        <v>8</v>
      </c>
      <c r="L23" t="str">
        <f>INDEX(Dispodaten2!B:B,MATCH(C23,Dispodaten2!A:A,0))</f>
        <v>PD</v>
      </c>
    </row>
    <row r="24" spans="1:13" ht="13.5" hidden="1" x14ac:dyDescent="0.2">
      <c r="A24" t="s">
        <v>0</v>
      </c>
      <c r="B24" t="s">
        <v>729</v>
      </c>
      <c r="C24" t="s">
        <v>1355</v>
      </c>
      <c r="D24" s="10" t="e">
        <f>INDEX(#REF!,MATCH(Validade!C24,#REF!,0))</f>
        <v>#REF!</v>
      </c>
      <c r="E24" s="10" t="e">
        <f>INDEX(#REF!,MATCH(Validade!C24,#REF!,0))</f>
        <v>#REF!</v>
      </c>
      <c r="F24" t="s">
        <v>1356</v>
      </c>
      <c r="G24" t="s">
        <v>1357</v>
      </c>
      <c r="H24" s="1">
        <v>62458</v>
      </c>
      <c r="I24" s="1">
        <v>43000</v>
      </c>
      <c r="J24" s="2">
        <v>10000</v>
      </c>
      <c r="K24" t="s">
        <v>8</v>
      </c>
      <c r="L24" t="str">
        <f>INDEX(Dispodaten2!B:B,MATCH(C24,Dispodaten2!A:A,0))</f>
        <v>PD</v>
      </c>
    </row>
    <row r="25" spans="1:13" ht="13.5" hidden="1" x14ac:dyDescent="0.2">
      <c r="A25" t="s">
        <v>0</v>
      </c>
      <c r="B25" t="s">
        <v>729</v>
      </c>
      <c r="C25" t="s">
        <v>1300</v>
      </c>
      <c r="D25" s="10" t="e">
        <f>INDEX(#REF!,MATCH(Validade!C25,#REF!,0))</f>
        <v>#REF!</v>
      </c>
      <c r="E25" s="10" t="e">
        <f>INDEX(#REF!,MATCH(Validade!C25,#REF!,0))</f>
        <v>#REF!</v>
      </c>
      <c r="F25" t="s">
        <v>1301</v>
      </c>
      <c r="G25" t="s">
        <v>1302</v>
      </c>
      <c r="H25" s="1">
        <v>62458</v>
      </c>
      <c r="I25" s="1">
        <v>43000</v>
      </c>
      <c r="J25" s="2">
        <v>185940</v>
      </c>
      <c r="K25" t="s">
        <v>8</v>
      </c>
      <c r="L25" t="str">
        <f>INDEX(Dispodaten2!B:B,MATCH(C25,Dispodaten2!A:A,0))</f>
        <v>ND</v>
      </c>
    </row>
    <row r="26" spans="1:13" ht="13.5" hidden="1" x14ac:dyDescent="0.2">
      <c r="A26" t="s">
        <v>0</v>
      </c>
      <c r="B26" t="s">
        <v>729</v>
      </c>
      <c r="C26" t="s">
        <v>1204</v>
      </c>
      <c r="D26" s="10" t="e">
        <f>INDEX(#REF!,MATCH(Validade!C26,#REF!,0))</f>
        <v>#REF!</v>
      </c>
      <c r="E26" s="10" t="e">
        <f>INDEX(#REF!,MATCH(Validade!C26,#REF!,0))</f>
        <v>#REF!</v>
      </c>
      <c r="F26" t="s">
        <v>1205</v>
      </c>
      <c r="G26" t="s">
        <v>1206</v>
      </c>
      <c r="H26" s="1">
        <v>62458</v>
      </c>
      <c r="I26" s="1">
        <v>43091</v>
      </c>
      <c r="J26" s="2">
        <v>8600</v>
      </c>
      <c r="K26" t="s">
        <v>8</v>
      </c>
      <c r="L26" t="str">
        <f>INDEX(Dispodaten2!B:B,MATCH(C26,Dispodaten2!A:A,0))</f>
        <v>ND</v>
      </c>
    </row>
    <row r="27" spans="1:13" ht="13.5" hidden="1" x14ac:dyDescent="0.2">
      <c r="A27" t="s">
        <v>0</v>
      </c>
      <c r="B27" t="s">
        <v>729</v>
      </c>
      <c r="C27" t="s">
        <v>1207</v>
      </c>
      <c r="D27" s="10" t="e">
        <f>INDEX(#REF!,MATCH(Validade!C27,#REF!,0))</f>
        <v>#REF!</v>
      </c>
      <c r="E27" s="10" t="e">
        <f>INDEX(#REF!,MATCH(Validade!C27,#REF!,0))</f>
        <v>#REF!</v>
      </c>
      <c r="F27" t="s">
        <v>1208</v>
      </c>
      <c r="G27" t="s">
        <v>1209</v>
      </c>
      <c r="H27" s="1">
        <v>62458</v>
      </c>
      <c r="I27" s="1">
        <v>43090</v>
      </c>
      <c r="J27" s="2">
        <v>8600</v>
      </c>
      <c r="K27" t="s">
        <v>8</v>
      </c>
      <c r="L27" t="str">
        <f>INDEX(Dispodaten2!B:B,MATCH(C27,Dispodaten2!A:A,0))</f>
        <v>ND</v>
      </c>
    </row>
    <row r="28" spans="1:13" ht="13.5" hidden="1" x14ac:dyDescent="0.2">
      <c r="A28" t="s">
        <v>0</v>
      </c>
      <c r="B28" t="s">
        <v>729</v>
      </c>
      <c r="C28" t="s">
        <v>1335</v>
      </c>
      <c r="D28" s="10" t="e">
        <f>INDEX(#REF!,MATCH(Validade!C28,#REF!,0))</f>
        <v>#REF!</v>
      </c>
      <c r="E28" s="10" t="e">
        <f>INDEX(#REF!,MATCH(Validade!C28,#REF!,0))</f>
        <v>#REF!</v>
      </c>
      <c r="F28" t="s">
        <v>1336</v>
      </c>
      <c r="G28" t="s">
        <v>1337</v>
      </c>
      <c r="H28" s="1">
        <v>62458</v>
      </c>
      <c r="I28" s="1">
        <v>43000</v>
      </c>
      <c r="J28" s="2">
        <v>165000</v>
      </c>
      <c r="K28" t="s">
        <v>8</v>
      </c>
      <c r="L28" t="str">
        <f>INDEX(Dispodaten2!B:B,MATCH(C28,Dispodaten2!A:A,0))</f>
        <v>PD</v>
      </c>
    </row>
    <row r="29" spans="1:13" ht="13.5" hidden="1" x14ac:dyDescent="0.2">
      <c r="A29" t="s">
        <v>0</v>
      </c>
      <c r="B29" t="s">
        <v>729</v>
      </c>
      <c r="C29" t="s">
        <v>1338</v>
      </c>
      <c r="D29" s="10" t="e">
        <f>INDEX(#REF!,MATCH(Validade!C29,#REF!,0))</f>
        <v>#REF!</v>
      </c>
      <c r="E29" s="10" t="e">
        <f>INDEX(#REF!,MATCH(Validade!C29,#REF!,0))</f>
        <v>#REF!</v>
      </c>
      <c r="F29" t="s">
        <v>1339</v>
      </c>
      <c r="G29" t="s">
        <v>1340</v>
      </c>
      <c r="H29" s="1">
        <v>62458</v>
      </c>
      <c r="I29" s="1">
        <v>43000</v>
      </c>
      <c r="J29" s="2">
        <v>60000</v>
      </c>
      <c r="K29" t="s">
        <v>8</v>
      </c>
      <c r="L29" t="str">
        <f>INDEX(Dispodaten2!B:B,MATCH(C29,Dispodaten2!A:A,0))</f>
        <v>PD</v>
      </c>
    </row>
    <row r="30" spans="1:13" ht="13.5" hidden="1" x14ac:dyDescent="0.2">
      <c r="A30" t="s">
        <v>0</v>
      </c>
      <c r="B30" t="s">
        <v>729</v>
      </c>
      <c r="C30" t="s">
        <v>1332</v>
      </c>
      <c r="D30" s="10" t="e">
        <f>INDEX(#REF!,MATCH(Validade!C30,#REF!,0))</f>
        <v>#REF!</v>
      </c>
      <c r="E30" s="10" t="e">
        <f>INDEX(#REF!,MATCH(Validade!C30,#REF!,0))</f>
        <v>#REF!</v>
      </c>
      <c r="F30" t="s">
        <v>1333</v>
      </c>
      <c r="G30" t="s">
        <v>1334</v>
      </c>
      <c r="H30" s="1">
        <v>62458</v>
      </c>
      <c r="I30" s="1">
        <v>43000</v>
      </c>
      <c r="J30" s="2">
        <v>75000</v>
      </c>
      <c r="K30" t="s">
        <v>8</v>
      </c>
      <c r="L30" t="str">
        <f>INDEX(Dispodaten2!B:B,MATCH(C30,Dispodaten2!A:A,0))</f>
        <v>PD</v>
      </c>
    </row>
    <row r="31" spans="1:13" ht="13.5" hidden="1" x14ac:dyDescent="0.2">
      <c r="A31" t="s">
        <v>0</v>
      </c>
      <c r="B31" t="s">
        <v>729</v>
      </c>
      <c r="C31" t="s">
        <v>1488</v>
      </c>
      <c r="D31" s="10" t="e">
        <f>INDEX(#REF!,MATCH(Validade!C31,#REF!,0))</f>
        <v>#REF!</v>
      </c>
      <c r="E31" s="10" t="e">
        <f>INDEX(#REF!,MATCH(Validade!C31,#REF!,0))</f>
        <v>#REF!</v>
      </c>
      <c r="F31" t="s">
        <v>1489</v>
      </c>
      <c r="G31" t="s">
        <v>1490</v>
      </c>
      <c r="H31" s="1"/>
      <c r="I31" s="1"/>
      <c r="J31" s="2">
        <v>79</v>
      </c>
      <c r="K31" t="s">
        <v>1491</v>
      </c>
      <c r="L31" t="str">
        <f>INDEX(Dispodaten2!B:B,MATCH(C31,Dispodaten2!A:A,0))</f>
        <v>PD</v>
      </c>
      <c r="M31" t="s">
        <v>2559</v>
      </c>
    </row>
    <row r="32" spans="1:13" ht="13.5" hidden="1" x14ac:dyDescent="0.2">
      <c r="A32" t="s">
        <v>0</v>
      </c>
      <c r="B32" t="s">
        <v>729</v>
      </c>
      <c r="C32" t="s">
        <v>1492</v>
      </c>
      <c r="D32" s="10" t="e">
        <f>INDEX(#REF!,MATCH(Validade!C32,#REF!,0))</f>
        <v>#REF!</v>
      </c>
      <c r="E32" s="10" t="e">
        <f>INDEX(#REF!,MATCH(Validade!C32,#REF!,0))</f>
        <v>#REF!</v>
      </c>
      <c r="F32" t="s">
        <v>1493</v>
      </c>
      <c r="G32" t="s">
        <v>1494</v>
      </c>
      <c r="H32" s="1"/>
      <c r="I32" s="1"/>
      <c r="J32" s="2">
        <v>93</v>
      </c>
      <c r="K32" t="s">
        <v>1491</v>
      </c>
      <c r="L32" t="str">
        <f>INDEX(Dispodaten2!B:B,MATCH(C32,Dispodaten2!A:A,0))</f>
        <v>PD</v>
      </c>
    </row>
    <row r="33" spans="1:13" ht="13.5" hidden="1" x14ac:dyDescent="0.2">
      <c r="A33" t="s">
        <v>0</v>
      </c>
      <c r="B33" t="s">
        <v>729</v>
      </c>
      <c r="C33" t="s">
        <v>1495</v>
      </c>
      <c r="D33" s="10" t="e">
        <f>INDEX(#REF!,MATCH(Validade!C33,#REF!,0))</f>
        <v>#REF!</v>
      </c>
      <c r="E33" s="10" t="e">
        <f>INDEX(#REF!,MATCH(Validade!C33,#REF!,0))</f>
        <v>#REF!</v>
      </c>
      <c r="F33" t="s">
        <v>1496</v>
      </c>
      <c r="G33" t="s">
        <v>1497</v>
      </c>
      <c r="H33" s="1"/>
      <c r="I33" s="1"/>
      <c r="J33" s="2">
        <v>99</v>
      </c>
      <c r="K33" t="s">
        <v>1491</v>
      </c>
      <c r="L33" t="str">
        <f>INDEX(Dispodaten2!B:B,MATCH(C33,Dispodaten2!A:A,0))</f>
        <v>PD</v>
      </c>
      <c r="M33" t="s">
        <v>2560</v>
      </c>
    </row>
    <row r="34" spans="1:13" ht="13.5" hidden="1" x14ac:dyDescent="0.2">
      <c r="A34" t="s">
        <v>0</v>
      </c>
      <c r="B34" t="s">
        <v>729</v>
      </c>
      <c r="C34" t="s">
        <v>1498</v>
      </c>
      <c r="D34" s="10" t="e">
        <f>INDEX(#REF!,MATCH(Validade!C34,#REF!,0))</f>
        <v>#REF!</v>
      </c>
      <c r="E34" s="10" t="e">
        <f>INDEX(#REF!,MATCH(Validade!C34,#REF!,0))</f>
        <v>#REF!</v>
      </c>
      <c r="F34" t="s">
        <v>1499</v>
      </c>
      <c r="G34" t="s">
        <v>1500</v>
      </c>
      <c r="H34" s="1"/>
      <c r="I34" s="1"/>
      <c r="J34" s="2">
        <v>97</v>
      </c>
      <c r="K34" t="s">
        <v>1491</v>
      </c>
      <c r="L34" t="str">
        <f>INDEX(Dispodaten2!B:B,MATCH(C34,Dispodaten2!A:A,0))</f>
        <v>PD</v>
      </c>
      <c r="M34" t="s">
        <v>2561</v>
      </c>
    </row>
    <row r="35" spans="1:13" ht="13.5" hidden="1" x14ac:dyDescent="0.2">
      <c r="A35" t="s">
        <v>0</v>
      </c>
      <c r="B35" t="s">
        <v>729</v>
      </c>
      <c r="C35" t="s">
        <v>1501</v>
      </c>
      <c r="D35" s="10" t="e">
        <f>INDEX(#REF!,MATCH(Validade!C35,#REF!,0))</f>
        <v>#REF!</v>
      </c>
      <c r="E35" s="10" t="e">
        <f>INDEX(#REF!,MATCH(Validade!C35,#REF!,0))</f>
        <v>#REF!</v>
      </c>
      <c r="F35" t="s">
        <v>1502</v>
      </c>
      <c r="G35" t="s">
        <v>1503</v>
      </c>
      <c r="H35" s="1"/>
      <c r="I35" s="1"/>
      <c r="J35" s="2">
        <v>47</v>
      </c>
      <c r="K35" t="s">
        <v>1491</v>
      </c>
      <c r="L35" t="str">
        <f>INDEX(Dispodaten2!B:B,MATCH(C35,Dispodaten2!A:A,0))</f>
        <v>PD</v>
      </c>
    </row>
    <row r="36" spans="1:13" ht="13.5" hidden="1" x14ac:dyDescent="0.2">
      <c r="A36" t="s">
        <v>0</v>
      </c>
      <c r="B36" t="s">
        <v>729</v>
      </c>
      <c r="C36" t="s">
        <v>1655</v>
      </c>
      <c r="D36" s="10" t="e">
        <f>INDEX(#REF!,MATCH(Validade!C36,#REF!,0))</f>
        <v>#REF!</v>
      </c>
      <c r="E36" s="10" t="e">
        <f>INDEX(#REF!,MATCH(Validade!C36,#REF!,0))</f>
        <v>#REF!</v>
      </c>
      <c r="F36" t="s">
        <v>1656</v>
      </c>
      <c r="G36" t="s">
        <v>1657</v>
      </c>
      <c r="H36" s="1"/>
      <c r="I36" s="1"/>
      <c r="J36" s="2">
        <v>385</v>
      </c>
      <c r="K36" t="s">
        <v>1653</v>
      </c>
      <c r="L36" t="str">
        <f>INDEX(Dispodaten2!B:B,MATCH(C36,Dispodaten2!A:A,0))</f>
        <v>PD</v>
      </c>
    </row>
    <row r="37" spans="1:13" ht="13.5" hidden="1" x14ac:dyDescent="0.2">
      <c r="A37" t="s">
        <v>0</v>
      </c>
      <c r="B37" t="s">
        <v>729</v>
      </c>
      <c r="C37" t="s">
        <v>524</v>
      </c>
      <c r="D37" s="10" t="e">
        <f>INDEX(#REF!,MATCH(Validade!C37,#REF!,0))</f>
        <v>#REF!</v>
      </c>
      <c r="E37" s="10" t="e">
        <f>INDEX(#REF!,MATCH(Validade!C37,#REF!,0))</f>
        <v>#REF!</v>
      </c>
      <c r="F37" t="s">
        <v>525</v>
      </c>
      <c r="G37" t="s">
        <v>1654</v>
      </c>
      <c r="H37" s="1"/>
      <c r="I37" s="1"/>
      <c r="J37" s="2">
        <v>3850</v>
      </c>
      <c r="K37" t="s">
        <v>1653</v>
      </c>
      <c r="L37" t="str">
        <f>INDEX(Dispodaten2!B:B,MATCH(C37,Dispodaten2!A:A,0))</f>
        <v>V1</v>
      </c>
    </row>
    <row r="38" spans="1:13" ht="13.5" hidden="1" x14ac:dyDescent="0.2">
      <c r="A38" t="s">
        <v>0</v>
      </c>
      <c r="B38" t="s">
        <v>729</v>
      </c>
      <c r="C38" t="s">
        <v>1391</v>
      </c>
      <c r="D38" s="10" t="e">
        <f>INDEX(#REF!,MATCH(Validade!C38,#REF!,0))</f>
        <v>#REF!</v>
      </c>
      <c r="E38" s="10" t="e">
        <f>INDEX(#REF!,MATCH(Validade!C38,#REF!,0))</f>
        <v>#REF!</v>
      </c>
      <c r="F38" t="s">
        <v>1392</v>
      </c>
      <c r="G38" t="s">
        <v>1393</v>
      </c>
      <c r="H38" s="1">
        <v>62458</v>
      </c>
      <c r="I38" s="1"/>
      <c r="J38" s="2">
        <v>517816</v>
      </c>
      <c r="K38" t="s">
        <v>1189</v>
      </c>
      <c r="L38" t="str">
        <f>INDEX(Dispodaten2!B:B,MATCH(C38,Dispodaten2!A:A,0))</f>
        <v>PD</v>
      </c>
    </row>
    <row r="39" spans="1:13" ht="13.5" hidden="1" x14ac:dyDescent="0.2">
      <c r="A39" t="s">
        <v>0</v>
      </c>
      <c r="B39" t="s">
        <v>729</v>
      </c>
      <c r="C39" t="s">
        <v>1394</v>
      </c>
      <c r="D39" s="10" t="e">
        <f>INDEX(#REF!,MATCH(Validade!C39,#REF!,0))</f>
        <v>#REF!</v>
      </c>
      <c r="E39" s="10" t="e">
        <f>INDEX(#REF!,MATCH(Validade!C39,#REF!,0))</f>
        <v>#REF!</v>
      </c>
      <c r="F39" t="s">
        <v>1395</v>
      </c>
      <c r="G39" t="s">
        <v>1396</v>
      </c>
      <c r="H39" s="1">
        <v>62458</v>
      </c>
      <c r="I39" s="1"/>
      <c r="J39" s="2">
        <v>478733.84</v>
      </c>
      <c r="K39" t="s">
        <v>1189</v>
      </c>
      <c r="L39" t="str">
        <f>INDEX(Dispodaten2!B:B,MATCH(C39,Dispodaten2!A:A,0))</f>
        <v>PD</v>
      </c>
    </row>
    <row r="40" spans="1:13" ht="13.5" hidden="1" x14ac:dyDescent="0.2">
      <c r="A40" t="s">
        <v>0</v>
      </c>
      <c r="B40" t="s">
        <v>729</v>
      </c>
      <c r="C40" t="s">
        <v>1294</v>
      </c>
      <c r="D40" s="10" t="e">
        <f>INDEX(#REF!,MATCH(Validade!C40,#REF!,0))</f>
        <v>#REF!</v>
      </c>
      <c r="E40" s="10" t="e">
        <f>INDEX(#REF!,MATCH(Validade!C40,#REF!,0))</f>
        <v>#REF!</v>
      </c>
      <c r="F40" t="s">
        <v>1295</v>
      </c>
      <c r="G40" t="s">
        <v>1296</v>
      </c>
      <c r="H40" s="1">
        <v>46418</v>
      </c>
      <c r="I40" s="1"/>
      <c r="J40" s="2">
        <v>292755</v>
      </c>
      <c r="K40" t="s">
        <v>1279</v>
      </c>
      <c r="L40" t="str">
        <f>INDEX(Dispodaten2!B:B,MATCH(C40,Dispodaten2!A:A,0))</f>
        <v>PD</v>
      </c>
    </row>
    <row r="41" spans="1:13" ht="13.5" hidden="1" x14ac:dyDescent="0.2">
      <c r="A41" t="s">
        <v>0</v>
      </c>
      <c r="B41" t="s">
        <v>729</v>
      </c>
      <c r="C41" t="s">
        <v>1288</v>
      </c>
      <c r="D41" s="10" t="e">
        <f>INDEX(#REF!,MATCH(Validade!C41,#REF!,0))</f>
        <v>#REF!</v>
      </c>
      <c r="E41" s="10" t="e">
        <f>INDEX(#REF!,MATCH(Validade!C41,#REF!,0))</f>
        <v>#REF!</v>
      </c>
      <c r="F41" t="s">
        <v>1289</v>
      </c>
      <c r="G41" t="s">
        <v>1290</v>
      </c>
      <c r="H41" s="1"/>
      <c r="I41" s="1"/>
      <c r="J41" s="2">
        <v>5430</v>
      </c>
      <c r="K41" t="s">
        <v>1279</v>
      </c>
      <c r="L41" t="str">
        <f>INDEX(Dispodaten2!B:B,MATCH(C41,Dispodaten2!A:A,0))</f>
        <v>PD</v>
      </c>
    </row>
    <row r="42" spans="1:13" ht="13.5" hidden="1" x14ac:dyDescent="0.2">
      <c r="A42" t="s">
        <v>0</v>
      </c>
      <c r="B42" t="s">
        <v>729</v>
      </c>
      <c r="C42" t="s">
        <v>1277</v>
      </c>
      <c r="D42" s="10" t="e">
        <f>INDEX(#REF!,MATCH(Validade!C42,#REF!,0))</f>
        <v>#REF!</v>
      </c>
      <c r="E42" s="10" t="e">
        <f>INDEX(#REF!,MATCH(Validade!C42,#REF!,0))</f>
        <v>#REF!</v>
      </c>
      <c r="F42" t="s">
        <v>1278</v>
      </c>
      <c r="G42" t="s">
        <v>1280</v>
      </c>
      <c r="H42" s="1">
        <v>62458</v>
      </c>
      <c r="I42" s="1"/>
      <c r="J42" s="2">
        <v>47745.599999999999</v>
      </c>
      <c r="K42" t="s">
        <v>1279</v>
      </c>
      <c r="L42" t="str">
        <f>INDEX(Dispodaten2!B:B,MATCH(C42,Dispodaten2!A:A,0))</f>
        <v>PD</v>
      </c>
    </row>
    <row r="43" spans="1:13" ht="13.5" hidden="1" x14ac:dyDescent="0.2">
      <c r="A43" t="s">
        <v>0</v>
      </c>
      <c r="B43" t="s">
        <v>1</v>
      </c>
      <c r="C43" t="s">
        <v>392</v>
      </c>
      <c r="D43" s="10" t="e">
        <f>INDEX(#REF!,MATCH(Validade!C43,#REF!,0))</f>
        <v>#REF!</v>
      </c>
      <c r="E43" s="10" t="e">
        <f>INDEX(#REF!,MATCH(Validade!C43,#REF!,0))</f>
        <v>#REF!</v>
      </c>
      <c r="F43" t="s">
        <v>393</v>
      </c>
      <c r="G43" t="s">
        <v>396</v>
      </c>
      <c r="H43" s="1">
        <v>54509</v>
      </c>
      <c r="I43" s="1">
        <v>45378</v>
      </c>
      <c r="J43" s="2">
        <v>1850</v>
      </c>
      <c r="K43" t="s">
        <v>395</v>
      </c>
      <c r="L43" t="str">
        <f>INDEX(Dispodaten2!B:B,MATCH(C43,Dispodaten2!A:A,0))</f>
        <v>PD</v>
      </c>
    </row>
    <row r="44" spans="1:13" ht="13.5" hidden="1" x14ac:dyDescent="0.2">
      <c r="A44" t="s">
        <v>1752</v>
      </c>
      <c r="B44" t="s">
        <v>729</v>
      </c>
      <c r="C44" t="s">
        <v>1908</v>
      </c>
      <c r="D44" s="10" t="e">
        <f>INDEX(#REF!,MATCH(Validade!C44,#REF!,0))</f>
        <v>#REF!</v>
      </c>
      <c r="E44" s="10" t="e">
        <f>INDEX(#REF!,MATCH(Validade!C44,#REF!,0))</f>
        <v>#REF!</v>
      </c>
      <c r="F44" t="s">
        <v>1909</v>
      </c>
      <c r="G44" t="s">
        <v>1911</v>
      </c>
      <c r="H44" s="1">
        <v>62458</v>
      </c>
      <c r="I44" s="1">
        <v>44726</v>
      </c>
      <c r="J44" s="2">
        <v>131</v>
      </c>
      <c r="K44" t="s">
        <v>1910</v>
      </c>
      <c r="L44" t="str">
        <f>INDEX(Dispodaten2!B:B,MATCH(C44,Dispodaten2!A:A,0))</f>
        <v>V1</v>
      </c>
    </row>
    <row r="45" spans="1:13" ht="13.5" hidden="1" x14ac:dyDescent="0.2">
      <c r="A45" t="s">
        <v>1752</v>
      </c>
      <c r="B45" t="s">
        <v>729</v>
      </c>
      <c r="C45" t="s">
        <v>1965</v>
      </c>
      <c r="D45" s="10" t="e">
        <f>INDEX(#REF!,MATCH(Validade!C45,#REF!,0))</f>
        <v>#REF!</v>
      </c>
      <c r="E45" s="10" t="e">
        <f>INDEX(#REF!,MATCH(Validade!C45,#REF!,0))</f>
        <v>#REF!</v>
      </c>
      <c r="F45" t="s">
        <v>1966</v>
      </c>
      <c r="G45" t="s">
        <v>1967</v>
      </c>
      <c r="H45" s="1">
        <v>48243</v>
      </c>
      <c r="I45" s="1">
        <v>44642</v>
      </c>
      <c r="J45" s="2">
        <v>1889</v>
      </c>
      <c r="K45" t="s">
        <v>1910</v>
      </c>
      <c r="L45" t="str">
        <f>INDEX(Dispodaten2!B:B,MATCH(C45,Dispodaten2!A:A,0))</f>
        <v>V1</v>
      </c>
    </row>
    <row r="46" spans="1:13" ht="13.5" hidden="1" x14ac:dyDescent="0.2">
      <c r="A46" t="s">
        <v>0</v>
      </c>
      <c r="B46" t="s">
        <v>729</v>
      </c>
      <c r="C46" t="s">
        <v>1571</v>
      </c>
      <c r="D46" s="10" t="e">
        <f>INDEX(#REF!,MATCH(Validade!C46,#REF!,0))</f>
        <v>#REF!</v>
      </c>
      <c r="E46" s="10" t="e">
        <f>INDEX(#REF!,MATCH(Validade!C46,#REF!,0))</f>
        <v>#REF!</v>
      </c>
      <c r="F46" t="s">
        <v>1572</v>
      </c>
      <c r="G46" t="s">
        <v>1071</v>
      </c>
      <c r="H46" s="1">
        <v>45923</v>
      </c>
      <c r="I46" s="1"/>
      <c r="J46" s="2">
        <v>500</v>
      </c>
      <c r="K46" t="s">
        <v>1030</v>
      </c>
      <c r="L46" t="str">
        <f>INDEX(Dispodaten2!B:B,MATCH(C46,Dispodaten2!A:A,0))</f>
        <v>PD</v>
      </c>
    </row>
    <row r="47" spans="1:13" ht="13.5" hidden="1" x14ac:dyDescent="0.2">
      <c r="A47" t="s">
        <v>0</v>
      </c>
      <c r="B47" t="s">
        <v>729</v>
      </c>
      <c r="C47" t="s">
        <v>1028</v>
      </c>
      <c r="D47" s="10" t="e">
        <f>INDEX(#REF!,MATCH(Validade!C47,#REF!,0))</f>
        <v>#REF!</v>
      </c>
      <c r="E47" s="10" t="e">
        <f>INDEX(#REF!,MATCH(Validade!C47,#REF!,0))</f>
        <v>#REF!</v>
      </c>
      <c r="F47" t="s">
        <v>1029</v>
      </c>
      <c r="G47" t="s">
        <v>1031</v>
      </c>
      <c r="H47" s="1">
        <v>45814</v>
      </c>
      <c r="I47" s="1">
        <v>45083</v>
      </c>
      <c r="J47" s="2">
        <v>830</v>
      </c>
      <c r="K47" t="s">
        <v>1030</v>
      </c>
      <c r="L47" t="str">
        <f>INDEX(Dispodaten2!B:B,MATCH(C47,Dispodaten2!A:A,0))</f>
        <v>PD</v>
      </c>
    </row>
    <row r="48" spans="1:13" ht="13.5" hidden="1" x14ac:dyDescent="0.2">
      <c r="A48" t="s">
        <v>0</v>
      </c>
      <c r="B48" t="s">
        <v>729</v>
      </c>
      <c r="C48" t="s">
        <v>1082</v>
      </c>
      <c r="D48" s="10" t="e">
        <f>INDEX(#REF!,MATCH(Validade!C48,#REF!,0))</f>
        <v>#REF!</v>
      </c>
      <c r="E48" s="10" t="e">
        <f>INDEX(#REF!,MATCH(Validade!C48,#REF!,0))</f>
        <v>#REF!</v>
      </c>
      <c r="F48" t="s">
        <v>1083</v>
      </c>
      <c r="G48" t="s">
        <v>1075</v>
      </c>
      <c r="H48" s="1">
        <v>45749</v>
      </c>
      <c r="I48" s="1"/>
      <c r="J48" s="2">
        <v>1200</v>
      </c>
      <c r="K48" t="s">
        <v>1030</v>
      </c>
      <c r="L48" t="str">
        <f>INDEX(Dispodaten2!B:B,MATCH(C48,Dispodaten2!A:A,0))</f>
        <v>PD</v>
      </c>
    </row>
    <row r="49" spans="1:13" ht="13.5" hidden="1" x14ac:dyDescent="0.2">
      <c r="A49" t="s">
        <v>0</v>
      </c>
      <c r="B49" t="s">
        <v>729</v>
      </c>
      <c r="C49" t="s">
        <v>1084</v>
      </c>
      <c r="D49" s="10" t="e">
        <f>INDEX(#REF!,MATCH(Validade!C49,#REF!,0))</f>
        <v>#REF!</v>
      </c>
      <c r="E49" s="10" t="e">
        <f>INDEX(#REF!,MATCH(Validade!C49,#REF!,0))</f>
        <v>#REF!</v>
      </c>
      <c r="F49" t="s">
        <v>1085</v>
      </c>
      <c r="G49" t="s">
        <v>1071</v>
      </c>
      <c r="H49" s="1">
        <v>45923</v>
      </c>
      <c r="I49" s="1"/>
      <c r="J49" s="2">
        <v>800</v>
      </c>
      <c r="K49" t="s">
        <v>1030</v>
      </c>
      <c r="L49" t="str">
        <f>INDEX(Dispodaten2!B:B,MATCH(C49,Dispodaten2!A:A,0))</f>
        <v>PD</v>
      </c>
    </row>
    <row r="50" spans="1:13" ht="13.5" hidden="1" x14ac:dyDescent="0.2">
      <c r="A50" t="s">
        <v>0</v>
      </c>
      <c r="B50" t="s">
        <v>729</v>
      </c>
      <c r="C50" t="s">
        <v>1069</v>
      </c>
      <c r="D50" s="10" t="e">
        <f>INDEX(#REF!,MATCH(Validade!C50,#REF!,0))</f>
        <v>#REF!</v>
      </c>
      <c r="E50" s="10" t="e">
        <f>INDEX(#REF!,MATCH(Validade!C50,#REF!,0))</f>
        <v>#REF!</v>
      </c>
      <c r="F50" t="s">
        <v>1070</v>
      </c>
      <c r="G50" t="s">
        <v>1071</v>
      </c>
      <c r="H50" s="1">
        <v>45923</v>
      </c>
      <c r="I50" s="1"/>
      <c r="J50" s="2">
        <v>500</v>
      </c>
      <c r="K50" t="s">
        <v>1030</v>
      </c>
      <c r="L50" t="str">
        <f>INDEX(Dispodaten2!B:B,MATCH(C50,Dispodaten2!A:A,0))</f>
        <v>PD</v>
      </c>
    </row>
    <row r="51" spans="1:13" ht="13.5" hidden="1" x14ac:dyDescent="0.2">
      <c r="A51" t="s">
        <v>0</v>
      </c>
      <c r="B51" t="s">
        <v>729</v>
      </c>
      <c r="C51" t="s">
        <v>1080</v>
      </c>
      <c r="D51" s="10" t="e">
        <f>INDEX(#REF!,MATCH(Validade!C51,#REF!,0))</f>
        <v>#REF!</v>
      </c>
      <c r="E51" s="10" t="e">
        <f>INDEX(#REF!,MATCH(Validade!C51,#REF!,0))</f>
        <v>#REF!</v>
      </c>
      <c r="F51" t="s">
        <v>1081</v>
      </c>
      <c r="G51" t="s">
        <v>1072</v>
      </c>
      <c r="H51" s="1">
        <v>45703</v>
      </c>
      <c r="I51" s="1"/>
      <c r="J51" s="2">
        <v>51</v>
      </c>
      <c r="K51" t="s">
        <v>1030</v>
      </c>
      <c r="L51" t="str">
        <f>INDEX(Dispodaten2!B:B,MATCH(C51,Dispodaten2!A:A,0))</f>
        <v>PD</v>
      </c>
    </row>
    <row r="52" spans="1:13" ht="13.5" hidden="1" x14ac:dyDescent="0.2">
      <c r="A52" t="s">
        <v>0</v>
      </c>
      <c r="B52" t="s">
        <v>729</v>
      </c>
      <c r="C52" t="s">
        <v>1078</v>
      </c>
      <c r="D52" s="10" t="e">
        <f>INDEX(#REF!,MATCH(Validade!C52,#REF!,0))</f>
        <v>#REF!</v>
      </c>
      <c r="E52" s="10" t="e">
        <f>INDEX(#REF!,MATCH(Validade!C52,#REF!,0))</f>
        <v>#REF!</v>
      </c>
      <c r="F52" t="s">
        <v>1079</v>
      </c>
      <c r="G52" t="s">
        <v>1071</v>
      </c>
      <c r="H52" s="1">
        <v>45923</v>
      </c>
      <c r="I52" s="1"/>
      <c r="J52" s="2">
        <v>500</v>
      </c>
      <c r="K52" t="s">
        <v>1030</v>
      </c>
      <c r="L52" t="str">
        <f>INDEX(Dispodaten2!B:B,MATCH(C52,Dispodaten2!A:A,0))</f>
        <v>PD</v>
      </c>
    </row>
    <row r="53" spans="1:13" ht="13.5" hidden="1" x14ac:dyDescent="0.2">
      <c r="A53" t="s">
        <v>0</v>
      </c>
      <c r="B53" t="s">
        <v>729</v>
      </c>
      <c r="C53" t="s">
        <v>1073</v>
      </c>
      <c r="D53" s="10" t="e">
        <f>INDEX(#REF!,MATCH(Validade!C53,#REF!,0))</f>
        <v>#REF!</v>
      </c>
      <c r="E53" s="10" t="e">
        <f>INDEX(#REF!,MATCH(Validade!C53,#REF!,0))</f>
        <v>#REF!</v>
      </c>
      <c r="F53" t="s">
        <v>1074</v>
      </c>
      <c r="G53" t="s">
        <v>1071</v>
      </c>
      <c r="H53" s="1">
        <v>45923</v>
      </c>
      <c r="I53" s="1"/>
      <c r="J53" s="2">
        <v>200</v>
      </c>
      <c r="K53" t="s">
        <v>1030</v>
      </c>
      <c r="L53" t="str">
        <f>INDEX(Dispodaten2!B:B,MATCH(C53,Dispodaten2!A:A,0))</f>
        <v>PD</v>
      </c>
    </row>
    <row r="54" spans="1:13" ht="13.5" hidden="1" x14ac:dyDescent="0.2">
      <c r="A54" t="s">
        <v>0</v>
      </c>
      <c r="B54" t="s">
        <v>729</v>
      </c>
      <c r="C54" t="s">
        <v>1076</v>
      </c>
      <c r="D54" s="10" t="e">
        <f>INDEX(#REF!,MATCH(Validade!C54,#REF!,0))</f>
        <v>#REF!</v>
      </c>
      <c r="E54" s="10" t="e">
        <f>INDEX(#REF!,MATCH(Validade!C54,#REF!,0))</f>
        <v>#REF!</v>
      </c>
      <c r="F54" t="s">
        <v>1077</v>
      </c>
      <c r="G54" t="s">
        <v>1071</v>
      </c>
      <c r="H54" s="1">
        <v>45923</v>
      </c>
      <c r="I54" s="1"/>
      <c r="J54" s="2">
        <v>199</v>
      </c>
      <c r="K54" t="s">
        <v>1030</v>
      </c>
      <c r="L54" t="str">
        <f>INDEX(Dispodaten2!B:B,MATCH(C54,Dispodaten2!A:A,0))</f>
        <v>PD</v>
      </c>
    </row>
    <row r="55" spans="1:13" ht="13.5" hidden="1" x14ac:dyDescent="0.2">
      <c r="A55" t="s">
        <v>0</v>
      </c>
      <c r="B55" t="s">
        <v>729</v>
      </c>
      <c r="C55" t="s">
        <v>1573</v>
      </c>
      <c r="D55" s="10" t="e">
        <f>INDEX(#REF!,MATCH(Validade!C55,#REF!,0))</f>
        <v>#REF!</v>
      </c>
      <c r="E55" s="10" t="e">
        <f>INDEX(#REF!,MATCH(Validade!C55,#REF!,0))</f>
        <v>#REF!</v>
      </c>
      <c r="F55" t="s">
        <v>1574</v>
      </c>
      <c r="G55" t="s">
        <v>1071</v>
      </c>
      <c r="H55" s="1">
        <v>45923</v>
      </c>
      <c r="I55" s="1"/>
      <c r="J55" s="2">
        <v>100</v>
      </c>
      <c r="K55" t="s">
        <v>1030</v>
      </c>
      <c r="L55" t="str">
        <f>INDEX(Dispodaten2!B:B,MATCH(C55,Dispodaten2!A:A,0))</f>
        <v>PD</v>
      </c>
    </row>
    <row r="56" spans="1:13" ht="13.5" hidden="1" x14ac:dyDescent="0.2">
      <c r="A56" t="s">
        <v>0</v>
      </c>
      <c r="B56" t="s">
        <v>729</v>
      </c>
      <c r="C56" t="s">
        <v>1543</v>
      </c>
      <c r="D56" s="10" t="e">
        <f>INDEX(#REF!,MATCH(Validade!C56,#REF!,0))</f>
        <v>#REF!</v>
      </c>
      <c r="E56" s="10" t="e">
        <f>INDEX(#REF!,MATCH(Validade!C56,#REF!,0))</f>
        <v>#REF!</v>
      </c>
      <c r="F56" t="s">
        <v>1544</v>
      </c>
      <c r="G56" t="s">
        <v>1545</v>
      </c>
      <c r="H56" s="1">
        <v>45785</v>
      </c>
      <c r="I56" s="1">
        <v>45420</v>
      </c>
      <c r="J56" s="2">
        <v>10100</v>
      </c>
      <c r="K56" t="s">
        <v>1030</v>
      </c>
      <c r="L56" t="str">
        <f>INDEX(Dispodaten2!B:B,MATCH(C56,Dispodaten2!A:A,0))</f>
        <v>PD</v>
      </c>
    </row>
    <row r="57" spans="1:13" ht="13.5" hidden="1" x14ac:dyDescent="0.2">
      <c r="A57" t="s">
        <v>0</v>
      </c>
      <c r="B57" t="s">
        <v>729</v>
      </c>
      <c r="C57" t="s">
        <v>1540</v>
      </c>
      <c r="D57" s="10" t="e">
        <f>INDEX(#REF!,MATCH(Validade!C57,#REF!,0))</f>
        <v>#REF!</v>
      </c>
      <c r="E57" s="10" t="e">
        <f>INDEX(#REF!,MATCH(Validade!C57,#REF!,0))</f>
        <v>#REF!</v>
      </c>
      <c r="F57" t="s">
        <v>1541</v>
      </c>
      <c r="G57" t="s">
        <v>1071</v>
      </c>
      <c r="H57" s="1">
        <v>45923</v>
      </c>
      <c r="I57" s="1"/>
      <c r="J57" s="2">
        <v>4100</v>
      </c>
      <c r="K57" t="s">
        <v>1030</v>
      </c>
      <c r="L57" t="str">
        <f>INDEX(Dispodaten2!B:B,MATCH(C57,Dispodaten2!A:A,0))</f>
        <v>PD</v>
      </c>
    </row>
    <row r="58" spans="1:13" ht="13.5" hidden="1" x14ac:dyDescent="0.2">
      <c r="A58" t="s">
        <v>0</v>
      </c>
      <c r="B58" t="s">
        <v>729</v>
      </c>
      <c r="C58" t="s">
        <v>1596</v>
      </c>
      <c r="D58" s="10" t="e">
        <f>INDEX(#REF!,MATCH(Validade!C58,#REF!,0))</f>
        <v>#REF!</v>
      </c>
      <c r="E58" s="10" t="e">
        <f>INDEX(#REF!,MATCH(Validade!C58,#REF!,0))</f>
        <v>#REF!</v>
      </c>
      <c r="F58" t="s">
        <v>1597</v>
      </c>
      <c r="G58" t="s">
        <v>1545</v>
      </c>
      <c r="H58" s="1">
        <v>45785</v>
      </c>
      <c r="I58" s="1">
        <v>45420</v>
      </c>
      <c r="J58" s="2">
        <v>1000</v>
      </c>
      <c r="K58" t="s">
        <v>1030</v>
      </c>
      <c r="L58" t="str">
        <f>INDEX(Dispodaten2!B:B,MATCH(C58,Dispodaten2!A:A,0))</f>
        <v>PD</v>
      </c>
    </row>
    <row r="59" spans="1:13" ht="13.5" hidden="1" x14ac:dyDescent="0.2">
      <c r="A59" t="s">
        <v>0</v>
      </c>
      <c r="B59" t="s">
        <v>729</v>
      </c>
      <c r="C59" t="s">
        <v>1594</v>
      </c>
      <c r="D59" s="10" t="e">
        <f>INDEX(#REF!,MATCH(Validade!C59,#REF!,0))</f>
        <v>#REF!</v>
      </c>
      <c r="E59" s="10" t="e">
        <f>INDEX(#REF!,MATCH(Validade!C59,#REF!,0))</f>
        <v>#REF!</v>
      </c>
      <c r="F59" t="s">
        <v>1595</v>
      </c>
      <c r="G59" t="s">
        <v>1072</v>
      </c>
      <c r="H59" s="1">
        <v>45703</v>
      </c>
      <c r="I59" s="1"/>
      <c r="J59" s="2">
        <v>300</v>
      </c>
      <c r="K59" t="s">
        <v>1030</v>
      </c>
      <c r="L59" t="str">
        <f>INDEX(Dispodaten2!B:B,MATCH(C59,Dispodaten2!A:A,0))</f>
        <v>PD</v>
      </c>
    </row>
    <row r="60" spans="1:13" ht="13.5" hidden="1" x14ac:dyDescent="0.2">
      <c r="A60" t="s">
        <v>0</v>
      </c>
      <c r="B60" t="s">
        <v>729</v>
      </c>
      <c r="C60" t="s">
        <v>1546</v>
      </c>
      <c r="D60" s="10" t="e">
        <f>INDEX(#REF!,MATCH(Validade!C60,#REF!,0))</f>
        <v>#REF!</v>
      </c>
      <c r="E60" s="10" t="e">
        <f>INDEX(#REF!,MATCH(Validade!C60,#REF!,0))</f>
        <v>#REF!</v>
      </c>
      <c r="F60" t="s">
        <v>1547</v>
      </c>
      <c r="G60" t="s">
        <v>1072</v>
      </c>
      <c r="H60" s="1">
        <v>45703</v>
      </c>
      <c r="I60" s="1"/>
      <c r="J60" s="2">
        <v>200</v>
      </c>
      <c r="K60" t="s">
        <v>1030</v>
      </c>
      <c r="L60" t="str">
        <f>INDEX(Dispodaten2!B:B,MATCH(C60,Dispodaten2!A:A,0))</f>
        <v>PD</v>
      </c>
    </row>
    <row r="61" spans="1:13" ht="13.5" hidden="1" x14ac:dyDescent="0.2">
      <c r="A61" t="s">
        <v>0</v>
      </c>
      <c r="B61" t="s">
        <v>729</v>
      </c>
      <c r="C61" t="s">
        <v>1629</v>
      </c>
      <c r="D61" s="10" t="e">
        <f>INDEX(#REF!,MATCH(Validade!C61,#REF!,0))</f>
        <v>#REF!</v>
      </c>
      <c r="E61" s="10" t="e">
        <f>INDEX(#REF!,MATCH(Validade!C61,#REF!,0))</f>
        <v>#REF!</v>
      </c>
      <c r="F61" t="s">
        <v>1630</v>
      </c>
      <c r="G61" t="s">
        <v>1071</v>
      </c>
      <c r="H61" s="1">
        <v>45923</v>
      </c>
      <c r="I61" s="1"/>
      <c r="J61" s="2">
        <v>2400</v>
      </c>
      <c r="K61" t="s">
        <v>1030</v>
      </c>
      <c r="L61" t="str">
        <f>INDEX(Dispodaten2!B:B,MATCH(C61,Dispodaten2!A:A,0))</f>
        <v>PD</v>
      </c>
    </row>
    <row r="62" spans="1:13" ht="13.5" hidden="1" x14ac:dyDescent="0.2">
      <c r="A62" t="s">
        <v>0</v>
      </c>
      <c r="B62" t="s">
        <v>729</v>
      </c>
      <c r="C62" t="s">
        <v>1625</v>
      </c>
      <c r="D62" s="10" t="e">
        <f>INDEX(#REF!,MATCH(Validade!C62,#REF!,0))</f>
        <v>#REF!</v>
      </c>
      <c r="E62" s="10" t="e">
        <f>INDEX(#REF!,MATCH(Validade!C62,#REF!,0))</f>
        <v>#REF!</v>
      </c>
      <c r="F62" t="s">
        <v>1626</v>
      </c>
      <c r="G62" t="s">
        <v>1071</v>
      </c>
      <c r="H62" s="1">
        <v>45923</v>
      </c>
      <c r="I62" s="1"/>
      <c r="J62" s="2">
        <v>300</v>
      </c>
      <c r="K62" t="s">
        <v>1030</v>
      </c>
      <c r="L62" t="str">
        <f>INDEX(Dispodaten2!B:B,MATCH(C62,Dispodaten2!A:A,0))</f>
        <v>PD</v>
      </c>
    </row>
    <row r="63" spans="1:13" ht="13.5" hidden="1" x14ac:dyDescent="0.2">
      <c r="A63" t="s">
        <v>0</v>
      </c>
      <c r="B63" t="s">
        <v>729</v>
      </c>
      <c r="C63" t="s">
        <v>1582</v>
      </c>
      <c r="D63" s="10" t="e">
        <f>INDEX(#REF!,MATCH(Validade!C63,#REF!,0))</f>
        <v>#REF!</v>
      </c>
      <c r="E63" s="10" t="e">
        <f>INDEX(#REF!,MATCH(Validade!C63,#REF!,0))</f>
        <v>#REF!</v>
      </c>
      <c r="F63" t="s">
        <v>1583</v>
      </c>
      <c r="G63" t="s">
        <v>1032</v>
      </c>
      <c r="H63" s="1">
        <v>45743</v>
      </c>
      <c r="I63" s="1"/>
      <c r="J63" s="2">
        <v>199</v>
      </c>
      <c r="K63" t="s">
        <v>1030</v>
      </c>
      <c r="L63" t="str">
        <f>INDEX(Dispodaten2!B:B,MATCH(C63,Dispodaten2!A:A,0))</f>
        <v>PD</v>
      </c>
    </row>
    <row r="64" spans="1:13" ht="13.5" hidden="1" x14ac:dyDescent="0.2">
      <c r="A64" t="s">
        <v>0</v>
      </c>
      <c r="B64" t="s">
        <v>729</v>
      </c>
      <c r="C64" t="s">
        <v>1627</v>
      </c>
      <c r="D64" s="10" t="e">
        <f>INDEX(#REF!,MATCH(Validade!C64,#REF!,0))</f>
        <v>#REF!</v>
      </c>
      <c r="E64" s="10" t="e">
        <f>INDEX(#REF!,MATCH(Validade!C64,#REF!,0))</f>
        <v>#REF!</v>
      </c>
      <c r="F64" t="s">
        <v>1628</v>
      </c>
      <c r="G64" t="s">
        <v>1542</v>
      </c>
      <c r="H64" s="1">
        <v>45957</v>
      </c>
      <c r="I64" s="1">
        <v>45226</v>
      </c>
      <c r="J64" s="2">
        <v>334</v>
      </c>
      <c r="K64" t="s">
        <v>1030</v>
      </c>
      <c r="L64" t="str">
        <f>INDEX(Dispodaten2!B:B,MATCH(C64,Dispodaten2!A:A,0))</f>
        <v>PD</v>
      </c>
      <c r="M64" t="s">
        <v>2562</v>
      </c>
    </row>
    <row r="65" spans="1:12" ht="13.5" hidden="1" x14ac:dyDescent="0.2">
      <c r="A65" t="s">
        <v>0</v>
      </c>
      <c r="B65" t="s">
        <v>729</v>
      </c>
      <c r="C65" t="s">
        <v>1623</v>
      </c>
      <c r="D65" s="10" t="e">
        <f>INDEX(#REF!,MATCH(Validade!C65,#REF!,0))</f>
        <v>#REF!</v>
      </c>
      <c r="E65" s="10" t="e">
        <f>INDEX(#REF!,MATCH(Validade!C65,#REF!,0))</f>
        <v>#REF!</v>
      </c>
      <c r="F65" t="s">
        <v>1624</v>
      </c>
      <c r="G65" t="s">
        <v>1032</v>
      </c>
      <c r="H65" s="1">
        <v>45743</v>
      </c>
      <c r="I65" s="1"/>
      <c r="J65" s="2">
        <v>300</v>
      </c>
      <c r="K65" t="s">
        <v>1030</v>
      </c>
      <c r="L65" t="str">
        <f>INDEX(Dispodaten2!B:B,MATCH(C65,Dispodaten2!A:A,0))</f>
        <v>PD</v>
      </c>
    </row>
    <row r="66" spans="1:12" ht="13.5" hidden="1" x14ac:dyDescent="0.2">
      <c r="A66" t="s">
        <v>0</v>
      </c>
      <c r="B66" t="s">
        <v>729</v>
      </c>
      <c r="C66" t="s">
        <v>917</v>
      </c>
      <c r="D66" s="10" t="e">
        <f>INDEX(#REF!,MATCH(Validade!C66,#REF!,0))</f>
        <v>#REF!</v>
      </c>
      <c r="E66" s="10" t="e">
        <f>INDEX(#REF!,MATCH(Validade!C66,#REF!,0))</f>
        <v>#REF!</v>
      </c>
      <c r="F66" t="s">
        <v>918</v>
      </c>
      <c r="G66" t="s">
        <v>919</v>
      </c>
      <c r="H66" s="1"/>
      <c r="I66" s="1"/>
      <c r="J66" s="2">
        <v>492422</v>
      </c>
      <c r="K66" t="s">
        <v>528</v>
      </c>
      <c r="L66" t="str">
        <f>INDEX(Dispodaten2!B:B,MATCH(C66,Dispodaten2!A:A,0))</f>
        <v>PD</v>
      </c>
    </row>
    <row r="67" spans="1:12" ht="13.5" hidden="1" x14ac:dyDescent="0.2">
      <c r="A67" t="s">
        <v>0</v>
      </c>
      <c r="B67" t="s">
        <v>1</v>
      </c>
      <c r="C67" t="s">
        <v>526</v>
      </c>
      <c r="D67" s="10" t="e">
        <f>INDEX(#REF!,MATCH(Validade!C67,#REF!,0))</f>
        <v>#REF!</v>
      </c>
      <c r="E67" s="10" t="e">
        <f>INDEX(#REF!,MATCH(Validade!C67,#REF!,0))</f>
        <v>#REF!</v>
      </c>
      <c r="F67" t="s">
        <v>527</v>
      </c>
      <c r="G67" t="s">
        <v>529</v>
      </c>
      <c r="H67" s="1">
        <v>62458</v>
      </c>
      <c r="I67" s="1"/>
      <c r="J67" s="2">
        <v>1497</v>
      </c>
      <c r="K67" t="s">
        <v>528</v>
      </c>
      <c r="L67" t="str">
        <f>INDEX(Dispodaten2!B:B,MATCH(C67,Dispodaten2!A:A,0))</f>
        <v>PD</v>
      </c>
    </row>
    <row r="68" spans="1:12" ht="13.5" hidden="1" x14ac:dyDescent="0.2">
      <c r="A68" t="s">
        <v>0</v>
      </c>
      <c r="B68" t="s">
        <v>1</v>
      </c>
      <c r="C68" t="s">
        <v>435</v>
      </c>
      <c r="D68" s="10" t="e">
        <f>INDEX(#REF!,MATCH(Validade!C68,#REF!,0))</f>
        <v>#REF!</v>
      </c>
      <c r="E68" s="10" t="e">
        <f>INDEX(#REF!,MATCH(Validade!C68,#REF!,0))</f>
        <v>#REF!</v>
      </c>
      <c r="F68" t="s">
        <v>436</v>
      </c>
      <c r="G68" t="s">
        <v>437</v>
      </c>
      <c r="H68" s="1">
        <v>62458</v>
      </c>
      <c r="I68" s="1"/>
      <c r="J68" s="2">
        <v>200</v>
      </c>
      <c r="K68" t="s">
        <v>394</v>
      </c>
      <c r="L68" t="str">
        <f>INDEX(Dispodaten2!B:B,MATCH(C68,Dispodaten2!A:A,0))</f>
        <v>V1</v>
      </c>
    </row>
    <row r="69" spans="1:12" ht="13.5" hidden="1" x14ac:dyDescent="0.2">
      <c r="A69" t="s">
        <v>0</v>
      </c>
      <c r="B69" t="s">
        <v>729</v>
      </c>
      <c r="C69" t="s">
        <v>850</v>
      </c>
      <c r="D69" s="10" t="e">
        <f>INDEX(#REF!,MATCH(Validade!C69,#REF!,0))</f>
        <v>#REF!</v>
      </c>
      <c r="E69" s="10" t="e">
        <f>INDEX(#REF!,MATCH(Validade!C69,#REF!,0))</f>
        <v>#REF!</v>
      </c>
      <c r="F69" t="s">
        <v>851</v>
      </c>
      <c r="G69" t="s">
        <v>853</v>
      </c>
      <c r="H69" s="1"/>
      <c r="I69" s="1"/>
      <c r="J69" s="2">
        <v>2000</v>
      </c>
      <c r="K69" t="s">
        <v>852</v>
      </c>
      <c r="L69" t="str">
        <f>INDEX(Dispodaten2!B:B,MATCH(C69,Dispodaten2!A:A,0))</f>
        <v>PD</v>
      </c>
    </row>
    <row r="70" spans="1:12" ht="13.5" hidden="1" x14ac:dyDescent="0.2">
      <c r="A70" t="s">
        <v>1752</v>
      </c>
      <c r="B70" t="s">
        <v>729</v>
      </c>
      <c r="C70" t="s">
        <v>1805</v>
      </c>
      <c r="D70" s="10" t="e">
        <f>INDEX(#REF!,MATCH(Validade!C70,#REF!,0))</f>
        <v>#REF!</v>
      </c>
      <c r="E70" s="10" t="e">
        <f>INDEX(#REF!,MATCH(Validade!C70,#REF!,0))</f>
        <v>#REF!</v>
      </c>
      <c r="F70" t="s">
        <v>1806</v>
      </c>
      <c r="G70" t="s">
        <v>1808</v>
      </c>
      <c r="H70" s="1">
        <v>45971</v>
      </c>
      <c r="I70" s="1">
        <v>45251</v>
      </c>
      <c r="J70" s="2">
        <v>63</v>
      </c>
      <c r="K70" t="s">
        <v>1807</v>
      </c>
      <c r="L70" t="str">
        <f>INDEX(Dispodaten2!B:B,MATCH(C70,Dispodaten2!A:A,0))</f>
        <v>PD</v>
      </c>
    </row>
    <row r="71" spans="1:12" ht="13.5" hidden="1" x14ac:dyDescent="0.2">
      <c r="A71" t="s">
        <v>1752</v>
      </c>
      <c r="B71" t="s">
        <v>729</v>
      </c>
      <c r="C71" t="s">
        <v>1809</v>
      </c>
      <c r="D71" s="10" t="e">
        <f>INDEX(#REF!,MATCH(Validade!C71,#REF!,0))</f>
        <v>#REF!</v>
      </c>
      <c r="E71" s="10" t="e">
        <f>INDEX(#REF!,MATCH(Validade!C71,#REF!,0))</f>
        <v>#REF!</v>
      </c>
      <c r="F71" t="s">
        <v>1810</v>
      </c>
      <c r="G71" t="s">
        <v>1811</v>
      </c>
      <c r="H71" s="1">
        <v>46022</v>
      </c>
      <c r="I71" s="1">
        <v>45302</v>
      </c>
      <c r="J71" s="2">
        <v>12</v>
      </c>
      <c r="K71" t="s">
        <v>1807</v>
      </c>
      <c r="L71" t="str">
        <f>INDEX(Dispodaten2!B:B,MATCH(C71,Dispodaten2!A:A,0))</f>
        <v>PD</v>
      </c>
    </row>
    <row r="72" spans="1:12" ht="13.5" hidden="1" x14ac:dyDescent="0.2">
      <c r="A72" t="s">
        <v>0</v>
      </c>
      <c r="B72" t="s">
        <v>1</v>
      </c>
      <c r="C72" t="s">
        <v>388</v>
      </c>
      <c r="D72" s="10" t="e">
        <f>INDEX(#REF!,MATCH(Validade!C72,#REF!,0))</f>
        <v>#REF!</v>
      </c>
      <c r="E72" s="10" t="e">
        <f>INDEX(#REF!,MATCH(Validade!C72,#REF!,0))</f>
        <v>#REF!</v>
      </c>
      <c r="F72" t="s">
        <v>389</v>
      </c>
      <c r="G72" t="s">
        <v>391</v>
      </c>
      <c r="H72" s="1"/>
      <c r="I72" s="1"/>
      <c r="J72" s="2">
        <v>792975</v>
      </c>
      <c r="K72" t="s">
        <v>390</v>
      </c>
      <c r="L72" t="str">
        <f>INDEX(Dispodaten2!B:B,MATCH(C72,Dispodaten2!A:A,0))</f>
        <v>PD</v>
      </c>
    </row>
    <row r="73" spans="1:12" ht="13.5" hidden="1" x14ac:dyDescent="0.2">
      <c r="A73" t="s">
        <v>0</v>
      </c>
      <c r="B73" t="s">
        <v>729</v>
      </c>
      <c r="C73" t="s">
        <v>1151</v>
      </c>
      <c r="D73" s="10" t="e">
        <f>INDEX(#REF!,MATCH(Validade!C73,#REF!,0))</f>
        <v>#REF!</v>
      </c>
      <c r="E73" s="10" t="e">
        <f>INDEX(#REF!,MATCH(Validade!C73,#REF!,0))</f>
        <v>#REF!</v>
      </c>
      <c r="F73" t="s">
        <v>1152</v>
      </c>
      <c r="G73" t="s">
        <v>1132</v>
      </c>
      <c r="H73" s="1"/>
      <c r="I73" s="1"/>
      <c r="J73" s="2">
        <v>200</v>
      </c>
      <c r="K73" t="s">
        <v>1131</v>
      </c>
      <c r="L73" t="str">
        <f>INDEX(Dispodaten2!B:B,MATCH(C73,Dispodaten2!A:A,0))</f>
        <v>PD</v>
      </c>
    </row>
    <row r="74" spans="1:12" ht="13.5" hidden="1" x14ac:dyDescent="0.2">
      <c r="A74" t="s">
        <v>0</v>
      </c>
      <c r="B74" t="s">
        <v>729</v>
      </c>
      <c r="C74" t="s">
        <v>1129</v>
      </c>
      <c r="D74" s="10" t="e">
        <f>INDEX(#REF!,MATCH(Validade!C74,#REF!,0))</f>
        <v>#REF!</v>
      </c>
      <c r="E74" s="10" t="e">
        <f>INDEX(#REF!,MATCH(Validade!C74,#REF!,0))</f>
        <v>#REF!</v>
      </c>
      <c r="F74" t="s">
        <v>1130</v>
      </c>
      <c r="G74" t="s">
        <v>1132</v>
      </c>
      <c r="H74" s="1"/>
      <c r="I74" s="1"/>
      <c r="J74" s="2">
        <v>80</v>
      </c>
      <c r="K74" t="s">
        <v>1131</v>
      </c>
      <c r="L74" t="str">
        <f>INDEX(Dispodaten2!B:B,MATCH(C74,Dispodaten2!A:A,0))</f>
        <v>PD</v>
      </c>
    </row>
    <row r="75" spans="1:12" ht="13.5" hidden="1" x14ac:dyDescent="0.2">
      <c r="A75" t="s">
        <v>1752</v>
      </c>
      <c r="B75" t="s">
        <v>729</v>
      </c>
      <c r="C75" t="s">
        <v>1912</v>
      </c>
      <c r="D75" s="10" t="e">
        <f>INDEX(#REF!,MATCH(Validade!C75,#REF!,0))</f>
        <v>#REF!</v>
      </c>
      <c r="E75" s="10" t="e">
        <f>INDEX(#REF!,MATCH(Validade!C75,#REF!,0))</f>
        <v>#REF!</v>
      </c>
      <c r="F75" t="s">
        <v>1913</v>
      </c>
      <c r="G75" t="s">
        <v>1915</v>
      </c>
      <c r="H75" s="1">
        <v>45770</v>
      </c>
      <c r="I75" s="1">
        <v>45398</v>
      </c>
      <c r="J75" s="2">
        <v>2000</v>
      </c>
      <c r="K75" t="s">
        <v>1914</v>
      </c>
      <c r="L75" t="str">
        <f>INDEX(Dispodaten2!B:B,MATCH(C75,Dispodaten2!A:A,0))</f>
        <v>V1</v>
      </c>
    </row>
    <row r="76" spans="1:12" ht="13.5" hidden="1" x14ac:dyDescent="0.2">
      <c r="A76" t="s">
        <v>1752</v>
      </c>
      <c r="B76" t="s">
        <v>729</v>
      </c>
      <c r="C76" t="s">
        <v>1929</v>
      </c>
      <c r="D76" s="10" t="e">
        <f>INDEX(#REF!,MATCH(Validade!C76,#REF!,0))</f>
        <v>#REF!</v>
      </c>
      <c r="E76" s="10" t="e">
        <f>INDEX(#REF!,MATCH(Validade!C76,#REF!,0))</f>
        <v>#REF!</v>
      </c>
      <c r="F76" t="s">
        <v>1930</v>
      </c>
      <c r="G76" t="s">
        <v>1931</v>
      </c>
      <c r="H76" s="1">
        <v>47011</v>
      </c>
      <c r="I76" s="1">
        <v>45184</v>
      </c>
      <c r="J76" s="2">
        <v>2600</v>
      </c>
      <c r="K76" t="s">
        <v>1006</v>
      </c>
      <c r="L76" t="str">
        <f>INDEX(Dispodaten2!B:B,MATCH(C76,Dispodaten2!A:A,0))</f>
        <v>PD</v>
      </c>
    </row>
    <row r="77" spans="1:12" ht="13.5" hidden="1" x14ac:dyDescent="0.2">
      <c r="A77" t="s">
        <v>1752</v>
      </c>
      <c r="B77" t="s">
        <v>729</v>
      </c>
      <c r="C77" t="s">
        <v>1943</v>
      </c>
      <c r="D77" s="10" t="e">
        <f>INDEX(#REF!,MATCH(Validade!C77,#REF!,0))</f>
        <v>#REF!</v>
      </c>
      <c r="E77" s="10" t="e">
        <f>INDEX(#REF!,MATCH(Validade!C77,#REF!,0))</f>
        <v>#REF!</v>
      </c>
      <c r="F77" t="s">
        <v>1944</v>
      </c>
      <c r="G77" t="s">
        <v>1945</v>
      </c>
      <c r="H77" s="1">
        <v>47248</v>
      </c>
      <c r="I77" s="1">
        <v>45422</v>
      </c>
      <c r="J77" s="2">
        <v>4953000</v>
      </c>
      <c r="K77" t="s">
        <v>1006</v>
      </c>
      <c r="L77" t="str">
        <f>INDEX(Dispodaten2!B:B,MATCH(C77,Dispodaten2!A:A,0))</f>
        <v>PD</v>
      </c>
    </row>
    <row r="78" spans="1:12" ht="13.5" hidden="1" x14ac:dyDescent="0.2">
      <c r="A78" t="s">
        <v>1752</v>
      </c>
      <c r="B78" t="s">
        <v>729</v>
      </c>
      <c r="C78" t="s">
        <v>1947</v>
      </c>
      <c r="D78" s="10" t="e">
        <f>INDEX(#REF!,MATCH(Validade!C78,#REF!,0))</f>
        <v>#REF!</v>
      </c>
      <c r="E78" s="10" t="e">
        <f>INDEX(#REF!,MATCH(Validade!C78,#REF!,0))</f>
        <v>#REF!</v>
      </c>
      <c r="F78" t="s">
        <v>1948</v>
      </c>
      <c r="G78" t="s">
        <v>1949</v>
      </c>
      <c r="H78" s="1">
        <v>47126</v>
      </c>
      <c r="I78" s="1">
        <v>45299</v>
      </c>
      <c r="J78" s="2">
        <v>480</v>
      </c>
      <c r="K78" t="s">
        <v>1006</v>
      </c>
      <c r="L78" t="str">
        <f>INDEX(Dispodaten2!B:B,MATCH(C78,Dispodaten2!A:A,0))</f>
        <v>PD</v>
      </c>
    </row>
    <row r="79" spans="1:12" ht="13.5" hidden="1" x14ac:dyDescent="0.2">
      <c r="A79" t="s">
        <v>0</v>
      </c>
      <c r="B79" t="s">
        <v>729</v>
      </c>
      <c r="C79" t="s">
        <v>1633</v>
      </c>
      <c r="D79" s="10" t="e">
        <f>INDEX(#REF!,MATCH(Validade!C79,#REF!,0))</f>
        <v>#REF!</v>
      </c>
      <c r="E79" s="10" t="e">
        <f>INDEX(#REF!,MATCH(Validade!C79,#REF!,0))</f>
        <v>#REF!</v>
      </c>
      <c r="F79" t="s">
        <v>1634</v>
      </c>
      <c r="G79" t="s">
        <v>1635</v>
      </c>
      <c r="H79" s="1">
        <v>45777</v>
      </c>
      <c r="I79" s="1">
        <v>45838</v>
      </c>
      <c r="J79" s="2">
        <v>1330</v>
      </c>
      <c r="K79" t="s">
        <v>947</v>
      </c>
      <c r="L79" t="str">
        <f>INDEX(Dispodaten2!B:B,MATCH(C79,Dispodaten2!A:A,0))</f>
        <v>V1</v>
      </c>
    </row>
    <row r="80" spans="1:12" ht="13.5" hidden="1" x14ac:dyDescent="0.2">
      <c r="A80" t="s">
        <v>0</v>
      </c>
      <c r="B80" t="s">
        <v>729</v>
      </c>
      <c r="C80" t="s">
        <v>945</v>
      </c>
      <c r="D80" s="10" t="e">
        <f>INDEX(#REF!,MATCH(Validade!C80,#REF!,0))</f>
        <v>#REF!</v>
      </c>
      <c r="E80" s="10" t="e">
        <f>INDEX(#REF!,MATCH(Validade!C80,#REF!,0))</f>
        <v>#REF!</v>
      </c>
      <c r="F80" t="s">
        <v>946</v>
      </c>
      <c r="G80" t="s">
        <v>948</v>
      </c>
      <c r="H80" s="1">
        <v>45777</v>
      </c>
      <c r="I80" s="1"/>
      <c r="J80" s="2">
        <v>2</v>
      </c>
      <c r="K80" t="s">
        <v>947</v>
      </c>
      <c r="L80" t="str">
        <f>INDEX(Dispodaten2!B:B,MATCH(C80,Dispodaten2!A:A,0))</f>
        <v>V1</v>
      </c>
    </row>
    <row r="81" spans="1:12" ht="13.5" hidden="1" x14ac:dyDescent="0.2">
      <c r="A81" t="s">
        <v>0</v>
      </c>
      <c r="B81" t="s">
        <v>729</v>
      </c>
      <c r="C81" t="s">
        <v>965</v>
      </c>
      <c r="D81" s="10" t="e">
        <f>INDEX(#REF!,MATCH(Validade!C81,#REF!,0))</f>
        <v>#REF!</v>
      </c>
      <c r="E81" s="10" t="e">
        <f>INDEX(#REF!,MATCH(Validade!C81,#REF!,0))</f>
        <v>#REF!</v>
      </c>
      <c r="F81" t="s">
        <v>966</v>
      </c>
      <c r="G81" t="s">
        <v>967</v>
      </c>
      <c r="H81" s="1">
        <v>45777</v>
      </c>
      <c r="I81" s="1">
        <v>45777</v>
      </c>
      <c r="J81" s="2">
        <v>2</v>
      </c>
      <c r="K81" t="s">
        <v>947</v>
      </c>
      <c r="L81" t="str">
        <f>INDEX(Dispodaten2!B:B,MATCH(C81,Dispodaten2!A:A,0))</f>
        <v>V1</v>
      </c>
    </row>
    <row r="82" spans="1:12" ht="13.5" hidden="1" x14ac:dyDescent="0.2">
      <c r="A82" t="s">
        <v>0</v>
      </c>
      <c r="B82" t="s">
        <v>729</v>
      </c>
      <c r="C82" t="s">
        <v>1642</v>
      </c>
      <c r="D82" s="10" t="e">
        <f>INDEX(#REF!,MATCH(Validade!C82,#REF!,0))</f>
        <v>#REF!</v>
      </c>
      <c r="E82" s="10" t="e">
        <f>INDEX(#REF!,MATCH(Validade!C82,#REF!,0))</f>
        <v>#REF!</v>
      </c>
      <c r="F82" t="s">
        <v>1643</v>
      </c>
      <c r="G82" t="s">
        <v>1644</v>
      </c>
      <c r="H82" s="1">
        <v>45838</v>
      </c>
      <c r="I82" s="1">
        <v>45838</v>
      </c>
      <c r="J82" s="2">
        <v>400</v>
      </c>
      <c r="K82" t="s">
        <v>947</v>
      </c>
      <c r="L82" t="str">
        <f>INDEX(Dispodaten2!B:B,MATCH(C82,Dispodaten2!A:A,0))</f>
        <v>V1</v>
      </c>
    </row>
    <row r="83" spans="1:12" ht="13.5" hidden="1" x14ac:dyDescent="0.2">
      <c r="A83" t="s">
        <v>0</v>
      </c>
      <c r="B83" t="s">
        <v>729</v>
      </c>
      <c r="C83" t="s">
        <v>955</v>
      </c>
      <c r="D83" s="10" t="e">
        <f>INDEX(#REF!,MATCH(Validade!C83,#REF!,0))</f>
        <v>#REF!</v>
      </c>
      <c r="E83" s="10" t="e">
        <f>INDEX(#REF!,MATCH(Validade!C83,#REF!,0))</f>
        <v>#REF!</v>
      </c>
      <c r="F83" t="s">
        <v>956</v>
      </c>
      <c r="G83" t="s">
        <v>957</v>
      </c>
      <c r="H83" s="1">
        <v>45716</v>
      </c>
      <c r="I83" s="1"/>
      <c r="J83" s="2">
        <v>2</v>
      </c>
      <c r="K83" t="s">
        <v>947</v>
      </c>
      <c r="L83" t="str">
        <f>INDEX(Dispodaten2!B:B,MATCH(C83,Dispodaten2!A:A,0))</f>
        <v>V1</v>
      </c>
    </row>
    <row r="84" spans="1:12" ht="13.5" hidden="1" x14ac:dyDescent="0.2">
      <c r="A84" t="s">
        <v>0</v>
      </c>
      <c r="B84" t="s">
        <v>729</v>
      </c>
      <c r="C84" t="s">
        <v>949</v>
      </c>
      <c r="D84" s="10" t="e">
        <f>INDEX(#REF!,MATCH(Validade!C84,#REF!,0))</f>
        <v>#REF!</v>
      </c>
      <c r="E84" s="10" t="e">
        <f>INDEX(#REF!,MATCH(Validade!C84,#REF!,0))</f>
        <v>#REF!</v>
      </c>
      <c r="F84" t="s">
        <v>950</v>
      </c>
      <c r="G84" t="s">
        <v>951</v>
      </c>
      <c r="H84" s="1">
        <v>45716</v>
      </c>
      <c r="I84" s="1"/>
      <c r="J84" s="2">
        <v>1</v>
      </c>
      <c r="K84" t="s">
        <v>947</v>
      </c>
      <c r="L84" t="str">
        <f>INDEX(Dispodaten2!B:B,MATCH(C84,Dispodaten2!A:A,0))</f>
        <v>V1</v>
      </c>
    </row>
    <row r="85" spans="1:12" ht="13.5" hidden="1" x14ac:dyDescent="0.2">
      <c r="A85" t="s">
        <v>0</v>
      </c>
      <c r="B85" t="s">
        <v>729</v>
      </c>
      <c r="C85" t="s">
        <v>1636</v>
      </c>
      <c r="D85" s="10" t="e">
        <f>INDEX(#REF!,MATCH(Validade!C85,#REF!,0))</f>
        <v>#REF!</v>
      </c>
      <c r="E85" s="10" t="e">
        <f>INDEX(#REF!,MATCH(Validade!C85,#REF!,0))</f>
        <v>#REF!</v>
      </c>
      <c r="F85" t="s">
        <v>1637</v>
      </c>
      <c r="G85" t="s">
        <v>1638</v>
      </c>
      <c r="H85" s="1">
        <v>45777</v>
      </c>
      <c r="I85" s="1">
        <v>45777</v>
      </c>
      <c r="J85" s="2">
        <v>100</v>
      </c>
      <c r="K85" t="s">
        <v>947</v>
      </c>
      <c r="L85" t="str">
        <f>INDEX(Dispodaten2!B:B,MATCH(C85,Dispodaten2!A:A,0))</f>
        <v>PD</v>
      </c>
    </row>
    <row r="86" spans="1:12" ht="13.5" hidden="1" x14ac:dyDescent="0.2">
      <c r="A86" t="s">
        <v>0</v>
      </c>
      <c r="B86" t="s">
        <v>729</v>
      </c>
      <c r="C86" t="s">
        <v>1645</v>
      </c>
      <c r="D86" s="10" t="e">
        <f>INDEX(#REF!,MATCH(Validade!C86,#REF!,0))</f>
        <v>#REF!</v>
      </c>
      <c r="E86" s="10" t="e">
        <f>INDEX(#REF!,MATCH(Validade!C86,#REF!,0))</f>
        <v>#REF!</v>
      </c>
      <c r="F86" t="s">
        <v>1646</v>
      </c>
      <c r="G86" t="s">
        <v>1647</v>
      </c>
      <c r="H86" s="1">
        <v>45777</v>
      </c>
      <c r="I86" s="1">
        <v>45777</v>
      </c>
      <c r="J86" s="2">
        <v>200</v>
      </c>
      <c r="K86" t="s">
        <v>947</v>
      </c>
      <c r="L86" t="str">
        <f>INDEX(Dispodaten2!B:B,MATCH(C86,Dispodaten2!A:A,0))</f>
        <v>PD</v>
      </c>
    </row>
    <row r="87" spans="1:12" ht="13.5" hidden="1" x14ac:dyDescent="0.2">
      <c r="A87" t="s">
        <v>0</v>
      </c>
      <c r="B87" t="s">
        <v>729</v>
      </c>
      <c r="C87" t="s">
        <v>968</v>
      </c>
      <c r="D87" s="10" t="e">
        <f>INDEX(#REF!,MATCH(Validade!C87,#REF!,0))</f>
        <v>#REF!</v>
      </c>
      <c r="E87" s="10" t="e">
        <f>INDEX(#REF!,MATCH(Validade!C87,#REF!,0))</f>
        <v>#REF!</v>
      </c>
      <c r="F87" t="s">
        <v>969</v>
      </c>
      <c r="G87" t="s">
        <v>970</v>
      </c>
      <c r="H87" s="1">
        <v>45838</v>
      </c>
      <c r="I87" s="1">
        <v>45838</v>
      </c>
      <c r="J87" s="2">
        <v>2</v>
      </c>
      <c r="K87" t="s">
        <v>947</v>
      </c>
      <c r="L87" t="str">
        <f>INDEX(Dispodaten2!B:B,MATCH(C87,Dispodaten2!A:A,0))</f>
        <v>V1</v>
      </c>
    </row>
    <row r="88" spans="1:12" ht="13.5" hidden="1" x14ac:dyDescent="0.2">
      <c r="A88" t="s">
        <v>0</v>
      </c>
      <c r="B88" t="s">
        <v>729</v>
      </c>
      <c r="C88" t="s">
        <v>952</v>
      </c>
      <c r="D88" s="10" t="e">
        <f>INDEX(#REF!,MATCH(Validade!C88,#REF!,0))</f>
        <v>#REF!</v>
      </c>
      <c r="E88" s="10" t="e">
        <f>INDEX(#REF!,MATCH(Validade!C88,#REF!,0))</f>
        <v>#REF!</v>
      </c>
      <c r="F88" t="s">
        <v>953</v>
      </c>
      <c r="G88" t="s">
        <v>954</v>
      </c>
      <c r="H88" s="1">
        <v>45838</v>
      </c>
      <c r="I88" s="1">
        <v>45838</v>
      </c>
      <c r="J88" s="2">
        <v>3</v>
      </c>
      <c r="K88" t="s">
        <v>947</v>
      </c>
      <c r="L88" t="str">
        <f>INDEX(Dispodaten2!B:B,MATCH(C88,Dispodaten2!A:A,0))</f>
        <v>V1</v>
      </c>
    </row>
    <row r="89" spans="1:12" ht="13.5" hidden="1" x14ac:dyDescent="0.2">
      <c r="A89" t="s">
        <v>0</v>
      </c>
      <c r="B89" t="s">
        <v>729</v>
      </c>
      <c r="C89" t="s">
        <v>1639</v>
      </c>
      <c r="D89" s="10" t="e">
        <f>INDEX(#REF!,MATCH(Validade!C89,#REF!,0))</f>
        <v>#REF!</v>
      </c>
      <c r="E89" s="10" t="e">
        <f>INDEX(#REF!,MATCH(Validade!C89,#REF!,0))</f>
        <v>#REF!</v>
      </c>
      <c r="F89" t="s">
        <v>1640</v>
      </c>
      <c r="G89" t="s">
        <v>1641</v>
      </c>
      <c r="H89" s="1">
        <v>45777</v>
      </c>
      <c r="I89" s="1"/>
      <c r="J89" s="2">
        <v>300</v>
      </c>
      <c r="K89" t="s">
        <v>947</v>
      </c>
      <c r="L89" t="str">
        <f>INDEX(Dispodaten2!B:B,MATCH(C89,Dispodaten2!A:A,0))</f>
        <v>V1</v>
      </c>
    </row>
    <row r="90" spans="1:12" ht="13.5" hidden="1" x14ac:dyDescent="0.2">
      <c r="A90" t="s">
        <v>1752</v>
      </c>
      <c r="B90" t="s">
        <v>729</v>
      </c>
      <c r="C90" t="s">
        <v>1400</v>
      </c>
      <c r="D90" s="10" t="e">
        <f>INDEX(#REF!,MATCH(Validade!C90,#REF!,0))</f>
        <v>#REF!</v>
      </c>
      <c r="E90" s="10" t="e">
        <f>INDEX(#REF!,MATCH(Validade!C90,#REF!,0))</f>
        <v>#REF!</v>
      </c>
      <c r="F90" t="s">
        <v>1401</v>
      </c>
      <c r="G90" t="s">
        <v>1968</v>
      </c>
      <c r="H90" s="1">
        <v>62458</v>
      </c>
      <c r="I90" s="1">
        <v>43895</v>
      </c>
      <c r="J90" s="2">
        <v>500</v>
      </c>
      <c r="K90" t="s">
        <v>1402</v>
      </c>
      <c r="L90" t="str">
        <f>INDEX(Dispodaten2!B:B,MATCH(C90,Dispodaten2!A:A,0))</f>
        <v>PD</v>
      </c>
    </row>
    <row r="91" spans="1:12" ht="13.5" hidden="1" x14ac:dyDescent="0.2">
      <c r="A91" t="s">
        <v>0</v>
      </c>
      <c r="B91" t="s">
        <v>729</v>
      </c>
      <c r="C91" t="s">
        <v>715</v>
      </c>
      <c r="D91" s="10" t="e">
        <f>INDEX(#REF!,MATCH(Validade!C91,#REF!,0))</f>
        <v>#REF!</v>
      </c>
      <c r="E91" s="10" t="e">
        <f>INDEX(#REF!,MATCH(Validade!C91,#REF!,0))</f>
        <v>#REF!</v>
      </c>
      <c r="F91" t="s">
        <v>716</v>
      </c>
      <c r="G91" t="s">
        <v>717</v>
      </c>
      <c r="H91" s="1">
        <v>47394</v>
      </c>
      <c r="I91" s="1"/>
      <c r="J91" s="2">
        <v>11800</v>
      </c>
      <c r="K91" t="s">
        <v>451</v>
      </c>
      <c r="L91" t="str">
        <f>INDEX(Dispodaten2!B:B,MATCH(C91,Dispodaten2!A:A,0))</f>
        <v>V1</v>
      </c>
    </row>
    <row r="92" spans="1:12" ht="13.5" hidden="1" x14ac:dyDescent="0.2">
      <c r="A92" t="s">
        <v>0</v>
      </c>
      <c r="B92" t="s">
        <v>1</v>
      </c>
      <c r="C92" t="s">
        <v>449</v>
      </c>
      <c r="D92" s="10" t="e">
        <f>INDEX(#REF!,MATCH(Validade!C92,#REF!,0))</f>
        <v>#REF!</v>
      </c>
      <c r="E92" s="10" t="e">
        <f>INDEX(#REF!,MATCH(Validade!C92,#REF!,0))</f>
        <v>#REF!</v>
      </c>
      <c r="F92" t="s">
        <v>450</v>
      </c>
      <c r="G92" t="s">
        <v>452</v>
      </c>
      <c r="H92" s="1">
        <v>46176</v>
      </c>
      <c r="I92" s="1">
        <v>45446</v>
      </c>
      <c r="J92" s="2">
        <v>1455</v>
      </c>
      <c r="K92" t="s">
        <v>451</v>
      </c>
      <c r="L92" t="str">
        <f>INDEX(Dispodaten2!B:B,MATCH(C92,Dispodaten2!A:A,0))</f>
        <v>V1</v>
      </c>
    </row>
    <row r="93" spans="1:12" ht="13.5" hidden="1" x14ac:dyDescent="0.2">
      <c r="A93" t="s">
        <v>0</v>
      </c>
      <c r="B93" t="s">
        <v>729</v>
      </c>
      <c r="C93" t="s">
        <v>721</v>
      </c>
      <c r="D93" s="10" t="e">
        <f>INDEX(#REF!,MATCH(Validade!C93,#REF!,0))</f>
        <v>#REF!</v>
      </c>
      <c r="E93" s="10" t="e">
        <f>INDEX(#REF!,MATCH(Validade!C93,#REF!,0))</f>
        <v>#REF!</v>
      </c>
      <c r="F93" t="s">
        <v>722</v>
      </c>
      <c r="G93" t="s">
        <v>1700</v>
      </c>
      <c r="H93" s="1">
        <v>46233</v>
      </c>
      <c r="I93" s="1"/>
      <c r="J93" s="2">
        <v>1200</v>
      </c>
      <c r="K93" t="s">
        <v>451</v>
      </c>
      <c r="L93" t="str">
        <f>INDEX(Dispodaten2!B:B,MATCH(C93,Dispodaten2!A:A,0))</f>
        <v>V1</v>
      </c>
    </row>
    <row r="94" spans="1:12" ht="13.5" hidden="1" x14ac:dyDescent="0.2">
      <c r="A94" t="s">
        <v>1752</v>
      </c>
      <c r="B94" t="s">
        <v>729</v>
      </c>
      <c r="C94" t="s">
        <v>1770</v>
      </c>
      <c r="D94" s="10" t="e">
        <f>INDEX(#REF!,MATCH(Validade!C94,#REF!,0))</f>
        <v>#REF!</v>
      </c>
      <c r="E94" s="10" t="e">
        <f>INDEX(#REF!,MATCH(Validade!C94,#REF!,0))</f>
        <v>#REF!</v>
      </c>
      <c r="F94" t="s">
        <v>1771</v>
      </c>
      <c r="G94" t="s">
        <v>1772</v>
      </c>
      <c r="H94" s="1">
        <v>62458</v>
      </c>
      <c r="I94" s="1">
        <v>44880</v>
      </c>
      <c r="J94" s="2">
        <v>150</v>
      </c>
      <c r="K94" t="s">
        <v>177</v>
      </c>
      <c r="L94" t="str">
        <f>INDEX(Dispodaten2!B:B,MATCH(C94,Dispodaten2!A:A,0))</f>
        <v>PD</v>
      </c>
    </row>
    <row r="95" spans="1:12" ht="13.5" hidden="1" x14ac:dyDescent="0.2">
      <c r="A95" t="s">
        <v>1752</v>
      </c>
      <c r="B95" t="s">
        <v>729</v>
      </c>
      <c r="C95" t="s">
        <v>1933</v>
      </c>
      <c r="D95" s="10" t="e">
        <f>INDEX(#REF!,MATCH(Validade!C95,#REF!,0))</f>
        <v>#REF!</v>
      </c>
      <c r="E95" s="10" t="e">
        <f>INDEX(#REF!,MATCH(Validade!C95,#REF!,0))</f>
        <v>#REF!</v>
      </c>
      <c r="F95" t="s">
        <v>1934</v>
      </c>
      <c r="G95" t="s">
        <v>1935</v>
      </c>
      <c r="H95" s="1">
        <v>62458</v>
      </c>
      <c r="I95" s="1">
        <v>45057</v>
      </c>
      <c r="J95" s="2">
        <v>650</v>
      </c>
      <c r="K95" t="s">
        <v>177</v>
      </c>
      <c r="L95" t="str">
        <f>INDEX(Dispodaten2!B:B,MATCH(C95,Dispodaten2!A:A,0))</f>
        <v>V1</v>
      </c>
    </row>
    <row r="96" spans="1:12" ht="13.5" hidden="1" x14ac:dyDescent="0.2">
      <c r="A96" t="s">
        <v>1752</v>
      </c>
      <c r="B96" t="s">
        <v>729</v>
      </c>
      <c r="C96" t="s">
        <v>88</v>
      </c>
      <c r="D96" s="10" t="e">
        <f>INDEX(#REF!,MATCH(Validade!C96,#REF!,0))</f>
        <v>#REF!</v>
      </c>
      <c r="E96" s="10" t="e">
        <f>INDEX(#REF!,MATCH(Validade!C96,#REF!,0))</f>
        <v>#REF!</v>
      </c>
      <c r="F96" t="s">
        <v>89</v>
      </c>
      <c r="G96" t="s">
        <v>1877</v>
      </c>
      <c r="H96" s="1">
        <v>62458</v>
      </c>
      <c r="I96" s="1">
        <v>45593</v>
      </c>
      <c r="J96" s="2">
        <v>2100</v>
      </c>
      <c r="K96" t="s">
        <v>177</v>
      </c>
      <c r="L96" t="str">
        <f>INDEX(Dispodaten2!B:B,MATCH(C96,Dispodaten2!A:A,0))</f>
        <v>V1</v>
      </c>
    </row>
    <row r="97" spans="1:12" ht="13.5" hidden="1" x14ac:dyDescent="0.2">
      <c r="A97" t="s">
        <v>1752</v>
      </c>
      <c r="B97" t="s">
        <v>729</v>
      </c>
      <c r="C97" t="s">
        <v>1900</v>
      </c>
      <c r="D97" s="10" t="e">
        <f>INDEX(#REF!,MATCH(Validade!C97,#REF!,0))</f>
        <v>#REF!</v>
      </c>
      <c r="E97" s="10" t="e">
        <f>INDEX(#REF!,MATCH(Validade!C97,#REF!,0))</f>
        <v>#REF!</v>
      </c>
      <c r="F97" t="s">
        <v>1901</v>
      </c>
      <c r="G97" t="s">
        <v>1902</v>
      </c>
      <c r="H97" s="1">
        <v>62458</v>
      </c>
      <c r="I97" s="1"/>
      <c r="J97" s="2">
        <v>525</v>
      </c>
      <c r="K97" t="s">
        <v>177</v>
      </c>
      <c r="L97" t="str">
        <f>INDEX(Dispodaten2!B:B,MATCH(C97,Dispodaten2!A:A,0))</f>
        <v>V1</v>
      </c>
    </row>
    <row r="98" spans="1:12" ht="13.5" hidden="1" x14ac:dyDescent="0.2">
      <c r="A98" t="s">
        <v>1752</v>
      </c>
      <c r="B98" t="s">
        <v>729</v>
      </c>
      <c r="C98" t="s">
        <v>1895</v>
      </c>
      <c r="D98" s="10" t="e">
        <f>INDEX(#REF!,MATCH(Validade!C98,#REF!,0))</f>
        <v>#REF!</v>
      </c>
      <c r="E98" s="10" t="e">
        <f>INDEX(#REF!,MATCH(Validade!C98,#REF!,0))</f>
        <v>#REF!</v>
      </c>
      <c r="F98" t="s">
        <v>1896</v>
      </c>
      <c r="G98" t="s">
        <v>1897</v>
      </c>
      <c r="H98" s="1">
        <v>62458</v>
      </c>
      <c r="I98" s="1">
        <v>44013</v>
      </c>
      <c r="J98" s="2">
        <v>16</v>
      </c>
      <c r="K98" t="s">
        <v>1898</v>
      </c>
      <c r="L98" t="str">
        <f>INDEX(Dispodaten2!B:B,MATCH(C98,Dispodaten2!A:A,0))</f>
        <v>V1</v>
      </c>
    </row>
    <row r="99" spans="1:12" ht="13.5" hidden="1" x14ac:dyDescent="0.2">
      <c r="A99" t="s">
        <v>0</v>
      </c>
      <c r="B99" t="s">
        <v>729</v>
      </c>
      <c r="C99" t="s">
        <v>423</v>
      </c>
      <c r="D99" s="10" t="e">
        <f>INDEX(#REF!,MATCH(Validade!C99,#REF!,0))</f>
        <v>#REF!</v>
      </c>
      <c r="E99" s="10" t="e">
        <f>INDEX(#REF!,MATCH(Validade!C99,#REF!,0))</f>
        <v>#REF!</v>
      </c>
      <c r="F99" t="s">
        <v>424</v>
      </c>
      <c r="G99" t="s">
        <v>425</v>
      </c>
      <c r="H99" s="1">
        <v>46125</v>
      </c>
      <c r="I99" s="1"/>
      <c r="J99" s="2">
        <v>2</v>
      </c>
      <c r="K99" t="s">
        <v>401</v>
      </c>
      <c r="L99" t="str">
        <f>INDEX(Dispodaten2!B:B,MATCH(C99,Dispodaten2!A:A,0))</f>
        <v>PD</v>
      </c>
    </row>
    <row r="100" spans="1:12" ht="13.5" hidden="1" x14ac:dyDescent="0.2">
      <c r="A100" t="s">
        <v>0</v>
      </c>
      <c r="B100" t="s">
        <v>1980</v>
      </c>
      <c r="C100" t="s">
        <v>417</v>
      </c>
      <c r="D100" s="10" t="e">
        <f>INDEX(#REF!,MATCH(Validade!C100,#REF!,0))</f>
        <v>#REF!</v>
      </c>
      <c r="E100" s="10" t="e">
        <f>INDEX(#REF!,MATCH(Validade!C100,#REF!,0))</f>
        <v>#REF!</v>
      </c>
      <c r="F100" t="s">
        <v>418</v>
      </c>
      <c r="G100" t="s">
        <v>419</v>
      </c>
      <c r="H100" s="1">
        <v>45886</v>
      </c>
      <c r="I100" s="1"/>
      <c r="J100" s="2">
        <v>1.012</v>
      </c>
      <c r="K100" t="s">
        <v>401</v>
      </c>
      <c r="L100" t="str">
        <f>INDEX(Dispodaten2!B:B,MATCH(C100,Dispodaten2!A:A,0))</f>
        <v>PD</v>
      </c>
    </row>
    <row r="101" spans="1:12" ht="13.5" hidden="1" x14ac:dyDescent="0.2">
      <c r="A101" t="s">
        <v>0</v>
      </c>
      <c r="B101" t="s">
        <v>729</v>
      </c>
      <c r="C101" t="s">
        <v>429</v>
      </c>
      <c r="D101" s="10" t="e">
        <f>INDEX(#REF!,MATCH(Validade!C101,#REF!,0))</f>
        <v>#REF!</v>
      </c>
      <c r="E101" s="10" t="e">
        <f>INDEX(#REF!,MATCH(Validade!C101,#REF!,0))</f>
        <v>#REF!</v>
      </c>
      <c r="F101" t="s">
        <v>430</v>
      </c>
      <c r="G101" t="s">
        <v>431</v>
      </c>
      <c r="H101" s="1">
        <v>46109</v>
      </c>
      <c r="I101" s="1">
        <v>45379</v>
      </c>
      <c r="J101" s="2">
        <v>5</v>
      </c>
      <c r="K101" t="s">
        <v>401</v>
      </c>
      <c r="L101" t="str">
        <f>INDEX(Dispodaten2!B:B,MATCH(C101,Dispodaten2!A:A,0))</f>
        <v>PD</v>
      </c>
    </row>
    <row r="102" spans="1:12" ht="13.5" hidden="1" x14ac:dyDescent="0.2">
      <c r="A102" t="s">
        <v>0</v>
      </c>
      <c r="B102" t="s">
        <v>1980</v>
      </c>
      <c r="C102" t="s">
        <v>426</v>
      </c>
      <c r="D102" s="10" t="e">
        <f>INDEX(#REF!,MATCH(Validade!C102,#REF!,0))</f>
        <v>#REF!</v>
      </c>
      <c r="E102" s="10" t="e">
        <f>INDEX(#REF!,MATCH(Validade!C102,#REF!,0))</f>
        <v>#REF!</v>
      </c>
      <c r="F102" t="s">
        <v>427</v>
      </c>
      <c r="G102" t="s">
        <v>428</v>
      </c>
      <c r="H102" s="1">
        <v>46109</v>
      </c>
      <c r="I102" s="1">
        <v>45379</v>
      </c>
      <c r="J102" s="2">
        <v>1.6439999999999999</v>
      </c>
      <c r="K102" t="s">
        <v>401</v>
      </c>
      <c r="L102" t="str">
        <f>INDEX(Dispodaten2!B:B,MATCH(C102,Dispodaten2!A:A,0))</f>
        <v>PD</v>
      </c>
    </row>
    <row r="103" spans="1:12" ht="13.5" hidden="1" x14ac:dyDescent="0.2">
      <c r="A103" t="s">
        <v>0</v>
      </c>
      <c r="B103" t="s">
        <v>729</v>
      </c>
      <c r="C103" t="s">
        <v>420</v>
      </c>
      <c r="D103" s="10" t="e">
        <f>INDEX(#REF!,MATCH(Validade!C103,#REF!,0))</f>
        <v>#REF!</v>
      </c>
      <c r="E103" s="10" t="e">
        <f>INDEX(#REF!,MATCH(Validade!C103,#REF!,0))</f>
        <v>#REF!</v>
      </c>
      <c r="F103" t="s">
        <v>421</v>
      </c>
      <c r="G103" t="s">
        <v>422</v>
      </c>
      <c r="H103" s="1">
        <v>46101</v>
      </c>
      <c r="I103" s="1">
        <v>45379</v>
      </c>
      <c r="J103" s="2">
        <v>1.1000000000000001</v>
      </c>
      <c r="K103" t="s">
        <v>401</v>
      </c>
      <c r="L103" t="str">
        <f>INDEX(Dispodaten2!B:B,MATCH(C103,Dispodaten2!A:A,0))</f>
        <v>PD</v>
      </c>
    </row>
    <row r="104" spans="1:12" ht="13.5" hidden="1" x14ac:dyDescent="0.2">
      <c r="A104" t="s">
        <v>0</v>
      </c>
      <c r="B104" t="s">
        <v>729</v>
      </c>
      <c r="C104" t="s">
        <v>432</v>
      </c>
      <c r="D104" s="10" t="e">
        <f>INDEX(#REF!,MATCH(Validade!C104,#REF!,0))</f>
        <v>#REF!</v>
      </c>
      <c r="E104" s="10" t="e">
        <f>INDEX(#REF!,MATCH(Validade!C104,#REF!,0))</f>
        <v>#REF!</v>
      </c>
      <c r="F104" t="s">
        <v>433</v>
      </c>
      <c r="G104" t="s">
        <v>434</v>
      </c>
      <c r="H104" s="1">
        <v>46125</v>
      </c>
      <c r="I104" s="1"/>
      <c r="J104" s="2">
        <v>2.44</v>
      </c>
      <c r="K104" t="s">
        <v>401</v>
      </c>
      <c r="L104" t="str">
        <f>INDEX(Dispodaten2!B:B,MATCH(C104,Dispodaten2!A:A,0))</f>
        <v>PD</v>
      </c>
    </row>
    <row r="105" spans="1:12" ht="13.5" hidden="1" x14ac:dyDescent="0.2">
      <c r="A105" t="s">
        <v>0</v>
      </c>
      <c r="B105" t="s">
        <v>729</v>
      </c>
      <c r="C105" t="s">
        <v>406</v>
      </c>
      <c r="D105" s="10" t="e">
        <f>INDEX(#REF!,MATCH(Validade!C105,#REF!,0))</f>
        <v>#REF!</v>
      </c>
      <c r="E105" s="10" t="e">
        <f>INDEX(#REF!,MATCH(Validade!C105,#REF!,0))</f>
        <v>#REF!</v>
      </c>
      <c r="F105" t="s">
        <v>407</v>
      </c>
      <c r="G105" t="s">
        <v>408</v>
      </c>
      <c r="H105" s="1">
        <v>46109</v>
      </c>
      <c r="I105" s="1">
        <v>45379</v>
      </c>
      <c r="J105" s="2">
        <v>2.65</v>
      </c>
      <c r="K105" t="s">
        <v>401</v>
      </c>
      <c r="L105" t="str">
        <f>INDEX(Dispodaten2!B:B,MATCH(C105,Dispodaten2!A:A,0))</f>
        <v>PD</v>
      </c>
    </row>
    <row r="106" spans="1:12" ht="13.5" hidden="1" x14ac:dyDescent="0.2">
      <c r="A106" t="s">
        <v>0</v>
      </c>
      <c r="B106" t="s">
        <v>1980</v>
      </c>
      <c r="C106" t="s">
        <v>409</v>
      </c>
      <c r="D106" s="10" t="e">
        <f>INDEX(#REF!,MATCH(Validade!C106,#REF!,0))</f>
        <v>#REF!</v>
      </c>
      <c r="E106" s="10" t="e">
        <f>INDEX(#REF!,MATCH(Validade!C106,#REF!,0))</f>
        <v>#REF!</v>
      </c>
      <c r="F106" t="s">
        <v>410</v>
      </c>
      <c r="G106" t="s">
        <v>1358</v>
      </c>
      <c r="H106" s="1">
        <v>46137</v>
      </c>
      <c r="I106" s="1">
        <v>45407</v>
      </c>
      <c r="J106" s="2">
        <v>0.82299999999999995</v>
      </c>
      <c r="K106" t="s">
        <v>401</v>
      </c>
      <c r="L106" t="str">
        <f>INDEX(Dispodaten2!B:B,MATCH(C106,Dispodaten2!A:A,0))</f>
        <v>PD</v>
      </c>
    </row>
    <row r="107" spans="1:12" ht="13.5" hidden="1" x14ac:dyDescent="0.2">
      <c r="A107" t="s">
        <v>0</v>
      </c>
      <c r="B107" t="s">
        <v>1</v>
      </c>
      <c r="C107" t="s">
        <v>414</v>
      </c>
      <c r="D107" s="10" t="e">
        <f>INDEX(#REF!,MATCH(Validade!C107,#REF!,0))</f>
        <v>#REF!</v>
      </c>
      <c r="E107" s="10" t="e">
        <f>INDEX(#REF!,MATCH(Validade!C107,#REF!,0))</f>
        <v>#REF!</v>
      </c>
      <c r="F107" t="s">
        <v>415</v>
      </c>
      <c r="G107" t="s">
        <v>416</v>
      </c>
      <c r="H107" s="1">
        <v>45946</v>
      </c>
      <c r="I107" s="1">
        <v>45215</v>
      </c>
      <c r="J107" s="2">
        <v>47.9</v>
      </c>
      <c r="K107" t="s">
        <v>401</v>
      </c>
      <c r="L107" t="str">
        <f>INDEX(Dispodaten2!B:B,MATCH(C107,Dispodaten2!A:A,0))</f>
        <v>PD</v>
      </c>
    </row>
    <row r="108" spans="1:12" ht="13.5" hidden="1" x14ac:dyDescent="0.2">
      <c r="A108" t="s">
        <v>1752</v>
      </c>
      <c r="B108" t="s">
        <v>729</v>
      </c>
      <c r="C108" t="s">
        <v>1871</v>
      </c>
      <c r="D108" s="10" t="e">
        <f>INDEX(#REF!,MATCH(Validade!C108,#REF!,0))</f>
        <v>#REF!</v>
      </c>
      <c r="E108" s="10" t="e">
        <f>INDEX(#REF!,MATCH(Validade!C108,#REF!,0))</f>
        <v>#REF!</v>
      </c>
      <c r="F108" t="s">
        <v>1872</v>
      </c>
      <c r="G108" t="s">
        <v>1873</v>
      </c>
      <c r="H108" s="1">
        <v>46565</v>
      </c>
      <c r="I108" s="1">
        <v>45470</v>
      </c>
      <c r="J108" s="2">
        <v>33</v>
      </c>
      <c r="K108" t="s">
        <v>713</v>
      </c>
      <c r="L108" t="str">
        <f>INDEX(Dispodaten2!B:B,MATCH(C108,Dispodaten2!A:A,0))</f>
        <v>V1</v>
      </c>
    </row>
    <row r="109" spans="1:12" ht="13.5" hidden="1" x14ac:dyDescent="0.2">
      <c r="A109" t="s">
        <v>0</v>
      </c>
      <c r="B109" t="s">
        <v>729</v>
      </c>
      <c r="C109" t="s">
        <v>1698</v>
      </c>
      <c r="D109" s="10" t="e">
        <f>INDEX(#REF!,MATCH(Validade!C109,#REF!,0))</f>
        <v>#REF!</v>
      </c>
      <c r="E109" s="10" t="e">
        <f>INDEX(#REF!,MATCH(Validade!C109,#REF!,0))</f>
        <v>#REF!</v>
      </c>
      <c r="F109" t="s">
        <v>1699</v>
      </c>
      <c r="G109" t="s">
        <v>1695</v>
      </c>
      <c r="H109" s="1">
        <v>47268</v>
      </c>
      <c r="I109" s="1"/>
      <c r="J109" s="2">
        <v>1300</v>
      </c>
      <c r="K109" t="s">
        <v>713</v>
      </c>
      <c r="L109" t="str">
        <f>INDEX(Dispodaten2!B:B,MATCH(C109,Dispodaten2!A:A,0))</f>
        <v>V1</v>
      </c>
    </row>
    <row r="110" spans="1:12" ht="13.5" hidden="1" x14ac:dyDescent="0.2">
      <c r="A110" t="s">
        <v>0</v>
      </c>
      <c r="B110" t="s">
        <v>729</v>
      </c>
      <c r="C110" t="s">
        <v>1692</v>
      </c>
      <c r="D110" s="10" t="e">
        <f>INDEX(#REF!,MATCH(Validade!C110,#REF!,0))</f>
        <v>#REF!</v>
      </c>
      <c r="E110" s="10" t="e">
        <f>INDEX(#REF!,MATCH(Validade!C110,#REF!,0))</f>
        <v>#REF!</v>
      </c>
      <c r="F110" t="s">
        <v>1693</v>
      </c>
      <c r="G110" t="s">
        <v>1694</v>
      </c>
      <c r="H110" s="1">
        <v>47268</v>
      </c>
      <c r="I110" s="1">
        <v>45413</v>
      </c>
      <c r="J110" s="2">
        <v>5000</v>
      </c>
      <c r="K110" t="s">
        <v>713</v>
      </c>
      <c r="L110" t="str">
        <f>INDEX(Dispodaten2!B:B,MATCH(C110,Dispodaten2!A:A,0))</f>
        <v>V1</v>
      </c>
    </row>
    <row r="111" spans="1:12" ht="13.5" hidden="1" x14ac:dyDescent="0.2">
      <c r="A111" t="s">
        <v>0</v>
      </c>
      <c r="B111" t="s">
        <v>729</v>
      </c>
      <c r="C111" t="s">
        <v>711</v>
      </c>
      <c r="D111" s="10" t="e">
        <f>INDEX(#REF!,MATCH(Validade!C111,#REF!,0))</f>
        <v>#REF!</v>
      </c>
      <c r="E111" s="10" t="e">
        <f>INDEX(#REF!,MATCH(Validade!C111,#REF!,0))</f>
        <v>#REF!</v>
      </c>
      <c r="F111" t="s">
        <v>712</v>
      </c>
      <c r="G111" t="s">
        <v>1695</v>
      </c>
      <c r="H111" s="1">
        <v>47239</v>
      </c>
      <c r="I111" s="1">
        <v>45413</v>
      </c>
      <c r="J111" s="2">
        <v>1800</v>
      </c>
      <c r="K111" t="s">
        <v>713</v>
      </c>
      <c r="L111" t="str">
        <f>INDEX(Dispodaten2!B:B,MATCH(C111,Dispodaten2!A:A,0))</f>
        <v>V1</v>
      </c>
    </row>
    <row r="112" spans="1:12" ht="13.5" hidden="1" x14ac:dyDescent="0.2">
      <c r="A112" t="s">
        <v>0</v>
      </c>
      <c r="B112" t="s">
        <v>729</v>
      </c>
      <c r="C112" t="s">
        <v>1696</v>
      </c>
      <c r="D112" s="10" t="e">
        <f>INDEX(#REF!,MATCH(Validade!C112,#REF!,0))</f>
        <v>#REF!</v>
      </c>
      <c r="E112" s="10" t="e">
        <f>INDEX(#REF!,MATCH(Validade!C112,#REF!,0))</f>
        <v>#REF!</v>
      </c>
      <c r="F112" t="s">
        <v>1697</v>
      </c>
      <c r="G112" t="s">
        <v>1694</v>
      </c>
      <c r="H112" s="1">
        <v>47268</v>
      </c>
      <c r="I112" s="1">
        <v>45413</v>
      </c>
      <c r="J112" s="2">
        <v>39000</v>
      </c>
      <c r="K112" t="s">
        <v>713</v>
      </c>
      <c r="L112" t="str">
        <f>INDEX(Dispodaten2!B:B,MATCH(C112,Dispodaten2!A:A,0))</f>
        <v>V1</v>
      </c>
    </row>
    <row r="113" spans="1:12" ht="13.5" hidden="1" x14ac:dyDescent="0.2">
      <c r="A113" t="s">
        <v>0</v>
      </c>
      <c r="B113" t="s">
        <v>729</v>
      </c>
      <c r="C113" t="s">
        <v>1707</v>
      </c>
      <c r="D113" s="10" t="e">
        <f>INDEX(#REF!,MATCH(Validade!C113,#REF!,0))</f>
        <v>#REF!</v>
      </c>
      <c r="E113" s="10" t="e">
        <f>INDEX(#REF!,MATCH(Validade!C113,#REF!,0))</f>
        <v>#REF!</v>
      </c>
      <c r="F113" t="s">
        <v>1708</v>
      </c>
      <c r="G113" t="s">
        <v>1709</v>
      </c>
      <c r="H113" s="1">
        <v>47177</v>
      </c>
      <c r="I113" s="1"/>
      <c r="J113" s="2">
        <v>1800</v>
      </c>
      <c r="K113" t="s">
        <v>713</v>
      </c>
      <c r="L113" t="str">
        <f>INDEX(Dispodaten2!B:B,MATCH(C113,Dispodaten2!A:A,0))</f>
        <v>V1</v>
      </c>
    </row>
    <row r="114" spans="1:12" ht="13.5" hidden="1" x14ac:dyDescent="0.2">
      <c r="A114" t="s">
        <v>0</v>
      </c>
      <c r="B114" t="s">
        <v>729</v>
      </c>
      <c r="C114" t="s">
        <v>1704</v>
      </c>
      <c r="D114" s="10" t="e">
        <f>INDEX(#REF!,MATCH(Validade!C114,#REF!,0))</f>
        <v>#REF!</v>
      </c>
      <c r="E114" s="10" t="e">
        <f>INDEX(#REF!,MATCH(Validade!C114,#REF!,0))</f>
        <v>#REF!</v>
      </c>
      <c r="F114" t="s">
        <v>1705</v>
      </c>
      <c r="G114" t="s">
        <v>1706</v>
      </c>
      <c r="H114" s="1">
        <v>47207</v>
      </c>
      <c r="I114" s="1"/>
      <c r="J114" s="2">
        <v>3600</v>
      </c>
      <c r="K114" t="s">
        <v>713</v>
      </c>
      <c r="L114" t="str">
        <f>INDEX(Dispodaten2!B:B,MATCH(C114,Dispodaten2!A:A,0))</f>
        <v>V1</v>
      </c>
    </row>
    <row r="115" spans="1:12" ht="13.5" hidden="1" x14ac:dyDescent="0.2">
      <c r="A115" t="s">
        <v>0</v>
      </c>
      <c r="B115" t="s">
        <v>729</v>
      </c>
      <c r="C115" t="s">
        <v>1701</v>
      </c>
      <c r="D115" s="10" t="e">
        <f>INDEX(#REF!,MATCH(Validade!C115,#REF!,0))</f>
        <v>#REF!</v>
      </c>
      <c r="E115" s="10" t="e">
        <f>INDEX(#REF!,MATCH(Validade!C115,#REF!,0))</f>
        <v>#REF!</v>
      </c>
      <c r="F115" t="s">
        <v>1702</v>
      </c>
      <c r="G115" t="s">
        <v>1703</v>
      </c>
      <c r="H115" s="1">
        <v>46995</v>
      </c>
      <c r="I115" s="1"/>
      <c r="J115" s="2">
        <v>900</v>
      </c>
      <c r="K115" t="s">
        <v>713</v>
      </c>
      <c r="L115" t="str">
        <f>INDEX(Dispodaten2!B:B,MATCH(C115,Dispodaten2!A:A,0))</f>
        <v>V1</v>
      </c>
    </row>
    <row r="116" spans="1:12" ht="13.5" hidden="1" x14ac:dyDescent="0.2">
      <c r="A116" t="s">
        <v>0</v>
      </c>
      <c r="B116" t="s">
        <v>729</v>
      </c>
      <c r="C116" t="s">
        <v>730</v>
      </c>
      <c r="D116" s="10" t="e">
        <f>INDEX(#REF!,MATCH(Validade!C116,#REF!,0))</f>
        <v>#REF!</v>
      </c>
      <c r="E116" s="10" t="e">
        <f>INDEX(#REF!,MATCH(Validade!C116,#REF!,0))</f>
        <v>#REF!</v>
      </c>
      <c r="F116" t="s">
        <v>731</v>
      </c>
      <c r="G116" t="s">
        <v>732</v>
      </c>
      <c r="H116" s="1">
        <v>46210</v>
      </c>
      <c r="I116" s="1">
        <v>45474</v>
      </c>
      <c r="J116" s="2">
        <v>1200</v>
      </c>
      <c r="K116" t="s">
        <v>713</v>
      </c>
      <c r="L116" t="str">
        <f>INDEX(Dispodaten2!B:B,MATCH(C116,Dispodaten2!A:A,0))</f>
        <v>V1</v>
      </c>
    </row>
    <row r="117" spans="1:12" ht="13.5" hidden="1" x14ac:dyDescent="0.2">
      <c r="A117" t="s">
        <v>1752</v>
      </c>
      <c r="B117" t="s">
        <v>729</v>
      </c>
      <c r="C117" t="s">
        <v>1868</v>
      </c>
      <c r="D117" s="10" t="e">
        <f>INDEX(#REF!,MATCH(Validade!C117,#REF!,0))</f>
        <v>#REF!</v>
      </c>
      <c r="E117" s="10" t="e">
        <f>INDEX(#REF!,MATCH(Validade!C117,#REF!,0))</f>
        <v>#REF!</v>
      </c>
      <c r="F117" t="s">
        <v>1869</v>
      </c>
      <c r="G117" t="s">
        <v>1870</v>
      </c>
      <c r="H117" s="1">
        <v>45753</v>
      </c>
      <c r="I117" s="1">
        <v>45033</v>
      </c>
      <c r="J117" s="2">
        <v>4</v>
      </c>
      <c r="K117" t="s">
        <v>713</v>
      </c>
      <c r="L117" t="str">
        <f>INDEX(Dispodaten2!B:B,MATCH(C117,Dispodaten2!A:A,0))</f>
        <v>ND</v>
      </c>
    </row>
    <row r="118" spans="1:12" ht="13.5" hidden="1" x14ac:dyDescent="0.2">
      <c r="A118" t="s">
        <v>1752</v>
      </c>
      <c r="B118" t="s">
        <v>729</v>
      </c>
      <c r="C118" t="s">
        <v>1853</v>
      </c>
      <c r="D118" s="10" t="e">
        <f>INDEX(#REF!,MATCH(Validade!C118,#REF!,0))</f>
        <v>#REF!</v>
      </c>
      <c r="E118" s="10" t="e">
        <f>INDEX(#REF!,MATCH(Validade!C118,#REF!,0))</f>
        <v>#REF!</v>
      </c>
      <c r="F118" t="s">
        <v>1854</v>
      </c>
      <c r="G118" t="s">
        <v>1856</v>
      </c>
      <c r="H118" s="1">
        <v>46542</v>
      </c>
      <c r="I118" s="1">
        <v>45447</v>
      </c>
      <c r="J118" s="2">
        <v>41</v>
      </c>
      <c r="K118" t="s">
        <v>1855</v>
      </c>
      <c r="L118" t="str">
        <f>INDEX(Dispodaten2!B:B,MATCH(C118,Dispodaten2!A:A,0))</f>
        <v>V1</v>
      </c>
    </row>
    <row r="119" spans="1:12" ht="13.5" hidden="1" x14ac:dyDescent="0.2">
      <c r="A119" t="s">
        <v>1752</v>
      </c>
      <c r="B119" t="s">
        <v>729</v>
      </c>
      <c r="C119" t="s">
        <v>1874</v>
      </c>
      <c r="D119" s="10" t="e">
        <f>INDEX(#REF!,MATCH(Validade!C119,#REF!,0))</f>
        <v>#REF!</v>
      </c>
      <c r="E119" s="10" t="e">
        <f>INDEX(#REF!,MATCH(Validade!C119,#REF!,0))</f>
        <v>#REF!</v>
      </c>
      <c r="F119" t="s">
        <v>1875</v>
      </c>
      <c r="G119" t="s">
        <v>1876</v>
      </c>
      <c r="H119" s="1"/>
      <c r="I119" s="1"/>
      <c r="J119" s="2">
        <v>2</v>
      </c>
      <c r="K119" t="s">
        <v>1855</v>
      </c>
      <c r="L119" t="str">
        <f>INDEX(Dispodaten2!B:B,MATCH(C119,Dispodaten2!A:A,0))</f>
        <v>V1</v>
      </c>
    </row>
    <row r="120" spans="1:12" ht="13.5" hidden="1" x14ac:dyDescent="0.2">
      <c r="A120" t="s">
        <v>1752</v>
      </c>
      <c r="B120" t="s">
        <v>729</v>
      </c>
      <c r="C120" t="s">
        <v>1670</v>
      </c>
      <c r="D120" s="10" t="e">
        <f>INDEX(#REF!,MATCH(Validade!C120,#REF!,0))</f>
        <v>#REF!</v>
      </c>
      <c r="E120" s="10" t="e">
        <f>INDEX(#REF!,MATCH(Validade!C120,#REF!,0))</f>
        <v>#REF!</v>
      </c>
      <c r="F120" t="s">
        <v>1833</v>
      </c>
      <c r="G120" t="s">
        <v>1835</v>
      </c>
      <c r="H120" s="1">
        <v>62458</v>
      </c>
      <c r="I120" s="1">
        <v>44866</v>
      </c>
      <c r="J120" s="2">
        <v>2400</v>
      </c>
      <c r="K120" t="s">
        <v>1834</v>
      </c>
      <c r="L120" t="str">
        <f>INDEX(Dispodaten2!B:B,MATCH(C120,Dispodaten2!A:A,0))</f>
        <v>V1</v>
      </c>
    </row>
    <row r="121" spans="1:12" ht="13.5" hidden="1" x14ac:dyDescent="0.2">
      <c r="A121" t="s">
        <v>1752</v>
      </c>
      <c r="B121" t="s">
        <v>729</v>
      </c>
      <c r="C121" t="s">
        <v>1936</v>
      </c>
      <c r="D121" s="10" t="e">
        <f>INDEX(#REF!,MATCH(Validade!C121,#REF!,0))</f>
        <v>#REF!</v>
      </c>
      <c r="E121" s="10" t="e">
        <f>INDEX(#REF!,MATCH(Validade!C121,#REF!,0))</f>
        <v>#REF!</v>
      </c>
      <c r="F121" t="s">
        <v>1937</v>
      </c>
      <c r="G121" t="s">
        <v>1938</v>
      </c>
      <c r="H121" s="1">
        <v>62458</v>
      </c>
      <c r="I121" s="1">
        <v>44979</v>
      </c>
      <c r="J121" s="2">
        <v>2862</v>
      </c>
      <c r="K121" t="s">
        <v>1847</v>
      </c>
      <c r="L121" t="str">
        <f>INDEX(Dispodaten2!B:B,MATCH(C121,Dispodaten2!A:A,0))</f>
        <v>V1</v>
      </c>
    </row>
    <row r="122" spans="1:12" ht="13.5" hidden="1" x14ac:dyDescent="0.2">
      <c r="A122" t="s">
        <v>1752</v>
      </c>
      <c r="B122" t="s">
        <v>729</v>
      </c>
      <c r="C122" t="s">
        <v>1905</v>
      </c>
      <c r="D122" s="10" t="e">
        <f>INDEX(#REF!,MATCH(Validade!C122,#REF!,0))</f>
        <v>#REF!</v>
      </c>
      <c r="E122" s="10" t="e">
        <f>INDEX(#REF!,MATCH(Validade!C122,#REF!,0))</f>
        <v>#REF!</v>
      </c>
      <c r="F122" t="s">
        <v>1906</v>
      </c>
      <c r="G122" t="s">
        <v>1907</v>
      </c>
      <c r="H122" s="1">
        <v>62458</v>
      </c>
      <c r="I122" s="1"/>
      <c r="J122" s="2">
        <v>3000</v>
      </c>
      <c r="K122" t="s">
        <v>1847</v>
      </c>
      <c r="L122" t="str">
        <f>INDEX(Dispodaten2!B:B,MATCH(C122,Dispodaten2!A:A,0))</f>
        <v>V1</v>
      </c>
    </row>
    <row r="123" spans="1:12" ht="13.5" hidden="1" x14ac:dyDescent="0.2">
      <c r="A123" t="s">
        <v>1752</v>
      </c>
      <c r="B123" t="s">
        <v>729</v>
      </c>
      <c r="C123" t="s">
        <v>1953</v>
      </c>
      <c r="D123" s="10" t="e">
        <f>INDEX(#REF!,MATCH(Validade!C123,#REF!,0))</f>
        <v>#REF!</v>
      </c>
      <c r="E123" s="10" t="e">
        <f>INDEX(#REF!,MATCH(Validade!C123,#REF!,0))</f>
        <v>#REF!</v>
      </c>
      <c r="F123" t="s">
        <v>1954</v>
      </c>
      <c r="G123" t="s">
        <v>1955</v>
      </c>
      <c r="H123" s="1">
        <v>45847</v>
      </c>
      <c r="I123" s="1">
        <v>45633</v>
      </c>
      <c r="J123" s="2">
        <v>7750</v>
      </c>
      <c r="K123" t="s">
        <v>1847</v>
      </c>
      <c r="L123" t="str">
        <f>INDEX(Dispodaten2!B:B,MATCH(C123,Dispodaten2!A:A,0))</f>
        <v>PD</v>
      </c>
    </row>
    <row r="124" spans="1:12" ht="13.5" hidden="1" x14ac:dyDescent="0.2">
      <c r="A124" t="s">
        <v>1752</v>
      </c>
      <c r="B124" t="s">
        <v>729</v>
      </c>
      <c r="C124" t="s">
        <v>1961</v>
      </c>
      <c r="D124" s="10" t="e">
        <f>INDEX(#REF!,MATCH(Validade!C124,#REF!,0))</f>
        <v>#REF!</v>
      </c>
      <c r="E124" s="10" t="e">
        <f>INDEX(#REF!,MATCH(Validade!C124,#REF!,0))</f>
        <v>#REF!</v>
      </c>
      <c r="F124" t="s">
        <v>1962</v>
      </c>
      <c r="G124" t="s">
        <v>1963</v>
      </c>
      <c r="H124" s="1">
        <v>46278</v>
      </c>
      <c r="I124" s="1">
        <v>45555</v>
      </c>
      <c r="J124" s="2">
        <v>3956</v>
      </c>
      <c r="K124" t="s">
        <v>1847</v>
      </c>
      <c r="L124" t="str">
        <f>INDEX(Dispodaten2!B:B,MATCH(C124,Dispodaten2!A:A,0))</f>
        <v>PD</v>
      </c>
    </row>
    <row r="125" spans="1:12" ht="13.5" hidden="1" x14ac:dyDescent="0.2">
      <c r="A125" t="s">
        <v>0</v>
      </c>
      <c r="B125" t="s">
        <v>729</v>
      </c>
      <c r="C125" t="s">
        <v>1725</v>
      </c>
      <c r="D125" s="10" t="e">
        <f>INDEX(#REF!,MATCH(Validade!C125,#REF!,0))</f>
        <v>#REF!</v>
      </c>
      <c r="E125" s="10" t="e">
        <f>INDEX(#REF!,MATCH(Validade!C125,#REF!,0))</f>
        <v>#REF!</v>
      </c>
      <c r="F125" t="s">
        <v>1726</v>
      </c>
      <c r="G125" t="s">
        <v>1727</v>
      </c>
      <c r="H125" s="1"/>
      <c r="I125" s="1"/>
      <c r="J125" s="2">
        <v>500</v>
      </c>
      <c r="K125" t="s">
        <v>1506</v>
      </c>
      <c r="L125" t="str">
        <f>INDEX(Dispodaten2!B:B,MATCH(C125,Dispodaten2!A:A,0))</f>
        <v>V1</v>
      </c>
    </row>
    <row r="126" spans="1:12" ht="13.5" hidden="1" x14ac:dyDescent="0.2">
      <c r="A126" t="s">
        <v>0</v>
      </c>
      <c r="B126" t="s">
        <v>729</v>
      </c>
      <c r="C126" t="s">
        <v>1504</v>
      </c>
      <c r="D126" s="10" t="e">
        <f>INDEX(#REF!,MATCH(Validade!C126,#REF!,0))</f>
        <v>#REF!</v>
      </c>
      <c r="E126" s="10" t="e">
        <f>INDEX(#REF!,MATCH(Validade!C126,#REF!,0))</f>
        <v>#REF!</v>
      </c>
      <c r="F126" t="s">
        <v>1505</v>
      </c>
      <c r="G126" t="s">
        <v>1507</v>
      </c>
      <c r="H126" s="1"/>
      <c r="I126" s="1"/>
      <c r="J126" s="2">
        <v>1000</v>
      </c>
      <c r="K126" t="s">
        <v>1506</v>
      </c>
      <c r="L126" t="str">
        <f>INDEX(Dispodaten2!B:B,MATCH(C126,Dispodaten2!A:A,0))</f>
        <v>PD</v>
      </c>
    </row>
    <row r="127" spans="1:12" ht="13.5" hidden="1" x14ac:dyDescent="0.2">
      <c r="A127" t="s">
        <v>1752</v>
      </c>
      <c r="B127" t="s">
        <v>729</v>
      </c>
      <c r="C127" t="s">
        <v>1956</v>
      </c>
      <c r="D127" s="10" t="e">
        <f>INDEX(#REF!,MATCH(Validade!C127,#REF!,0))</f>
        <v>#REF!</v>
      </c>
      <c r="E127" s="10" t="e">
        <f>INDEX(#REF!,MATCH(Validade!C127,#REF!,0))</f>
        <v>#REF!</v>
      </c>
      <c r="F127" t="s">
        <v>1957</v>
      </c>
      <c r="G127" t="s">
        <v>1958</v>
      </c>
      <c r="H127" s="1">
        <v>62458</v>
      </c>
      <c r="I127" s="1"/>
      <c r="J127" s="2">
        <v>2153</v>
      </c>
      <c r="K127" t="s">
        <v>990</v>
      </c>
      <c r="L127" t="str">
        <f>INDEX(Dispodaten2!B:B,MATCH(C127,Dispodaten2!A:A,0))</f>
        <v>PD</v>
      </c>
    </row>
    <row r="128" spans="1:12" ht="13.5" hidden="1" x14ac:dyDescent="0.2">
      <c r="A128" t="s">
        <v>1752</v>
      </c>
      <c r="B128" t="s">
        <v>729</v>
      </c>
      <c r="C128" t="s">
        <v>1814</v>
      </c>
      <c r="D128" s="10" t="e">
        <f>INDEX(#REF!,MATCH(Validade!C128,#REF!,0))</f>
        <v>#REF!</v>
      </c>
      <c r="E128" s="10" t="e">
        <f>INDEX(#REF!,MATCH(Validade!C128,#REF!,0))</f>
        <v>#REF!</v>
      </c>
      <c r="F128" t="s">
        <v>1815</v>
      </c>
      <c r="G128" t="s">
        <v>1816</v>
      </c>
      <c r="H128" s="1">
        <v>62458</v>
      </c>
      <c r="I128" s="1"/>
      <c r="J128" s="2">
        <v>5</v>
      </c>
      <c r="K128" t="s">
        <v>1817</v>
      </c>
      <c r="L128" t="str">
        <f>INDEX(Dispodaten2!B:B,MATCH(C128,Dispodaten2!A:A,0))</f>
        <v>PD</v>
      </c>
    </row>
    <row r="129" spans="1:12" ht="13.5" hidden="1" x14ac:dyDescent="0.2">
      <c r="A129" t="s">
        <v>0</v>
      </c>
      <c r="B129" t="s">
        <v>729</v>
      </c>
      <c r="C129" t="s">
        <v>1432</v>
      </c>
      <c r="D129" s="10" t="e">
        <f>INDEX(#REF!,MATCH(Validade!C129,#REF!,0))</f>
        <v>#REF!</v>
      </c>
      <c r="E129" s="10" t="e">
        <f>INDEX(#REF!,MATCH(Validade!C129,#REF!,0))</f>
        <v>#REF!</v>
      </c>
      <c r="F129" t="s">
        <v>1433</v>
      </c>
      <c r="G129" t="s">
        <v>1434</v>
      </c>
      <c r="H129" s="1">
        <v>62458</v>
      </c>
      <c r="I129" s="1"/>
      <c r="J129" s="2">
        <v>30</v>
      </c>
      <c r="K129" t="s">
        <v>922</v>
      </c>
      <c r="L129" t="str">
        <f>INDEX(Dispodaten2!B:B,MATCH(C129,Dispodaten2!A:A,0))</f>
        <v>V1</v>
      </c>
    </row>
    <row r="130" spans="1:12" ht="13.5" hidden="1" x14ac:dyDescent="0.2">
      <c r="A130" t="s">
        <v>0</v>
      </c>
      <c r="B130" t="s">
        <v>729</v>
      </c>
      <c r="C130" t="s">
        <v>1441</v>
      </c>
      <c r="D130" s="10" t="e">
        <f>INDEX(#REF!,MATCH(Validade!C130,#REF!,0))</f>
        <v>#REF!</v>
      </c>
      <c r="E130" s="10" t="e">
        <f>INDEX(#REF!,MATCH(Validade!C130,#REF!,0))</f>
        <v>#REF!</v>
      </c>
      <c r="F130" t="s">
        <v>1442</v>
      </c>
      <c r="G130" t="s">
        <v>1443</v>
      </c>
      <c r="H130" s="1">
        <v>62458</v>
      </c>
      <c r="I130" s="1"/>
      <c r="J130" s="2">
        <v>4</v>
      </c>
      <c r="K130" t="s">
        <v>922</v>
      </c>
      <c r="L130" t="str">
        <f>INDEX(Dispodaten2!B:B,MATCH(C130,Dispodaten2!A:A,0))</f>
        <v>V1</v>
      </c>
    </row>
    <row r="131" spans="1:12" ht="13.5" hidden="1" x14ac:dyDescent="0.2">
      <c r="A131" t="s">
        <v>0</v>
      </c>
      <c r="B131" t="s">
        <v>729</v>
      </c>
      <c r="C131" t="s">
        <v>1430</v>
      </c>
      <c r="D131" s="10" t="e">
        <f>INDEX(#REF!,MATCH(Validade!C131,#REF!,0))</f>
        <v>#REF!</v>
      </c>
      <c r="E131" s="10" t="e">
        <f>INDEX(#REF!,MATCH(Validade!C131,#REF!,0))</f>
        <v>#REF!</v>
      </c>
      <c r="F131" t="s">
        <v>1431</v>
      </c>
      <c r="G131" t="s">
        <v>923</v>
      </c>
      <c r="H131" s="1"/>
      <c r="I131" s="1"/>
      <c r="J131" s="2">
        <v>1600</v>
      </c>
      <c r="K131" t="s">
        <v>922</v>
      </c>
      <c r="L131" t="str">
        <f>INDEX(Dispodaten2!B:B,MATCH(C131,Dispodaten2!A:A,0))</f>
        <v>PD</v>
      </c>
    </row>
    <row r="132" spans="1:12" ht="13.5" hidden="1" x14ac:dyDescent="0.2">
      <c r="A132" t="s">
        <v>1752</v>
      </c>
      <c r="B132" t="s">
        <v>729</v>
      </c>
      <c r="C132" t="s">
        <v>1050</v>
      </c>
      <c r="D132" s="10" t="e">
        <f>INDEX(#REF!,MATCH(Validade!C132,#REF!,0))</f>
        <v>#REF!</v>
      </c>
      <c r="E132" s="10" t="e">
        <f>INDEX(#REF!,MATCH(Validade!C132,#REF!,0))</f>
        <v>#REF!</v>
      </c>
      <c r="F132" t="s">
        <v>1051</v>
      </c>
      <c r="G132" t="s">
        <v>1903</v>
      </c>
      <c r="H132" s="1">
        <v>62458</v>
      </c>
      <c r="I132" s="1">
        <v>45356</v>
      </c>
      <c r="J132" s="2">
        <v>1127</v>
      </c>
      <c r="K132" t="s">
        <v>922</v>
      </c>
      <c r="L132" t="str">
        <f>INDEX(Dispodaten2!B:B,MATCH(C132,Dispodaten2!A:A,0))</f>
        <v>V1</v>
      </c>
    </row>
    <row r="133" spans="1:12" ht="13.5" hidden="1" x14ac:dyDescent="0.2">
      <c r="A133" t="s">
        <v>0</v>
      </c>
      <c r="B133" t="s">
        <v>729</v>
      </c>
      <c r="C133" t="s">
        <v>991</v>
      </c>
      <c r="D133" s="10" t="e">
        <f>INDEX(#REF!,MATCH(Validade!C133,#REF!,0))</f>
        <v>#REF!</v>
      </c>
      <c r="E133" s="10" t="e">
        <f>INDEX(#REF!,MATCH(Validade!C133,#REF!,0))</f>
        <v>#REF!</v>
      </c>
      <c r="F133" t="s">
        <v>992</v>
      </c>
      <c r="G133" t="s">
        <v>993</v>
      </c>
      <c r="H133" s="1">
        <v>62458</v>
      </c>
      <c r="I133" s="1"/>
      <c r="J133" s="2">
        <v>225</v>
      </c>
      <c r="K133" t="s">
        <v>922</v>
      </c>
      <c r="L133" t="str">
        <f>INDEX(Dispodaten2!B:B,MATCH(C133,Dispodaten2!A:A,0))</f>
        <v>V1</v>
      </c>
    </row>
    <row r="134" spans="1:12" ht="13.5" hidden="1" x14ac:dyDescent="0.2">
      <c r="A134" t="s">
        <v>0</v>
      </c>
      <c r="B134" t="s">
        <v>729</v>
      </c>
      <c r="C134" t="s">
        <v>1551</v>
      </c>
      <c r="D134" s="10" t="e">
        <f>INDEX(#REF!,MATCH(Validade!C134,#REF!,0))</f>
        <v>#REF!</v>
      </c>
      <c r="E134" s="10" t="e">
        <f>INDEX(#REF!,MATCH(Validade!C134,#REF!,0))</f>
        <v>#REF!</v>
      </c>
      <c r="F134" t="s">
        <v>1552</v>
      </c>
      <c r="G134" t="s">
        <v>1554</v>
      </c>
      <c r="H134" s="1"/>
      <c r="I134" s="1"/>
      <c r="J134" s="2">
        <v>140</v>
      </c>
      <c r="K134" t="s">
        <v>1553</v>
      </c>
      <c r="L134" t="str">
        <f>INDEX(Dispodaten2!B:B,MATCH(C134,Dispodaten2!A:A,0))</f>
        <v>PD</v>
      </c>
    </row>
    <row r="135" spans="1:12" ht="13.5" hidden="1" x14ac:dyDescent="0.2">
      <c r="A135" t="s">
        <v>1752</v>
      </c>
      <c r="B135" t="s">
        <v>729</v>
      </c>
      <c r="C135" t="s">
        <v>1799</v>
      </c>
      <c r="D135" s="10" t="e">
        <f>INDEX(#REF!,MATCH(Validade!C135,#REF!,0))</f>
        <v>#REF!</v>
      </c>
      <c r="E135" s="10" t="e">
        <f>INDEX(#REF!,MATCH(Validade!C135,#REF!,0))</f>
        <v>#REF!</v>
      </c>
      <c r="F135" t="s">
        <v>1800</v>
      </c>
      <c r="G135" t="s">
        <v>1894</v>
      </c>
      <c r="H135" s="1">
        <v>46080</v>
      </c>
      <c r="I135" s="1">
        <v>45349</v>
      </c>
      <c r="J135" s="2">
        <v>28.99</v>
      </c>
      <c r="K135" t="s">
        <v>1801</v>
      </c>
      <c r="L135" t="str">
        <f>INDEX(Dispodaten2!B:B,MATCH(C135,Dispodaten2!A:A,0))</f>
        <v>PD</v>
      </c>
    </row>
    <row r="136" spans="1:12" ht="13.5" hidden="1" x14ac:dyDescent="0.2">
      <c r="A136" t="s">
        <v>0</v>
      </c>
      <c r="B136" t="s">
        <v>1</v>
      </c>
      <c r="C136" t="s">
        <v>123</v>
      </c>
      <c r="D136" s="10" t="e">
        <f>INDEX(#REF!,MATCH(Validade!C136,#REF!,0))</f>
        <v>#REF!</v>
      </c>
      <c r="E136" s="10" t="e">
        <f>INDEX(#REF!,MATCH(Validade!C136,#REF!,0))</f>
        <v>#REF!</v>
      </c>
      <c r="F136" t="s">
        <v>124</v>
      </c>
      <c r="G136" t="s">
        <v>126</v>
      </c>
      <c r="H136" s="1">
        <v>62458</v>
      </c>
      <c r="I136" s="1">
        <v>45603</v>
      </c>
      <c r="J136" s="2">
        <v>1000</v>
      </c>
      <c r="K136" t="s">
        <v>125</v>
      </c>
      <c r="L136" t="str">
        <f>INDEX(Dispodaten2!B:B,MATCH(C136,Dispodaten2!A:A,0))</f>
        <v>V1</v>
      </c>
    </row>
    <row r="137" spans="1:12" ht="13.5" hidden="1" x14ac:dyDescent="0.2">
      <c r="A137" t="s">
        <v>1752</v>
      </c>
      <c r="B137" t="s">
        <v>729</v>
      </c>
      <c r="C137" t="s">
        <v>1939</v>
      </c>
      <c r="D137" s="10" t="e">
        <f>INDEX(#REF!,MATCH(Validade!C137,#REF!,0))</f>
        <v>#REF!</v>
      </c>
      <c r="E137" s="10" t="e">
        <f>INDEX(#REF!,MATCH(Validade!C137,#REF!,0))</f>
        <v>#REF!</v>
      </c>
      <c r="F137" t="s">
        <v>1940</v>
      </c>
      <c r="G137" t="s">
        <v>1942</v>
      </c>
      <c r="H137" s="1">
        <v>45732</v>
      </c>
      <c r="I137" s="1">
        <v>45117</v>
      </c>
      <c r="J137" s="2">
        <v>18</v>
      </c>
      <c r="K137" t="s">
        <v>1941</v>
      </c>
      <c r="L137" t="str">
        <f>INDEX(Dispodaten2!B:B,MATCH(C137,Dispodaten2!A:A,0))</f>
        <v>PD</v>
      </c>
    </row>
    <row r="138" spans="1:12" ht="13.5" hidden="1" x14ac:dyDescent="0.2">
      <c r="A138" t="s">
        <v>1752</v>
      </c>
      <c r="B138" t="s">
        <v>729</v>
      </c>
      <c r="C138" t="s">
        <v>1782</v>
      </c>
      <c r="D138" s="10" t="e">
        <f>INDEX(#REF!,MATCH(Validade!C138,#REF!,0))</f>
        <v>#REF!</v>
      </c>
      <c r="E138" s="10" t="e">
        <f>INDEX(#REF!,MATCH(Validade!C138,#REF!,0))</f>
        <v>#REF!</v>
      </c>
      <c r="F138" t="s">
        <v>1783</v>
      </c>
      <c r="G138" t="s">
        <v>1784</v>
      </c>
      <c r="H138" s="1">
        <v>45924</v>
      </c>
      <c r="I138" s="1">
        <v>44828</v>
      </c>
      <c r="J138" s="2">
        <v>406</v>
      </c>
      <c r="K138" t="s">
        <v>1781</v>
      </c>
      <c r="L138" t="str">
        <f>INDEX(Dispodaten2!B:B,MATCH(C138,Dispodaten2!A:A,0))</f>
        <v>PD</v>
      </c>
    </row>
    <row r="139" spans="1:12" ht="13.5" hidden="1" x14ac:dyDescent="0.2">
      <c r="A139" t="s">
        <v>1752</v>
      </c>
      <c r="B139" t="s">
        <v>729</v>
      </c>
      <c r="C139" t="s">
        <v>1779</v>
      </c>
      <c r="D139" s="10" t="e">
        <f>INDEX(#REF!,MATCH(Validade!C139,#REF!,0))</f>
        <v>#REF!</v>
      </c>
      <c r="E139" s="10" t="e">
        <f>INDEX(#REF!,MATCH(Validade!C139,#REF!,0))</f>
        <v>#REF!</v>
      </c>
      <c r="F139" t="s">
        <v>1780</v>
      </c>
      <c r="G139" t="s">
        <v>1885</v>
      </c>
      <c r="H139" s="1">
        <v>46426</v>
      </c>
      <c r="I139" s="1">
        <v>45330</v>
      </c>
      <c r="J139" s="2">
        <v>16</v>
      </c>
      <c r="K139" t="s">
        <v>1781</v>
      </c>
      <c r="L139" t="str">
        <f>INDEX(Dispodaten2!B:B,MATCH(C139,Dispodaten2!A:A,0))</f>
        <v>PD</v>
      </c>
    </row>
    <row r="140" spans="1:12" ht="13.5" hidden="1" x14ac:dyDescent="0.2">
      <c r="A140" t="s">
        <v>1752</v>
      </c>
      <c r="B140" t="s">
        <v>729</v>
      </c>
      <c r="C140" t="s">
        <v>1025</v>
      </c>
      <c r="D140" s="10" t="e">
        <f>INDEX(#REF!,MATCH(Validade!C140,#REF!,0))</f>
        <v>#REF!</v>
      </c>
      <c r="E140" s="10" t="e">
        <f>INDEX(#REF!,MATCH(Validade!C140,#REF!,0))</f>
        <v>#REF!</v>
      </c>
      <c r="F140" t="s">
        <v>1026</v>
      </c>
      <c r="G140" t="s">
        <v>1886</v>
      </c>
      <c r="H140" s="1">
        <v>46378</v>
      </c>
      <c r="I140" s="1">
        <v>45282</v>
      </c>
      <c r="J140" s="2">
        <v>858</v>
      </c>
      <c r="K140" t="s">
        <v>1781</v>
      </c>
      <c r="L140" t="str">
        <f>INDEX(Dispodaten2!B:B,MATCH(C140,Dispodaten2!A:A,0))</f>
        <v>PD</v>
      </c>
    </row>
    <row r="141" spans="1:12" ht="13.5" hidden="1" x14ac:dyDescent="0.2">
      <c r="A141" t="s">
        <v>0</v>
      </c>
      <c r="B141" t="s">
        <v>729</v>
      </c>
      <c r="C141" t="s">
        <v>1374</v>
      </c>
      <c r="D141" s="10" t="e">
        <f>INDEX(#REF!,MATCH(Validade!C141,#REF!,0))</f>
        <v>#REF!</v>
      </c>
      <c r="E141" s="10" t="e">
        <f>INDEX(#REF!,MATCH(Validade!C141,#REF!,0))</f>
        <v>#REF!</v>
      </c>
      <c r="F141" t="s">
        <v>1375</v>
      </c>
      <c r="G141" t="s">
        <v>1376</v>
      </c>
      <c r="H141" s="1">
        <v>62458</v>
      </c>
      <c r="I141" s="1"/>
      <c r="J141" s="2">
        <v>213000</v>
      </c>
      <c r="K141" t="s">
        <v>1019</v>
      </c>
      <c r="L141" t="str">
        <f>INDEX(Dispodaten2!B:B,MATCH(C141,Dispodaten2!A:A,0))</f>
        <v>V1</v>
      </c>
    </row>
    <row r="142" spans="1:12" ht="13.5" hidden="1" x14ac:dyDescent="0.2">
      <c r="A142" t="s">
        <v>0</v>
      </c>
      <c r="B142" t="s">
        <v>729</v>
      </c>
      <c r="C142" t="s">
        <v>1377</v>
      </c>
      <c r="D142" s="10" t="e">
        <f>INDEX(#REF!,MATCH(Validade!C142,#REF!,0))</f>
        <v>#REF!</v>
      </c>
      <c r="E142" s="10" t="e">
        <f>INDEX(#REF!,MATCH(Validade!C142,#REF!,0))</f>
        <v>#REF!</v>
      </c>
      <c r="F142" t="s">
        <v>1378</v>
      </c>
      <c r="G142" t="s">
        <v>1379</v>
      </c>
      <c r="H142" s="1">
        <v>62458</v>
      </c>
      <c r="I142" s="1"/>
      <c r="J142" s="2">
        <v>1128000</v>
      </c>
      <c r="K142" t="s">
        <v>1019</v>
      </c>
      <c r="L142" t="str">
        <f>INDEX(Dispodaten2!B:B,MATCH(C142,Dispodaten2!A:A,0))</f>
        <v>V1</v>
      </c>
    </row>
    <row r="143" spans="1:12" ht="13.5" hidden="1" x14ac:dyDescent="0.2">
      <c r="A143" t="s">
        <v>0</v>
      </c>
      <c r="B143" t="s">
        <v>729</v>
      </c>
      <c r="C143" t="s">
        <v>1371</v>
      </c>
      <c r="D143" s="10" t="e">
        <f>INDEX(#REF!,MATCH(Validade!C143,#REF!,0))</f>
        <v>#REF!</v>
      </c>
      <c r="E143" s="10" t="e">
        <f>INDEX(#REF!,MATCH(Validade!C143,#REF!,0))</f>
        <v>#REF!</v>
      </c>
      <c r="F143" t="s">
        <v>1372</v>
      </c>
      <c r="G143" t="s">
        <v>1373</v>
      </c>
      <c r="H143" s="1">
        <v>62458</v>
      </c>
      <c r="I143" s="1"/>
      <c r="J143" s="2">
        <v>78000</v>
      </c>
      <c r="K143" t="s">
        <v>1019</v>
      </c>
      <c r="L143" t="str">
        <f>INDEX(Dispodaten2!B:B,MATCH(C143,Dispodaten2!A:A,0))</f>
        <v>PD</v>
      </c>
    </row>
    <row r="144" spans="1:12" ht="13.5" hidden="1" x14ac:dyDescent="0.2">
      <c r="A144" t="s">
        <v>0</v>
      </c>
      <c r="B144" t="s">
        <v>729</v>
      </c>
      <c r="C144" t="s">
        <v>1359</v>
      </c>
      <c r="D144" s="10" t="e">
        <f>INDEX(#REF!,MATCH(Validade!C144,#REF!,0))</f>
        <v>#REF!</v>
      </c>
      <c r="E144" s="10" t="e">
        <f>INDEX(#REF!,MATCH(Validade!C144,#REF!,0))</f>
        <v>#REF!</v>
      </c>
      <c r="F144" t="s">
        <v>1360</v>
      </c>
      <c r="G144" t="s">
        <v>1361</v>
      </c>
      <c r="H144" s="1">
        <v>62458</v>
      </c>
      <c r="I144" s="1"/>
      <c r="J144" s="2">
        <v>480000</v>
      </c>
      <c r="K144" t="s">
        <v>1019</v>
      </c>
      <c r="L144" t="str">
        <f>INDEX(Dispodaten2!B:B,MATCH(C144,Dispodaten2!A:A,0))</f>
        <v>PD</v>
      </c>
    </row>
    <row r="145" spans="1:12" ht="13.5" hidden="1" x14ac:dyDescent="0.2">
      <c r="A145" t="s">
        <v>0</v>
      </c>
      <c r="B145" t="s">
        <v>729</v>
      </c>
      <c r="C145" t="s">
        <v>1317</v>
      </c>
      <c r="D145" s="10" t="e">
        <f>INDEX(#REF!,MATCH(Validade!C145,#REF!,0))</f>
        <v>#REF!</v>
      </c>
      <c r="E145" s="10" t="e">
        <f>INDEX(#REF!,MATCH(Validade!C145,#REF!,0))</f>
        <v>#REF!</v>
      </c>
      <c r="F145" t="s">
        <v>1318</v>
      </c>
      <c r="G145" t="s">
        <v>1319</v>
      </c>
      <c r="H145" s="1"/>
      <c r="I145" s="1"/>
      <c r="J145" s="2">
        <v>93000</v>
      </c>
      <c r="K145" t="s">
        <v>1019</v>
      </c>
      <c r="L145" t="str">
        <f>INDEX(Dispodaten2!B:B,MATCH(C145,Dispodaten2!A:A,0))</f>
        <v>PD</v>
      </c>
    </row>
    <row r="146" spans="1:12" ht="13.5" hidden="1" x14ac:dyDescent="0.2">
      <c r="A146" t="s">
        <v>0</v>
      </c>
      <c r="B146" t="s">
        <v>729</v>
      </c>
      <c r="C146" t="s">
        <v>1326</v>
      </c>
      <c r="D146" s="10" t="e">
        <f>INDEX(#REF!,MATCH(Validade!C146,#REF!,0))</f>
        <v>#REF!</v>
      </c>
      <c r="E146" s="10" t="e">
        <f>INDEX(#REF!,MATCH(Validade!C146,#REF!,0))</f>
        <v>#REF!</v>
      </c>
      <c r="F146" t="s">
        <v>1327</v>
      </c>
      <c r="G146" t="s">
        <v>1328</v>
      </c>
      <c r="H146" s="1"/>
      <c r="I146" s="1"/>
      <c r="J146" s="2">
        <v>105000</v>
      </c>
      <c r="K146" t="s">
        <v>1019</v>
      </c>
      <c r="L146" t="str">
        <f>INDEX(Dispodaten2!B:B,MATCH(C146,Dispodaten2!A:A,0))</f>
        <v>PD</v>
      </c>
    </row>
    <row r="147" spans="1:12" ht="13.5" hidden="1" x14ac:dyDescent="0.2">
      <c r="A147" t="s">
        <v>0</v>
      </c>
      <c r="B147" t="s">
        <v>729</v>
      </c>
      <c r="C147" t="s">
        <v>1362</v>
      </c>
      <c r="D147" s="10" t="e">
        <f>INDEX(#REF!,MATCH(Validade!C147,#REF!,0))</f>
        <v>#REF!</v>
      </c>
      <c r="E147" s="10" t="e">
        <f>INDEX(#REF!,MATCH(Validade!C147,#REF!,0))</f>
        <v>#REF!</v>
      </c>
      <c r="F147" t="s">
        <v>1363</v>
      </c>
      <c r="G147" t="s">
        <v>1364</v>
      </c>
      <c r="H147" s="1">
        <v>62458</v>
      </c>
      <c r="I147" s="1"/>
      <c r="J147" s="2">
        <v>57000</v>
      </c>
      <c r="K147" t="s">
        <v>1019</v>
      </c>
      <c r="L147" t="str">
        <f>INDEX(Dispodaten2!B:B,MATCH(C147,Dispodaten2!A:A,0))</f>
        <v>PD</v>
      </c>
    </row>
    <row r="148" spans="1:12" ht="13.5" hidden="1" x14ac:dyDescent="0.2">
      <c r="A148" t="s">
        <v>0</v>
      </c>
      <c r="B148" t="s">
        <v>729</v>
      </c>
      <c r="C148" t="s">
        <v>1320</v>
      </c>
      <c r="D148" s="10" t="e">
        <f>INDEX(#REF!,MATCH(Validade!C148,#REF!,0))</f>
        <v>#REF!</v>
      </c>
      <c r="E148" s="10" t="e">
        <f>INDEX(#REF!,MATCH(Validade!C148,#REF!,0))</f>
        <v>#REF!</v>
      </c>
      <c r="F148" t="s">
        <v>1321</v>
      </c>
      <c r="G148" t="s">
        <v>1322</v>
      </c>
      <c r="H148" s="1">
        <v>62458</v>
      </c>
      <c r="I148" s="1"/>
      <c r="J148" s="2">
        <v>63000</v>
      </c>
      <c r="K148" t="s">
        <v>1019</v>
      </c>
      <c r="L148" t="str">
        <f>INDEX(Dispodaten2!B:B,MATCH(C148,Dispodaten2!A:A,0))</f>
        <v>PD</v>
      </c>
    </row>
    <row r="149" spans="1:12" ht="13.5" hidden="1" x14ac:dyDescent="0.2">
      <c r="A149" t="s">
        <v>0</v>
      </c>
      <c r="B149" t="s">
        <v>729</v>
      </c>
      <c r="C149" t="s">
        <v>1329</v>
      </c>
      <c r="D149" s="10" t="e">
        <f>INDEX(#REF!,MATCH(Validade!C149,#REF!,0))</f>
        <v>#REF!</v>
      </c>
      <c r="E149" s="10" t="e">
        <f>INDEX(#REF!,MATCH(Validade!C149,#REF!,0))</f>
        <v>#REF!</v>
      </c>
      <c r="F149" t="s">
        <v>1330</v>
      </c>
      <c r="G149" t="s">
        <v>1331</v>
      </c>
      <c r="H149" s="1">
        <v>62458</v>
      </c>
      <c r="I149" s="1"/>
      <c r="J149" s="2">
        <v>86000</v>
      </c>
      <c r="K149" t="s">
        <v>1019</v>
      </c>
      <c r="L149" t="str">
        <f>INDEX(Dispodaten2!B:B,MATCH(C149,Dispodaten2!A:A,0))</f>
        <v>PD</v>
      </c>
    </row>
    <row r="150" spans="1:12" ht="13.5" hidden="1" x14ac:dyDescent="0.2">
      <c r="A150" t="s">
        <v>0</v>
      </c>
      <c r="B150" t="s">
        <v>729</v>
      </c>
      <c r="C150" t="s">
        <v>1365</v>
      </c>
      <c r="D150" s="10" t="e">
        <f>INDEX(#REF!,MATCH(Validade!C150,#REF!,0))</f>
        <v>#REF!</v>
      </c>
      <c r="E150" s="10" t="e">
        <f>INDEX(#REF!,MATCH(Validade!C150,#REF!,0))</f>
        <v>#REF!</v>
      </c>
      <c r="F150" t="s">
        <v>1366</v>
      </c>
      <c r="G150" t="s">
        <v>1367</v>
      </c>
      <c r="H150" s="1">
        <v>62458</v>
      </c>
      <c r="I150" s="1"/>
      <c r="J150" s="2">
        <v>51000</v>
      </c>
      <c r="K150" t="s">
        <v>1019</v>
      </c>
      <c r="L150" t="str">
        <f>INDEX(Dispodaten2!B:B,MATCH(C150,Dispodaten2!A:A,0))</f>
        <v>PD</v>
      </c>
    </row>
    <row r="151" spans="1:12" ht="13.5" hidden="1" x14ac:dyDescent="0.2">
      <c r="A151" t="s">
        <v>0</v>
      </c>
      <c r="B151" t="s">
        <v>729</v>
      </c>
      <c r="C151" t="s">
        <v>1368</v>
      </c>
      <c r="D151" s="10" t="e">
        <f>INDEX(#REF!,MATCH(Validade!C151,#REF!,0))</f>
        <v>#REF!</v>
      </c>
      <c r="E151" s="10" t="e">
        <f>INDEX(#REF!,MATCH(Validade!C151,#REF!,0))</f>
        <v>#REF!</v>
      </c>
      <c r="F151" t="s">
        <v>1369</v>
      </c>
      <c r="G151" t="s">
        <v>1370</v>
      </c>
      <c r="H151" s="1">
        <v>62458</v>
      </c>
      <c r="I151" s="1"/>
      <c r="J151" s="2">
        <v>114000</v>
      </c>
      <c r="K151" t="s">
        <v>1019</v>
      </c>
      <c r="L151" t="str">
        <f>INDEX(Dispodaten2!B:B,MATCH(C151,Dispodaten2!A:A,0))</f>
        <v>PD</v>
      </c>
    </row>
    <row r="152" spans="1:12" ht="13.5" hidden="1" x14ac:dyDescent="0.2">
      <c r="A152" t="s">
        <v>0</v>
      </c>
      <c r="B152" t="s">
        <v>729</v>
      </c>
      <c r="C152" t="s">
        <v>1397</v>
      </c>
      <c r="D152" s="10" t="e">
        <f>INDEX(#REF!,MATCH(Validade!C152,#REF!,0))</f>
        <v>#REF!</v>
      </c>
      <c r="E152" s="10" t="e">
        <f>INDEX(#REF!,MATCH(Validade!C152,#REF!,0))</f>
        <v>#REF!</v>
      </c>
      <c r="F152" t="s">
        <v>1398</v>
      </c>
      <c r="G152" t="s">
        <v>1399</v>
      </c>
      <c r="H152" s="1">
        <v>62458</v>
      </c>
      <c r="I152" s="1"/>
      <c r="J152" s="2">
        <v>12000</v>
      </c>
      <c r="K152" t="s">
        <v>1019</v>
      </c>
      <c r="L152" t="str">
        <f>INDEX(Dispodaten2!B:B,MATCH(C152,Dispodaten2!A:A,0))</f>
        <v>PD</v>
      </c>
    </row>
    <row r="153" spans="1:12" ht="13.5" hidden="1" x14ac:dyDescent="0.2">
      <c r="A153" t="s">
        <v>0</v>
      </c>
      <c r="B153" t="s">
        <v>729</v>
      </c>
      <c r="C153" t="s">
        <v>1310</v>
      </c>
      <c r="D153" s="10" t="e">
        <f>INDEX(#REF!,MATCH(Validade!C153,#REF!,0))</f>
        <v>#REF!</v>
      </c>
      <c r="E153" s="10" t="e">
        <f>INDEX(#REF!,MATCH(Validade!C153,#REF!,0))</f>
        <v>#REF!</v>
      </c>
      <c r="F153" t="s">
        <v>1311</v>
      </c>
      <c r="G153" t="s">
        <v>1313</v>
      </c>
      <c r="H153" s="1">
        <v>62458</v>
      </c>
      <c r="I153" s="1"/>
      <c r="J153" s="2">
        <v>87000</v>
      </c>
      <c r="K153" t="s">
        <v>1019</v>
      </c>
      <c r="L153" t="str">
        <f>INDEX(Dispodaten2!B:B,MATCH(C153,Dispodaten2!A:A,0))</f>
        <v>PD</v>
      </c>
    </row>
    <row r="154" spans="1:12" ht="13.5" hidden="1" x14ac:dyDescent="0.2">
      <c r="A154" t="s">
        <v>0</v>
      </c>
      <c r="B154" t="s">
        <v>729</v>
      </c>
      <c r="C154" t="s">
        <v>1323</v>
      </c>
      <c r="D154" s="10" t="e">
        <f>INDEX(#REF!,MATCH(Validade!C154,#REF!,0))</f>
        <v>#REF!</v>
      </c>
      <c r="E154" s="10" t="e">
        <f>INDEX(#REF!,MATCH(Validade!C154,#REF!,0))</f>
        <v>#REF!</v>
      </c>
      <c r="F154" t="s">
        <v>1324</v>
      </c>
      <c r="G154" t="s">
        <v>1325</v>
      </c>
      <c r="H154" s="1"/>
      <c r="I154" s="1"/>
      <c r="J154" s="2">
        <v>3000</v>
      </c>
      <c r="K154" t="s">
        <v>1019</v>
      </c>
      <c r="L154" t="str">
        <f>INDEX(Dispodaten2!B:B,MATCH(C154,Dispodaten2!A:A,0))</f>
        <v>PD</v>
      </c>
    </row>
    <row r="155" spans="1:12" ht="13.5" hidden="1" x14ac:dyDescent="0.2">
      <c r="A155" t="s">
        <v>0</v>
      </c>
      <c r="B155" t="s">
        <v>729</v>
      </c>
      <c r="C155" t="s">
        <v>1341</v>
      </c>
      <c r="D155" s="10" t="e">
        <f>INDEX(#REF!,MATCH(Validade!C155,#REF!,0))</f>
        <v>#REF!</v>
      </c>
      <c r="E155" s="10" t="e">
        <f>INDEX(#REF!,MATCH(Validade!C155,#REF!,0))</f>
        <v>#REF!</v>
      </c>
      <c r="F155" t="s">
        <v>1342</v>
      </c>
      <c r="G155" t="s">
        <v>1022</v>
      </c>
      <c r="H155" s="1">
        <v>62458</v>
      </c>
      <c r="I155" s="1"/>
      <c r="J155" s="2">
        <v>300</v>
      </c>
      <c r="K155" t="s">
        <v>1019</v>
      </c>
      <c r="L155" t="str">
        <f>INDEX(Dispodaten2!B:B,MATCH(C155,Dispodaten2!A:A,0))</f>
        <v>PD</v>
      </c>
    </row>
    <row r="156" spans="1:12" ht="13.5" hidden="1" x14ac:dyDescent="0.2">
      <c r="A156" t="s">
        <v>0</v>
      </c>
      <c r="B156" t="s">
        <v>729</v>
      </c>
      <c r="C156" t="s">
        <v>1020</v>
      </c>
      <c r="D156" s="10" t="e">
        <f>INDEX(#REF!,MATCH(Validade!C156,#REF!,0))</f>
        <v>#REF!</v>
      </c>
      <c r="E156" s="10" t="e">
        <f>INDEX(#REF!,MATCH(Validade!C156,#REF!,0))</f>
        <v>#REF!</v>
      </c>
      <c r="F156" t="s">
        <v>1021</v>
      </c>
      <c r="G156" t="s">
        <v>1023</v>
      </c>
      <c r="H156" s="1">
        <v>62458</v>
      </c>
      <c r="I156" s="1"/>
      <c r="J156" s="2">
        <v>186</v>
      </c>
      <c r="K156" t="s">
        <v>1019</v>
      </c>
      <c r="L156" t="str">
        <f>INDEX(Dispodaten2!B:B,MATCH(C156,Dispodaten2!A:A,0))</f>
        <v>PD</v>
      </c>
    </row>
    <row r="157" spans="1:12" ht="13.5" hidden="1" x14ac:dyDescent="0.2">
      <c r="A157" t="s">
        <v>0</v>
      </c>
      <c r="B157" t="s">
        <v>729</v>
      </c>
      <c r="C157" t="s">
        <v>1388</v>
      </c>
      <c r="D157" s="10" t="e">
        <f>INDEX(#REF!,MATCH(Validade!C157,#REF!,0))</f>
        <v>#REF!</v>
      </c>
      <c r="E157" s="10" t="e">
        <f>INDEX(#REF!,MATCH(Validade!C157,#REF!,0))</f>
        <v>#REF!</v>
      </c>
      <c r="F157" t="s">
        <v>1389</v>
      </c>
      <c r="G157" t="s">
        <v>1390</v>
      </c>
      <c r="H157" s="1">
        <v>62458</v>
      </c>
      <c r="I157" s="1"/>
      <c r="J157" s="2">
        <v>339000</v>
      </c>
      <c r="K157" t="s">
        <v>1019</v>
      </c>
      <c r="L157" t="str">
        <f>INDEX(Dispodaten2!B:B,MATCH(C157,Dispodaten2!A:A,0))</f>
        <v>PD</v>
      </c>
    </row>
    <row r="158" spans="1:12" ht="13.5" hidden="1" x14ac:dyDescent="0.2">
      <c r="A158" t="s">
        <v>0</v>
      </c>
      <c r="B158" t="s">
        <v>729</v>
      </c>
      <c r="C158" t="s">
        <v>1165</v>
      </c>
      <c r="D158" s="10" t="e">
        <f>INDEX(#REF!,MATCH(Validade!C158,#REF!,0))</f>
        <v>#REF!</v>
      </c>
      <c r="E158" s="10" t="e">
        <f>INDEX(#REF!,MATCH(Validade!C158,#REF!,0))</f>
        <v>#REF!</v>
      </c>
      <c r="F158" t="s">
        <v>1166</v>
      </c>
      <c r="G158" t="s">
        <v>1167</v>
      </c>
      <c r="H158" s="1"/>
      <c r="I158" s="1"/>
      <c r="J158" s="2">
        <v>3000</v>
      </c>
      <c r="K158" t="s">
        <v>1019</v>
      </c>
      <c r="L158" t="str">
        <f>INDEX(Dispodaten2!B:B,MATCH(C158,Dispodaten2!A:A,0))</f>
        <v>PD</v>
      </c>
    </row>
    <row r="159" spans="1:12" ht="13.5" hidden="1" x14ac:dyDescent="0.2">
      <c r="A159" t="s">
        <v>0</v>
      </c>
      <c r="B159" t="s">
        <v>729</v>
      </c>
      <c r="C159" t="s">
        <v>1380</v>
      </c>
      <c r="D159" s="10" t="e">
        <f>INDEX(#REF!,MATCH(Validade!C159,#REF!,0))</f>
        <v>#REF!</v>
      </c>
      <c r="E159" s="10" t="e">
        <f>INDEX(#REF!,MATCH(Validade!C159,#REF!,0))</f>
        <v>#REF!</v>
      </c>
      <c r="F159" t="s">
        <v>1381</v>
      </c>
      <c r="G159" t="s">
        <v>1382</v>
      </c>
      <c r="H159" s="1">
        <v>62458</v>
      </c>
      <c r="I159" s="1"/>
      <c r="J159" s="2">
        <v>66000</v>
      </c>
      <c r="K159" t="s">
        <v>1019</v>
      </c>
      <c r="L159" t="str">
        <f>INDEX(Dispodaten2!B:B,MATCH(C159,Dispodaten2!A:A,0))</f>
        <v>PD</v>
      </c>
    </row>
    <row r="160" spans="1:12" ht="13.5" hidden="1" x14ac:dyDescent="0.2">
      <c r="A160" t="s">
        <v>0</v>
      </c>
      <c r="B160" t="s">
        <v>729</v>
      </c>
      <c r="C160" t="s">
        <v>1347</v>
      </c>
      <c r="D160" s="10" t="e">
        <f>INDEX(#REF!,MATCH(Validade!C160,#REF!,0))</f>
        <v>#REF!</v>
      </c>
      <c r="E160" s="10" t="e">
        <f>INDEX(#REF!,MATCH(Validade!C160,#REF!,0))</f>
        <v>#REF!</v>
      </c>
      <c r="F160" t="s">
        <v>1348</v>
      </c>
      <c r="G160" t="s">
        <v>1349</v>
      </c>
      <c r="H160" s="1"/>
      <c r="I160" s="1"/>
      <c r="J160" s="2">
        <v>24000</v>
      </c>
      <c r="K160" t="s">
        <v>1019</v>
      </c>
      <c r="L160" t="str">
        <f>INDEX(Dispodaten2!B:B,MATCH(C160,Dispodaten2!A:A,0))</f>
        <v>PD</v>
      </c>
    </row>
    <row r="161" spans="1:13" ht="13.5" hidden="1" x14ac:dyDescent="0.2">
      <c r="A161" t="s">
        <v>0</v>
      </c>
      <c r="B161" t="s">
        <v>729</v>
      </c>
      <c r="C161" t="s">
        <v>1383</v>
      </c>
      <c r="D161" s="10" t="e">
        <f>INDEX(#REF!,MATCH(Validade!C161,#REF!,0))</f>
        <v>#REF!</v>
      </c>
      <c r="E161" s="10" t="e">
        <f>INDEX(#REF!,MATCH(Validade!C161,#REF!,0))</f>
        <v>#REF!</v>
      </c>
      <c r="F161" t="s">
        <v>1384</v>
      </c>
      <c r="G161" t="s">
        <v>1349</v>
      </c>
      <c r="H161" s="1"/>
      <c r="I161" s="1"/>
      <c r="J161" s="2">
        <v>30000</v>
      </c>
      <c r="K161" t="s">
        <v>1019</v>
      </c>
      <c r="L161" t="str">
        <f>INDEX(Dispodaten2!B:B,MATCH(C161,Dispodaten2!A:A,0))</f>
        <v>PD</v>
      </c>
    </row>
    <row r="162" spans="1:13" ht="13.5" hidden="1" x14ac:dyDescent="0.2">
      <c r="A162" t="s">
        <v>1752</v>
      </c>
      <c r="B162" t="s">
        <v>729</v>
      </c>
      <c r="C162" t="s">
        <v>1821</v>
      </c>
      <c r="D162" s="10" t="e">
        <f>INDEX(#REF!,MATCH(Validade!C162,#REF!,0))</f>
        <v>#REF!</v>
      </c>
      <c r="E162" s="10" t="e">
        <f>INDEX(#REF!,MATCH(Validade!C162,#REF!,0))</f>
        <v>#REF!</v>
      </c>
      <c r="F162" t="s">
        <v>1822</v>
      </c>
      <c r="G162" t="s">
        <v>1823</v>
      </c>
      <c r="H162" s="1">
        <v>45699</v>
      </c>
      <c r="I162" s="1">
        <v>44631</v>
      </c>
      <c r="J162" s="2">
        <v>8</v>
      </c>
      <c r="K162" t="s">
        <v>1824</v>
      </c>
      <c r="L162" t="str">
        <f>INDEX(Dispodaten2!B:B,MATCH(C162,Dispodaten2!A:A,0))</f>
        <v>PD</v>
      </c>
    </row>
    <row r="163" spans="1:13" ht="13.5" hidden="1" x14ac:dyDescent="0.2">
      <c r="A163" t="s">
        <v>1752</v>
      </c>
      <c r="B163" t="s">
        <v>729</v>
      </c>
      <c r="C163" t="s">
        <v>149</v>
      </c>
      <c r="D163" s="10" t="e">
        <f>INDEX(#REF!,MATCH(Validade!C163,#REF!,0))</f>
        <v>#REF!</v>
      </c>
      <c r="E163" s="10" t="e">
        <f>INDEX(#REF!,MATCH(Validade!C163,#REF!,0))</f>
        <v>#REF!</v>
      </c>
      <c r="F163" t="s">
        <v>150</v>
      </c>
      <c r="G163" t="s">
        <v>1893</v>
      </c>
      <c r="H163" s="1">
        <v>45974</v>
      </c>
      <c r="I163" s="1"/>
      <c r="J163" s="2">
        <v>2046.4</v>
      </c>
      <c r="K163" t="s">
        <v>1798</v>
      </c>
      <c r="L163" t="str">
        <f>INDEX(Dispodaten2!B:B,MATCH(C163,Dispodaten2!A:A,0))</f>
        <v>PD</v>
      </c>
    </row>
    <row r="164" spans="1:13" ht="13.5" hidden="1" x14ac:dyDescent="0.2">
      <c r="A164" t="s">
        <v>0</v>
      </c>
      <c r="B164" t="s">
        <v>1</v>
      </c>
      <c r="C164" t="s">
        <v>127</v>
      </c>
      <c r="D164" s="10" t="e">
        <f>INDEX(#REF!,MATCH(Validade!C164,#REF!,0))</f>
        <v>#REF!</v>
      </c>
      <c r="E164" s="10" t="e">
        <f>INDEX(#REF!,MATCH(Validade!C164,#REF!,0))</f>
        <v>#REF!</v>
      </c>
      <c r="F164" t="s">
        <v>128</v>
      </c>
      <c r="G164" t="s">
        <v>130</v>
      </c>
      <c r="H164" s="1">
        <v>46109</v>
      </c>
      <c r="I164" s="1"/>
      <c r="J164" s="2">
        <v>20</v>
      </c>
      <c r="K164" t="s">
        <v>129</v>
      </c>
      <c r="L164" t="str">
        <f>INDEX(Dispodaten2!B:B,MATCH(C164,Dispodaten2!A:A,0))</f>
        <v>V1</v>
      </c>
      <c r="M164" t="s">
        <v>2562</v>
      </c>
    </row>
    <row r="165" spans="1:13" ht="13.5" hidden="1" x14ac:dyDescent="0.2">
      <c r="A165" t="s">
        <v>0</v>
      </c>
      <c r="B165" t="s">
        <v>729</v>
      </c>
      <c r="C165" t="s">
        <v>521</v>
      </c>
      <c r="D165" s="10" t="e">
        <f>INDEX(#REF!,MATCH(Validade!C165,#REF!,0))</f>
        <v>#REF!</v>
      </c>
      <c r="E165" s="10" t="e">
        <f>INDEX(#REF!,MATCH(Validade!C165,#REF!,0))</f>
        <v>#REF!</v>
      </c>
      <c r="F165" t="s">
        <v>522</v>
      </c>
      <c r="G165" t="s">
        <v>1652</v>
      </c>
      <c r="H165" s="1">
        <v>45919</v>
      </c>
      <c r="I165" s="1"/>
      <c r="J165" s="2">
        <v>15494.074000000001</v>
      </c>
      <c r="K165" t="s">
        <v>523</v>
      </c>
      <c r="L165" t="str">
        <f>INDEX(Dispodaten2!B:B,MATCH(C165,Dispodaten2!A:A,0))</f>
        <v>V1</v>
      </c>
    </row>
    <row r="166" spans="1:13" ht="13.5" hidden="1" x14ac:dyDescent="0.2">
      <c r="A166" t="s">
        <v>0</v>
      </c>
      <c r="B166" t="s">
        <v>1</v>
      </c>
      <c r="C166" t="s">
        <v>402</v>
      </c>
      <c r="D166" s="10" t="e">
        <f>INDEX(#REF!,MATCH(Validade!C166,#REF!,0))</f>
        <v>#REF!</v>
      </c>
      <c r="E166" s="10" t="e">
        <f>INDEX(#REF!,MATCH(Validade!C166,#REF!,0))</f>
        <v>#REF!</v>
      </c>
      <c r="F166" t="s">
        <v>403</v>
      </c>
      <c r="G166" t="s">
        <v>405</v>
      </c>
      <c r="H166" s="1">
        <v>46236</v>
      </c>
      <c r="I166" s="1">
        <v>45508</v>
      </c>
      <c r="J166" s="2">
        <v>1500</v>
      </c>
      <c r="K166" t="s">
        <v>404</v>
      </c>
      <c r="L166" t="str">
        <f>INDEX(Dispodaten2!B:B,MATCH(C166,Dispodaten2!A:A,0))</f>
        <v>PD</v>
      </c>
      <c r="M166" t="s">
        <v>2565</v>
      </c>
    </row>
    <row r="167" spans="1:13" ht="13.5" hidden="1" x14ac:dyDescent="0.2">
      <c r="A167" t="s">
        <v>0</v>
      </c>
      <c r="B167" t="s">
        <v>729</v>
      </c>
      <c r="C167" t="s">
        <v>1738</v>
      </c>
      <c r="D167" s="10" t="e">
        <f>INDEX(#REF!,MATCH(Validade!C167,#REF!,0))</f>
        <v>#REF!</v>
      </c>
      <c r="E167" s="10" t="e">
        <f>INDEX(#REF!,MATCH(Validade!C167,#REF!,0))</f>
        <v>#REF!</v>
      </c>
      <c r="F167" t="s">
        <v>1739</v>
      </c>
      <c r="G167" t="s">
        <v>1000</v>
      </c>
      <c r="H167" s="1"/>
      <c r="I167" s="1"/>
      <c r="J167" s="2">
        <v>3</v>
      </c>
      <c r="K167" t="s">
        <v>998</v>
      </c>
      <c r="L167" t="str">
        <f>INDEX(Dispodaten2!B:B,MATCH(C167,Dispodaten2!A:A,0))</f>
        <v>V1</v>
      </c>
      <c r="M167" t="s">
        <v>2565</v>
      </c>
    </row>
    <row r="168" spans="1:13" ht="13.5" hidden="1" x14ac:dyDescent="0.2">
      <c r="A168" t="s">
        <v>0</v>
      </c>
      <c r="B168" t="s">
        <v>729</v>
      </c>
      <c r="C168" t="s">
        <v>996</v>
      </c>
      <c r="D168" s="10" t="e">
        <f>INDEX(#REF!,MATCH(Validade!C168,#REF!,0))</f>
        <v>#REF!</v>
      </c>
      <c r="E168" s="10" t="e">
        <f>INDEX(#REF!,MATCH(Validade!C168,#REF!,0))</f>
        <v>#REF!</v>
      </c>
      <c r="F168" t="s">
        <v>997</v>
      </c>
      <c r="G168" t="s">
        <v>1001</v>
      </c>
      <c r="H168" s="1">
        <v>45858</v>
      </c>
      <c r="I168" s="1"/>
      <c r="J168" s="2">
        <v>14</v>
      </c>
      <c r="K168" t="s">
        <v>999</v>
      </c>
      <c r="L168" t="str">
        <f>INDEX(Dispodaten2!B:B,MATCH(C168,Dispodaten2!A:A,0))</f>
        <v>V1</v>
      </c>
    </row>
    <row r="169" spans="1:13" ht="13.5" x14ac:dyDescent="0.2">
      <c r="A169" t="s">
        <v>0</v>
      </c>
      <c r="B169" t="s">
        <v>729</v>
      </c>
      <c r="C169" t="s">
        <v>1718</v>
      </c>
      <c r="D169" s="10" t="e">
        <f>INDEX(#REF!,MATCH(Validade!C169,#REF!,0))</f>
        <v>#REF!</v>
      </c>
      <c r="E169" s="10" t="e">
        <f>INDEX(#REF!,MATCH(Validade!C169,#REF!,0))</f>
        <v>#REF!</v>
      </c>
      <c r="F169" t="s">
        <v>1719</v>
      </c>
      <c r="G169" t="s">
        <v>1720</v>
      </c>
      <c r="H169" s="1">
        <v>46446</v>
      </c>
      <c r="I169" s="1"/>
      <c r="J169" s="2">
        <v>3.9</v>
      </c>
      <c r="K169" t="s">
        <v>999</v>
      </c>
      <c r="L169" t="str">
        <f>INDEX(Dispodaten2!B:B,MATCH(C169,Dispodaten2!A:A,0))</f>
        <v>V1</v>
      </c>
    </row>
    <row r="170" spans="1:13" ht="13.5" hidden="1" x14ac:dyDescent="0.2">
      <c r="A170" t="s">
        <v>0</v>
      </c>
      <c r="B170" t="s">
        <v>729</v>
      </c>
      <c r="C170" t="s">
        <v>1284</v>
      </c>
      <c r="D170" s="10" t="e">
        <f>INDEX(#REF!,MATCH(Validade!C170,#REF!,0))</f>
        <v>#REF!</v>
      </c>
      <c r="E170" s="10" t="e">
        <f>INDEX(#REF!,MATCH(Validade!C170,#REF!,0))</f>
        <v>#REF!</v>
      </c>
      <c r="F170" t="s">
        <v>1285</v>
      </c>
      <c r="G170" t="s">
        <v>1286</v>
      </c>
      <c r="H170" s="1"/>
      <c r="I170" s="1"/>
      <c r="J170" s="2">
        <v>159425</v>
      </c>
      <c r="K170" t="s">
        <v>1287</v>
      </c>
      <c r="L170" t="str">
        <f>INDEX(Dispodaten2!B:B,MATCH(C170,Dispodaten2!A:A,0))</f>
        <v>PD</v>
      </c>
    </row>
    <row r="171" spans="1:13" ht="13.5" hidden="1" x14ac:dyDescent="0.2">
      <c r="A171" t="s">
        <v>0</v>
      </c>
      <c r="B171" t="s">
        <v>729</v>
      </c>
      <c r="C171" t="s">
        <v>870</v>
      </c>
      <c r="D171" s="10" t="e">
        <f>INDEX(#REF!,MATCH(Validade!C171,#REF!,0))</f>
        <v>#REF!</v>
      </c>
      <c r="E171" s="10" t="e">
        <f>INDEX(#REF!,MATCH(Validade!C171,#REF!,0))</f>
        <v>#REF!</v>
      </c>
      <c r="F171" t="s">
        <v>871</v>
      </c>
      <c r="G171" t="s">
        <v>872</v>
      </c>
      <c r="H171" s="1"/>
      <c r="I171" s="1"/>
      <c r="J171" s="2">
        <v>30</v>
      </c>
      <c r="K171" t="s">
        <v>144</v>
      </c>
      <c r="L171" t="str">
        <f>INDEX(Dispodaten2!B:B,MATCH(C171,Dispodaten2!A:A,0))</f>
        <v>V1</v>
      </c>
    </row>
    <row r="172" spans="1:13" ht="13.5" hidden="1" x14ac:dyDescent="0.2">
      <c r="A172" t="s">
        <v>0</v>
      </c>
      <c r="B172" t="s">
        <v>729</v>
      </c>
      <c r="C172" t="s">
        <v>1058</v>
      </c>
      <c r="D172" s="10" t="e">
        <f>INDEX(#REF!,MATCH(Validade!C172,#REF!,0))</f>
        <v>#REF!</v>
      </c>
      <c r="E172" s="10" t="e">
        <f>INDEX(#REF!,MATCH(Validade!C172,#REF!,0))</f>
        <v>#REF!</v>
      </c>
      <c r="F172" t="s">
        <v>1059</v>
      </c>
      <c r="G172" t="s">
        <v>1060</v>
      </c>
      <c r="H172" s="1"/>
      <c r="I172" s="1"/>
      <c r="J172" s="2">
        <v>546</v>
      </c>
      <c r="K172" t="s">
        <v>144</v>
      </c>
      <c r="L172" t="str">
        <f>INDEX(Dispodaten2!B:B,MATCH(C172,Dispodaten2!A:A,0))</f>
        <v>PD</v>
      </c>
    </row>
    <row r="173" spans="1:13" ht="13.5" hidden="1" x14ac:dyDescent="0.2">
      <c r="A173" t="s">
        <v>0</v>
      </c>
      <c r="B173" t="s">
        <v>1</v>
      </c>
      <c r="C173" t="s">
        <v>346</v>
      </c>
      <c r="D173" s="10" t="e">
        <f>INDEX(#REF!,MATCH(Validade!C173,#REF!,0))</f>
        <v>#REF!</v>
      </c>
      <c r="E173" s="10" t="e">
        <f>INDEX(#REF!,MATCH(Validade!C173,#REF!,0))</f>
        <v>#REF!</v>
      </c>
      <c r="F173" t="s">
        <v>347</v>
      </c>
      <c r="G173" t="s">
        <v>348</v>
      </c>
      <c r="H173" s="1">
        <v>62458</v>
      </c>
      <c r="I173" s="1">
        <v>45525</v>
      </c>
      <c r="J173" s="2">
        <v>30</v>
      </c>
      <c r="K173" t="s">
        <v>144</v>
      </c>
      <c r="L173" t="str">
        <f>INDEX(Dispodaten2!B:B,MATCH(C173,Dispodaten2!A:A,0))</f>
        <v>PD</v>
      </c>
      <c r="M173" t="s">
        <v>2564</v>
      </c>
    </row>
    <row r="174" spans="1:13" ht="13.5" hidden="1" x14ac:dyDescent="0.2">
      <c r="A174" t="s">
        <v>0</v>
      </c>
      <c r="B174" t="s">
        <v>729</v>
      </c>
      <c r="C174" t="s">
        <v>1604</v>
      </c>
      <c r="D174" s="10" t="e">
        <f>INDEX(#REF!,MATCH(Validade!C174,#REF!,0))</f>
        <v>#REF!</v>
      </c>
      <c r="E174" s="10" t="e">
        <f>INDEX(#REF!,MATCH(Validade!C174,#REF!,0))</f>
        <v>#REF!</v>
      </c>
      <c r="F174" t="s">
        <v>1605</v>
      </c>
      <c r="G174" t="s">
        <v>1606</v>
      </c>
      <c r="H174" s="1">
        <v>62458</v>
      </c>
      <c r="I174" s="1">
        <v>45497</v>
      </c>
      <c r="J174" s="2">
        <v>1000</v>
      </c>
      <c r="K174" t="s">
        <v>943</v>
      </c>
      <c r="L174" t="str">
        <f>INDEX(Dispodaten2!B:B,MATCH(C174,Dispodaten2!A:A,0))</f>
        <v>PD</v>
      </c>
    </row>
    <row r="175" spans="1:13" ht="13.5" hidden="1" x14ac:dyDescent="0.2">
      <c r="A175" t="s">
        <v>0</v>
      </c>
      <c r="B175" t="s">
        <v>729</v>
      </c>
      <c r="C175" t="s">
        <v>941</v>
      </c>
      <c r="D175" s="10" t="e">
        <f>INDEX(#REF!,MATCH(Validade!C175,#REF!,0))</f>
        <v>#REF!</v>
      </c>
      <c r="E175" s="10" t="e">
        <f>INDEX(#REF!,MATCH(Validade!C175,#REF!,0))</f>
        <v>#REF!</v>
      </c>
      <c r="F175" t="s">
        <v>942</v>
      </c>
      <c r="G175" t="s">
        <v>944</v>
      </c>
      <c r="H175" s="1"/>
      <c r="I175" s="1">
        <v>45198</v>
      </c>
      <c r="J175" s="2">
        <v>1000</v>
      </c>
      <c r="K175" t="s">
        <v>943</v>
      </c>
      <c r="L175" t="str">
        <f>INDEX(Dispodaten2!B:B,MATCH(C175,Dispodaten2!A:A,0))</f>
        <v>PD</v>
      </c>
    </row>
    <row r="176" spans="1:13" ht="13.5" hidden="1" x14ac:dyDescent="0.2">
      <c r="A176" t="s">
        <v>1752</v>
      </c>
      <c r="B176" t="s">
        <v>729</v>
      </c>
      <c r="C176" t="s">
        <v>994</v>
      </c>
      <c r="D176" s="10" t="e">
        <f>INDEX(#REF!,MATCH(Validade!C176,#REF!,0))</f>
        <v>#REF!</v>
      </c>
      <c r="E176" s="10" t="e">
        <f>INDEX(#REF!,MATCH(Validade!C176,#REF!,0))</f>
        <v>#REF!</v>
      </c>
      <c r="F176" t="s">
        <v>995</v>
      </c>
      <c r="G176" t="s">
        <v>1879</v>
      </c>
      <c r="H176" s="1">
        <v>46395</v>
      </c>
      <c r="I176" s="1">
        <v>44569</v>
      </c>
      <c r="J176" s="2">
        <v>5</v>
      </c>
      <c r="K176" t="s">
        <v>1878</v>
      </c>
      <c r="L176" t="str">
        <f>INDEX(Dispodaten2!B:B,MATCH(C176,Dispodaten2!A:A,0))</f>
        <v>V1</v>
      </c>
    </row>
    <row r="177" spans="1:12" ht="13.5" hidden="1" x14ac:dyDescent="0.2">
      <c r="A177" t="s">
        <v>0</v>
      </c>
      <c r="B177" t="s">
        <v>729</v>
      </c>
      <c r="C177" t="s">
        <v>1711</v>
      </c>
      <c r="D177" s="10" t="e">
        <f>INDEX(#REF!,MATCH(Validade!C177,#REF!,0))</f>
        <v>#REF!</v>
      </c>
      <c r="E177" s="10" t="e">
        <f>INDEX(#REF!,MATCH(Validade!C177,#REF!,0))</f>
        <v>#REF!</v>
      </c>
      <c r="F177" t="s">
        <v>1712</v>
      </c>
      <c r="G177" t="s">
        <v>1713</v>
      </c>
      <c r="H177" s="1">
        <v>62458</v>
      </c>
      <c r="I177" s="1"/>
      <c r="J177" s="2">
        <v>6</v>
      </c>
      <c r="K177" t="s">
        <v>1714</v>
      </c>
      <c r="L177" t="str">
        <f>INDEX(Dispodaten2!B:B,MATCH(C177,Dispodaten2!A:A,0))</f>
        <v>V1</v>
      </c>
    </row>
    <row r="178" spans="1:12" ht="13.5" hidden="1" x14ac:dyDescent="0.2">
      <c r="A178" t="s">
        <v>0</v>
      </c>
      <c r="B178" t="s">
        <v>729</v>
      </c>
      <c r="C178" t="s">
        <v>1715</v>
      </c>
      <c r="D178" s="10" t="e">
        <f>INDEX(#REF!,MATCH(Validade!C178,#REF!,0))</f>
        <v>#REF!</v>
      </c>
      <c r="E178" s="10" t="e">
        <f>INDEX(#REF!,MATCH(Validade!C178,#REF!,0))</f>
        <v>#REF!</v>
      </c>
      <c r="F178" t="s">
        <v>1716</v>
      </c>
      <c r="G178" t="s">
        <v>1717</v>
      </c>
      <c r="H178" s="1">
        <v>46386</v>
      </c>
      <c r="I178" s="1"/>
      <c r="J178" s="2">
        <v>11</v>
      </c>
      <c r="K178" t="s">
        <v>1714</v>
      </c>
      <c r="L178" t="str">
        <f>INDEX(Dispodaten2!B:B,MATCH(C178,Dispodaten2!A:A,0))</f>
        <v>V1</v>
      </c>
    </row>
    <row r="179" spans="1:12" ht="13.5" hidden="1" x14ac:dyDescent="0.2">
      <c r="A179" t="s">
        <v>1752</v>
      </c>
      <c r="B179" t="s">
        <v>729</v>
      </c>
      <c r="C179" t="s">
        <v>1802</v>
      </c>
      <c r="D179" s="10" t="e">
        <f>INDEX(#REF!,MATCH(Validade!C179,#REF!,0))</f>
        <v>#REF!</v>
      </c>
      <c r="E179" s="10" t="e">
        <f>INDEX(#REF!,MATCH(Validade!C179,#REF!,0))</f>
        <v>#REF!</v>
      </c>
      <c r="F179" t="s">
        <v>1803</v>
      </c>
      <c r="G179" t="s">
        <v>1804</v>
      </c>
      <c r="H179" s="1">
        <v>45825</v>
      </c>
      <c r="I179" s="1">
        <v>45243</v>
      </c>
      <c r="J179" s="2">
        <v>300</v>
      </c>
      <c r="K179" t="s">
        <v>1797</v>
      </c>
      <c r="L179" t="str">
        <f>INDEX(Dispodaten2!B:B,MATCH(C179,Dispodaten2!A:A,0))</f>
        <v>PD</v>
      </c>
    </row>
    <row r="180" spans="1:12" ht="13.5" hidden="1" x14ac:dyDescent="0.2">
      <c r="A180" t="s">
        <v>0</v>
      </c>
      <c r="B180" t="s">
        <v>729</v>
      </c>
      <c r="C180" t="s">
        <v>39</v>
      </c>
      <c r="D180" s="10" t="e">
        <f>INDEX(#REF!,MATCH(Validade!C180,#REF!,0))</f>
        <v>#REF!</v>
      </c>
      <c r="E180" s="10" t="e">
        <f>INDEX(#REF!,MATCH(Validade!C180,#REF!,0))</f>
        <v>#REF!</v>
      </c>
      <c r="F180" t="s">
        <v>40</v>
      </c>
      <c r="G180" t="s">
        <v>916</v>
      </c>
      <c r="H180" s="1">
        <v>45987</v>
      </c>
      <c r="I180" s="1"/>
      <c r="J180" s="2">
        <v>12000</v>
      </c>
      <c r="K180" t="s">
        <v>41</v>
      </c>
      <c r="L180" t="str">
        <f>INDEX(Dispodaten2!B:B,MATCH(C180,Dispodaten2!A:A,0))</f>
        <v>V1</v>
      </c>
    </row>
    <row r="181" spans="1:12" ht="13.5" hidden="1" x14ac:dyDescent="0.2">
      <c r="A181" t="s">
        <v>0</v>
      </c>
      <c r="B181" t="s">
        <v>729</v>
      </c>
      <c r="C181" t="s">
        <v>1685</v>
      </c>
      <c r="D181" s="10" t="e">
        <f>INDEX(#REF!,MATCH(Validade!C181,#REF!,0))</f>
        <v>#REF!</v>
      </c>
      <c r="E181" s="10" t="e">
        <f>INDEX(#REF!,MATCH(Validade!C181,#REF!,0))</f>
        <v>#REF!</v>
      </c>
      <c r="F181" t="s">
        <v>1686</v>
      </c>
      <c r="G181" t="s">
        <v>1687</v>
      </c>
      <c r="H181" s="1">
        <v>45702</v>
      </c>
      <c r="I181" s="1">
        <v>45152</v>
      </c>
      <c r="J181" s="2">
        <v>2000</v>
      </c>
      <c r="K181" t="s">
        <v>41</v>
      </c>
      <c r="L181" t="str">
        <f>INDEX(Dispodaten2!B:B,MATCH(C181,Dispodaten2!A:A,0))</f>
        <v>V1</v>
      </c>
    </row>
    <row r="182" spans="1:12" ht="13.5" hidden="1" x14ac:dyDescent="0.2">
      <c r="A182" t="s">
        <v>0</v>
      </c>
      <c r="B182" t="s">
        <v>729</v>
      </c>
      <c r="C182" t="s">
        <v>1682</v>
      </c>
      <c r="D182" s="10" t="e">
        <f>INDEX(#REF!,MATCH(Validade!C182,#REF!,0))</f>
        <v>#REF!</v>
      </c>
      <c r="E182" s="10" t="e">
        <f>INDEX(#REF!,MATCH(Validade!C182,#REF!,0))</f>
        <v>#REF!</v>
      </c>
      <c r="F182" t="s">
        <v>1683</v>
      </c>
      <c r="G182" t="s">
        <v>1684</v>
      </c>
      <c r="H182" s="1">
        <v>45702</v>
      </c>
      <c r="I182" s="1">
        <v>45152</v>
      </c>
      <c r="J182" s="2">
        <v>1000</v>
      </c>
      <c r="K182" t="s">
        <v>41</v>
      </c>
      <c r="L182" t="str">
        <f>INDEX(Dispodaten2!B:B,MATCH(C182,Dispodaten2!A:A,0))</f>
        <v>V1</v>
      </c>
    </row>
    <row r="183" spans="1:12" ht="13.5" hidden="1" x14ac:dyDescent="0.2">
      <c r="A183" t="s">
        <v>0</v>
      </c>
      <c r="B183" t="s">
        <v>729</v>
      </c>
      <c r="C183" t="s">
        <v>984</v>
      </c>
      <c r="D183" s="10" t="e">
        <f>INDEX(#REF!,MATCH(Validade!C183,#REF!,0))</f>
        <v>#REF!</v>
      </c>
      <c r="E183" s="10" t="e">
        <f>INDEX(#REF!,MATCH(Validade!C183,#REF!,0))</f>
        <v>#REF!</v>
      </c>
      <c r="F183" t="s">
        <v>985</v>
      </c>
      <c r="G183" t="s">
        <v>986</v>
      </c>
      <c r="H183" s="1">
        <v>45988</v>
      </c>
      <c r="I183" s="1"/>
      <c r="J183" s="2">
        <v>2000</v>
      </c>
      <c r="K183" t="s">
        <v>41</v>
      </c>
      <c r="L183" t="str">
        <f>INDEX(Dispodaten2!B:B,MATCH(C183,Dispodaten2!A:A,0))</f>
        <v>PD</v>
      </c>
    </row>
    <row r="184" spans="1:12" ht="13.5" hidden="1" x14ac:dyDescent="0.2">
      <c r="A184" t="s">
        <v>1752</v>
      </c>
      <c r="B184" t="s">
        <v>729</v>
      </c>
      <c r="C184" t="s">
        <v>1916</v>
      </c>
      <c r="D184" s="10" t="e">
        <f>INDEX(#REF!,MATCH(Validade!C184,#REF!,0))</f>
        <v>#REF!</v>
      </c>
      <c r="E184" s="10" t="e">
        <f>INDEX(#REF!,MATCH(Validade!C184,#REF!,0))</f>
        <v>#REF!</v>
      </c>
      <c r="F184" t="s">
        <v>1917</v>
      </c>
      <c r="G184" t="s">
        <v>1918</v>
      </c>
      <c r="H184" s="1">
        <v>45843</v>
      </c>
      <c r="I184" s="1">
        <v>45478</v>
      </c>
      <c r="J184" s="2">
        <v>1000</v>
      </c>
      <c r="K184" t="s">
        <v>41</v>
      </c>
      <c r="L184" t="str">
        <f>INDEX(Dispodaten2!B:B,MATCH(C184,Dispodaten2!A:A,0))</f>
        <v>PD</v>
      </c>
    </row>
    <row r="185" spans="1:12" ht="13.5" hidden="1" x14ac:dyDescent="0.2">
      <c r="A185" t="s">
        <v>1752</v>
      </c>
      <c r="B185" t="s">
        <v>729</v>
      </c>
      <c r="C185" t="s">
        <v>1919</v>
      </c>
      <c r="D185" s="10" t="e">
        <f>INDEX(#REF!,MATCH(Validade!C185,#REF!,0))</f>
        <v>#REF!</v>
      </c>
      <c r="E185" s="10" t="e">
        <f>INDEX(#REF!,MATCH(Validade!C185,#REF!,0))</f>
        <v>#REF!</v>
      </c>
      <c r="F185" t="s">
        <v>1920</v>
      </c>
      <c r="G185" t="s">
        <v>1921</v>
      </c>
      <c r="H185" s="1">
        <v>45730</v>
      </c>
      <c r="I185" s="1">
        <v>45365</v>
      </c>
      <c r="J185" s="2">
        <v>1000</v>
      </c>
      <c r="K185" t="s">
        <v>41</v>
      </c>
      <c r="L185" t="str">
        <f>INDEX(Dispodaten2!B:B,MATCH(C185,Dispodaten2!A:A,0))</f>
        <v>V1</v>
      </c>
    </row>
    <row r="186" spans="1:12" ht="13.5" hidden="1" x14ac:dyDescent="0.2">
      <c r="A186" t="s">
        <v>1752</v>
      </c>
      <c r="B186" t="s">
        <v>729</v>
      </c>
      <c r="C186" t="s">
        <v>1926</v>
      </c>
      <c r="D186" s="10" t="e">
        <f>INDEX(#REF!,MATCH(Validade!C186,#REF!,0))</f>
        <v>#REF!</v>
      </c>
      <c r="E186" s="10" t="e">
        <f>INDEX(#REF!,MATCH(Validade!C186,#REF!,0))</f>
        <v>#REF!</v>
      </c>
      <c r="F186" t="s">
        <v>1927</v>
      </c>
      <c r="G186" t="s">
        <v>1928</v>
      </c>
      <c r="H186" s="1">
        <v>45923</v>
      </c>
      <c r="I186" s="1">
        <v>45558</v>
      </c>
      <c r="J186" s="2">
        <v>5000</v>
      </c>
      <c r="K186" t="s">
        <v>41</v>
      </c>
      <c r="L186" t="str">
        <f>INDEX(Dispodaten2!B:B,MATCH(C186,Dispodaten2!A:A,0))</f>
        <v>V1</v>
      </c>
    </row>
    <row r="187" spans="1:12" ht="13.5" hidden="1" x14ac:dyDescent="0.2">
      <c r="A187" t="s">
        <v>0</v>
      </c>
      <c r="B187" t="s">
        <v>729</v>
      </c>
      <c r="C187" t="s">
        <v>958</v>
      </c>
      <c r="D187" s="10" t="e">
        <f>INDEX(#REF!,MATCH(Validade!C187,#REF!,0))</f>
        <v>#REF!</v>
      </c>
      <c r="E187" s="10" t="e">
        <f>INDEX(#REF!,MATCH(Validade!C187,#REF!,0))</f>
        <v>#REF!</v>
      </c>
      <c r="F187" t="s">
        <v>959</v>
      </c>
      <c r="G187" t="s">
        <v>960</v>
      </c>
      <c r="H187" s="1">
        <v>45925</v>
      </c>
      <c r="I187" s="1">
        <v>45560</v>
      </c>
      <c r="J187" s="2">
        <v>56000</v>
      </c>
      <c r="K187" t="s">
        <v>41</v>
      </c>
      <c r="L187" t="str">
        <f>INDEX(Dispodaten2!B:B,MATCH(C187,Dispodaten2!A:A,0))</f>
        <v>V1</v>
      </c>
    </row>
    <row r="188" spans="1:12" ht="13.5" hidden="1" x14ac:dyDescent="0.2">
      <c r="A188" t="s">
        <v>0</v>
      </c>
      <c r="B188" t="s">
        <v>729</v>
      </c>
      <c r="C188" t="s">
        <v>1688</v>
      </c>
      <c r="D188" s="10" t="e">
        <f>INDEX(#REF!,MATCH(Validade!C188,#REF!,0))</f>
        <v>#REF!</v>
      </c>
      <c r="E188" s="10" t="e">
        <f>INDEX(#REF!,MATCH(Validade!C188,#REF!,0))</f>
        <v>#REF!</v>
      </c>
      <c r="F188" t="s">
        <v>1689</v>
      </c>
      <c r="G188" t="s">
        <v>1690</v>
      </c>
      <c r="H188" s="1">
        <v>45961</v>
      </c>
      <c r="I188" s="1">
        <v>45573</v>
      </c>
      <c r="J188" s="2">
        <v>24000</v>
      </c>
      <c r="K188" t="s">
        <v>41</v>
      </c>
      <c r="L188" t="str">
        <f>INDEX(Dispodaten2!B:B,MATCH(C188,Dispodaten2!A:A,0))</f>
        <v>V1</v>
      </c>
    </row>
    <row r="189" spans="1:12" ht="13.5" hidden="1" x14ac:dyDescent="0.2">
      <c r="A189" t="s">
        <v>0</v>
      </c>
      <c r="B189" t="s">
        <v>729</v>
      </c>
      <c r="C189" t="s">
        <v>1678</v>
      </c>
      <c r="D189" s="10" t="e">
        <f>INDEX(#REF!,MATCH(Validade!C189,#REF!,0))</f>
        <v>#REF!</v>
      </c>
      <c r="E189" s="10" t="e">
        <f>INDEX(#REF!,MATCH(Validade!C189,#REF!,0))</f>
        <v>#REF!</v>
      </c>
      <c r="F189" t="s">
        <v>1679</v>
      </c>
      <c r="G189" t="s">
        <v>1680</v>
      </c>
      <c r="H189" s="1">
        <v>45931</v>
      </c>
      <c r="I189" s="1"/>
      <c r="J189" s="2">
        <v>65000</v>
      </c>
      <c r="K189" t="s">
        <v>41</v>
      </c>
      <c r="L189" t="str">
        <f>INDEX(Dispodaten2!B:B,MATCH(C189,Dispodaten2!A:A,0))</f>
        <v>PD</v>
      </c>
    </row>
    <row r="190" spans="1:12" ht="13.5" hidden="1" x14ac:dyDescent="0.2">
      <c r="A190" t="s">
        <v>0</v>
      </c>
      <c r="B190" t="s">
        <v>729</v>
      </c>
      <c r="C190" t="s">
        <v>1013</v>
      </c>
      <c r="D190" s="10" t="e">
        <f>INDEX(#REF!,MATCH(Validade!C190,#REF!,0))</f>
        <v>#REF!</v>
      </c>
      <c r="E190" s="10" t="e">
        <f>INDEX(#REF!,MATCH(Validade!C190,#REF!,0))</f>
        <v>#REF!</v>
      </c>
      <c r="F190" t="s">
        <v>1014</v>
      </c>
      <c r="G190" t="s">
        <v>1015</v>
      </c>
      <c r="H190" s="1">
        <v>45960</v>
      </c>
      <c r="I190" s="1">
        <v>45412</v>
      </c>
      <c r="J190" s="2">
        <v>1000</v>
      </c>
      <c r="K190" t="s">
        <v>41</v>
      </c>
      <c r="L190" t="str">
        <f>INDEX(Dispodaten2!B:B,MATCH(C190,Dispodaten2!A:A,0))</f>
        <v>ND</v>
      </c>
    </row>
    <row r="191" spans="1:12" ht="13.5" hidden="1" x14ac:dyDescent="0.2">
      <c r="A191" t="s">
        <v>0</v>
      </c>
      <c r="B191" t="s">
        <v>729</v>
      </c>
      <c r="C191" t="s">
        <v>703</v>
      </c>
      <c r="D191" s="10" t="e">
        <f>INDEX(#REF!,MATCH(Validade!C191,#REF!,0))</f>
        <v>#REF!</v>
      </c>
      <c r="E191" s="10" t="e">
        <f>INDEX(#REF!,MATCH(Validade!C191,#REF!,0))</f>
        <v>#REF!</v>
      </c>
      <c r="F191" t="s">
        <v>704</v>
      </c>
      <c r="G191" t="s">
        <v>1669</v>
      </c>
      <c r="H191" s="1">
        <v>45912</v>
      </c>
      <c r="I191" s="1"/>
      <c r="J191" s="2">
        <v>622000</v>
      </c>
      <c r="K191" t="s">
        <v>41</v>
      </c>
      <c r="L191" t="str">
        <f>INDEX(Dispodaten2!B:B,MATCH(C191,Dispodaten2!A:A,0))</f>
        <v>PD</v>
      </c>
    </row>
    <row r="192" spans="1:12" ht="13.5" hidden="1" x14ac:dyDescent="0.2">
      <c r="A192" t="s">
        <v>0</v>
      </c>
      <c r="B192" t="s">
        <v>729</v>
      </c>
      <c r="C192" t="s">
        <v>705</v>
      </c>
      <c r="D192" s="10" t="e">
        <f>INDEX(#REF!,MATCH(Validade!C192,#REF!,0))</f>
        <v>#REF!</v>
      </c>
      <c r="E192" s="10" t="e">
        <f>INDEX(#REF!,MATCH(Validade!C192,#REF!,0))</f>
        <v>#REF!</v>
      </c>
      <c r="F192" t="s">
        <v>706</v>
      </c>
      <c r="G192" t="s">
        <v>1674</v>
      </c>
      <c r="H192" s="1">
        <v>45860</v>
      </c>
      <c r="I192" s="1">
        <v>45495</v>
      </c>
      <c r="J192" s="2">
        <v>8000</v>
      </c>
      <c r="K192" t="s">
        <v>41</v>
      </c>
      <c r="L192" t="str">
        <f>INDEX(Dispodaten2!B:B,MATCH(C192,Dispodaten2!A:A,0))</f>
        <v>V1</v>
      </c>
    </row>
    <row r="193" spans="1:12" ht="13.5" hidden="1" x14ac:dyDescent="0.2">
      <c r="A193" t="s">
        <v>0</v>
      </c>
      <c r="B193" t="s">
        <v>729</v>
      </c>
      <c r="C193" t="s">
        <v>1037</v>
      </c>
      <c r="D193" s="10" t="e">
        <f>INDEX(#REF!,MATCH(Validade!C193,#REF!,0))</f>
        <v>#REF!</v>
      </c>
      <c r="E193" s="10" t="e">
        <f>INDEX(#REF!,MATCH(Validade!C193,#REF!,0))</f>
        <v>#REF!</v>
      </c>
      <c r="F193" t="s">
        <v>1038</v>
      </c>
      <c r="G193" t="s">
        <v>1039</v>
      </c>
      <c r="H193" s="1">
        <v>45939</v>
      </c>
      <c r="I193" s="1"/>
      <c r="J193" s="2">
        <v>18000</v>
      </c>
      <c r="K193" t="s">
        <v>41</v>
      </c>
      <c r="L193" t="str">
        <f>INDEX(Dispodaten2!B:B,MATCH(C193,Dispodaten2!A:A,0))</f>
        <v>V1</v>
      </c>
    </row>
    <row r="194" spans="1:12" ht="13.5" hidden="1" x14ac:dyDescent="0.2">
      <c r="A194" t="s">
        <v>0</v>
      </c>
      <c r="B194" t="s">
        <v>729</v>
      </c>
      <c r="C194" t="s">
        <v>709</v>
      </c>
      <c r="D194" s="10" t="e">
        <f>INDEX(#REF!,MATCH(Validade!C194,#REF!,0))</f>
        <v>#REF!</v>
      </c>
      <c r="E194" s="10" t="e">
        <f>INDEX(#REF!,MATCH(Validade!C194,#REF!,0))</f>
        <v>#REF!</v>
      </c>
      <c r="F194" t="s">
        <v>710</v>
      </c>
      <c r="G194" t="s">
        <v>1691</v>
      </c>
      <c r="H194" s="1">
        <v>45849</v>
      </c>
      <c r="I194" s="1"/>
      <c r="J194" s="2">
        <v>22000</v>
      </c>
      <c r="K194" t="s">
        <v>41</v>
      </c>
      <c r="L194" t="str">
        <f>INDEX(Dispodaten2!B:B,MATCH(C194,Dispodaten2!A:A,0))</f>
        <v>V1</v>
      </c>
    </row>
    <row r="195" spans="1:12" ht="13.5" hidden="1" x14ac:dyDescent="0.2">
      <c r="A195" t="s">
        <v>0</v>
      </c>
      <c r="B195" t="s">
        <v>729</v>
      </c>
      <c r="C195" t="s">
        <v>1671</v>
      </c>
      <c r="D195" s="10" t="e">
        <f>INDEX(#REF!,MATCH(Validade!C195,#REF!,0))</f>
        <v>#REF!</v>
      </c>
      <c r="E195" s="10" t="e">
        <f>INDEX(#REF!,MATCH(Validade!C195,#REF!,0))</f>
        <v>#REF!</v>
      </c>
      <c r="F195" t="s">
        <v>1672</v>
      </c>
      <c r="G195" t="s">
        <v>1673</v>
      </c>
      <c r="H195" s="1">
        <v>45987</v>
      </c>
      <c r="I195" s="1"/>
      <c r="J195" s="2">
        <v>4000</v>
      </c>
      <c r="K195" t="s">
        <v>41</v>
      </c>
      <c r="L195" t="str">
        <f>INDEX(Dispodaten2!B:B,MATCH(C195,Dispodaten2!A:A,0))</f>
        <v>PD</v>
      </c>
    </row>
    <row r="196" spans="1:12" ht="13.5" hidden="1" x14ac:dyDescent="0.2">
      <c r="A196" t="s">
        <v>0</v>
      </c>
      <c r="B196" t="s">
        <v>729</v>
      </c>
      <c r="C196" t="s">
        <v>1675</v>
      </c>
      <c r="D196" s="10" t="e">
        <f>INDEX(#REF!,MATCH(Validade!C196,#REF!,0))</f>
        <v>#REF!</v>
      </c>
      <c r="E196" s="10" t="e">
        <f>INDEX(#REF!,MATCH(Validade!C196,#REF!,0))</f>
        <v>#REF!</v>
      </c>
      <c r="F196" t="s">
        <v>1676</v>
      </c>
      <c r="G196" t="s">
        <v>1677</v>
      </c>
      <c r="H196" s="1">
        <v>45938</v>
      </c>
      <c r="I196" s="1"/>
      <c r="J196" s="2">
        <v>9000</v>
      </c>
      <c r="K196" t="s">
        <v>41</v>
      </c>
      <c r="L196" t="str">
        <f>INDEX(Dispodaten2!B:B,MATCH(C196,Dispodaten2!A:A,0))</f>
        <v>PD</v>
      </c>
    </row>
    <row r="197" spans="1:12" ht="13.5" hidden="1" x14ac:dyDescent="0.2">
      <c r="A197" t="s">
        <v>0</v>
      </c>
      <c r="B197" t="s">
        <v>729</v>
      </c>
      <c r="C197" t="s">
        <v>1728</v>
      </c>
      <c r="D197" s="10" t="e">
        <f>INDEX(#REF!,MATCH(Validade!C197,#REF!,0))</f>
        <v>#REF!</v>
      </c>
      <c r="E197" s="10" t="e">
        <f>INDEX(#REF!,MATCH(Validade!C197,#REF!,0))</f>
        <v>#REF!</v>
      </c>
      <c r="F197" t="s">
        <v>1729</v>
      </c>
      <c r="G197" t="s">
        <v>1730</v>
      </c>
      <c r="H197" s="1">
        <v>45968</v>
      </c>
      <c r="I197" s="1"/>
      <c r="J197" s="2">
        <v>9500</v>
      </c>
      <c r="K197" t="s">
        <v>41</v>
      </c>
      <c r="L197" t="str">
        <f>INDEX(Dispodaten2!B:B,MATCH(C197,Dispodaten2!A:A,0))</f>
        <v>V1</v>
      </c>
    </row>
    <row r="198" spans="1:12" ht="13.5" hidden="1" x14ac:dyDescent="0.2">
      <c r="A198" t="s">
        <v>1752</v>
      </c>
      <c r="B198" t="s">
        <v>729</v>
      </c>
      <c r="C198" t="s">
        <v>1922</v>
      </c>
      <c r="D198" s="10" t="e">
        <f>INDEX(#REF!,MATCH(Validade!C198,#REF!,0))</f>
        <v>#REF!</v>
      </c>
      <c r="E198" s="10" t="e">
        <f>INDEX(#REF!,MATCH(Validade!C198,#REF!,0))</f>
        <v>#REF!</v>
      </c>
      <c r="F198" t="s">
        <v>1923</v>
      </c>
      <c r="G198" t="s">
        <v>1924</v>
      </c>
      <c r="H198" s="1">
        <v>45997</v>
      </c>
      <c r="I198" s="1">
        <v>45449</v>
      </c>
      <c r="J198" s="2">
        <v>1000</v>
      </c>
      <c r="K198" t="s">
        <v>41</v>
      </c>
      <c r="L198" t="str">
        <f>INDEX(Dispodaten2!B:B,MATCH(C198,Dispodaten2!A:A,0))</f>
        <v>PD</v>
      </c>
    </row>
    <row r="199" spans="1:12" ht="13.5" hidden="1" x14ac:dyDescent="0.2">
      <c r="A199" t="s">
        <v>0</v>
      </c>
      <c r="B199" t="s">
        <v>729</v>
      </c>
      <c r="C199" t="s">
        <v>1010</v>
      </c>
      <c r="D199" s="10" t="e">
        <f>INDEX(#REF!,MATCH(Validade!C199,#REF!,0))</f>
        <v>#REF!</v>
      </c>
      <c r="E199" s="10" t="e">
        <f>INDEX(#REF!,MATCH(Validade!C199,#REF!,0))</f>
        <v>#REF!</v>
      </c>
      <c r="F199" t="s">
        <v>1011</v>
      </c>
      <c r="G199" t="s">
        <v>1012</v>
      </c>
      <c r="H199" s="1">
        <v>45953</v>
      </c>
      <c r="I199" s="1"/>
      <c r="J199" s="2">
        <v>4000</v>
      </c>
      <c r="K199" t="s">
        <v>41</v>
      </c>
      <c r="L199" t="str">
        <f>INDEX(Dispodaten2!B:B,MATCH(C199,Dispodaten2!A:A,0))</f>
        <v>PD</v>
      </c>
    </row>
    <row r="200" spans="1:12" ht="13.5" hidden="1" x14ac:dyDescent="0.2">
      <c r="A200" t="s">
        <v>0</v>
      </c>
      <c r="B200" t="s">
        <v>729</v>
      </c>
      <c r="C200" t="s">
        <v>1055</v>
      </c>
      <c r="D200" s="10" t="e">
        <f>INDEX(#REF!,MATCH(Validade!C200,#REF!,0))</f>
        <v>#REF!</v>
      </c>
      <c r="E200" s="10" t="e">
        <f>INDEX(#REF!,MATCH(Validade!C200,#REF!,0))</f>
        <v>#REF!</v>
      </c>
      <c r="F200" t="s">
        <v>1056</v>
      </c>
      <c r="G200" t="s">
        <v>1057</v>
      </c>
      <c r="H200" s="1">
        <v>45853</v>
      </c>
      <c r="I200" s="1"/>
      <c r="J200" s="2">
        <v>2000</v>
      </c>
      <c r="K200" t="s">
        <v>41</v>
      </c>
      <c r="L200" t="str">
        <f>INDEX(Dispodaten2!B:B,MATCH(C200,Dispodaten2!A:A,0))</f>
        <v>PD</v>
      </c>
    </row>
    <row r="201" spans="1:12" ht="13.5" hidden="1" x14ac:dyDescent="0.2">
      <c r="A201" t="s">
        <v>1752</v>
      </c>
      <c r="B201" t="s">
        <v>729</v>
      </c>
      <c r="C201" t="s">
        <v>1767</v>
      </c>
      <c r="D201" s="10" t="e">
        <f>INDEX(#REF!,MATCH(Validade!C201,#REF!,0))</f>
        <v>#REF!</v>
      </c>
      <c r="E201" s="10" t="e">
        <f>INDEX(#REF!,MATCH(Validade!C201,#REF!,0))</f>
        <v>#REF!</v>
      </c>
      <c r="F201" t="s">
        <v>1768</v>
      </c>
      <c r="G201" t="s">
        <v>1881</v>
      </c>
      <c r="H201" s="1">
        <v>45995</v>
      </c>
      <c r="I201" s="1">
        <v>45630</v>
      </c>
      <c r="J201" s="2">
        <v>10000</v>
      </c>
      <c r="K201" t="s">
        <v>41</v>
      </c>
      <c r="L201" t="str">
        <f>INDEX(Dispodaten2!B:B,MATCH(C201,Dispodaten2!A:A,0))</f>
        <v>PD</v>
      </c>
    </row>
    <row r="202" spans="1:12" ht="13.5" hidden="1" x14ac:dyDescent="0.2">
      <c r="A202" t="s">
        <v>1752</v>
      </c>
      <c r="B202" t="s">
        <v>729</v>
      </c>
      <c r="C202" t="s">
        <v>1831</v>
      </c>
      <c r="D202" s="10" t="e">
        <f>INDEX(#REF!,MATCH(Validade!C202,#REF!,0))</f>
        <v>#REF!</v>
      </c>
      <c r="E202" s="10" t="e">
        <f>INDEX(#REF!,MATCH(Validade!C202,#REF!,0))</f>
        <v>#REF!</v>
      </c>
      <c r="F202" t="s">
        <v>1832</v>
      </c>
      <c r="G202" t="s">
        <v>1964</v>
      </c>
      <c r="H202" s="1">
        <v>46506</v>
      </c>
      <c r="I202" s="1"/>
      <c r="J202" s="2">
        <v>175</v>
      </c>
      <c r="K202" t="s">
        <v>28</v>
      </c>
      <c r="L202" t="str">
        <f>INDEX(Dispodaten2!B:B,MATCH(C202,Dispodaten2!A:A,0))</f>
        <v>V1</v>
      </c>
    </row>
    <row r="203" spans="1:12" ht="13.5" hidden="1" x14ac:dyDescent="0.2">
      <c r="A203" t="s">
        <v>0</v>
      </c>
      <c r="B203" t="s">
        <v>729</v>
      </c>
      <c r="C203" t="s">
        <v>469</v>
      </c>
      <c r="D203" s="10" t="e">
        <f>INDEX(#REF!,MATCH(Validade!C203,#REF!,0))</f>
        <v>#REF!</v>
      </c>
      <c r="E203" s="10" t="e">
        <f>INDEX(#REF!,MATCH(Validade!C203,#REF!,0))</f>
        <v>#REF!</v>
      </c>
      <c r="F203" t="s">
        <v>470</v>
      </c>
      <c r="G203" t="s">
        <v>1584</v>
      </c>
      <c r="H203" s="1">
        <v>46925</v>
      </c>
      <c r="I203" s="1"/>
      <c r="J203" s="2">
        <v>80</v>
      </c>
      <c r="K203" t="s">
        <v>28</v>
      </c>
      <c r="L203" t="str">
        <f>INDEX(Dispodaten2!B:B,MATCH(C203,Dispodaten2!A:A,0))</f>
        <v>PD</v>
      </c>
    </row>
    <row r="204" spans="1:12" ht="13.5" hidden="1" x14ac:dyDescent="0.2">
      <c r="A204" t="s">
        <v>0</v>
      </c>
      <c r="B204" t="s">
        <v>729</v>
      </c>
      <c r="C204" t="s">
        <v>453</v>
      </c>
      <c r="D204" s="10" t="e">
        <f>INDEX(#REF!,MATCH(Validade!C204,#REF!,0))</f>
        <v>#REF!</v>
      </c>
      <c r="E204" s="10" t="e">
        <f>INDEX(#REF!,MATCH(Validade!C204,#REF!,0))</f>
        <v>#REF!</v>
      </c>
      <c r="F204" t="s">
        <v>454</v>
      </c>
      <c r="G204" t="s">
        <v>1575</v>
      </c>
      <c r="H204" s="1">
        <v>46272</v>
      </c>
      <c r="I204" s="1"/>
      <c r="J204" s="2">
        <v>50</v>
      </c>
      <c r="K204" t="s">
        <v>28</v>
      </c>
      <c r="L204" t="str">
        <f>INDEX(Dispodaten2!B:B,MATCH(C204,Dispodaten2!A:A,0))</f>
        <v>PD</v>
      </c>
    </row>
    <row r="205" spans="1:12" ht="13.5" hidden="1" x14ac:dyDescent="0.2">
      <c r="A205" t="s">
        <v>0</v>
      </c>
      <c r="B205" t="s">
        <v>729</v>
      </c>
      <c r="C205" t="s">
        <v>462</v>
      </c>
      <c r="D205" s="10" t="e">
        <f>INDEX(#REF!,MATCH(Validade!C205,#REF!,0))</f>
        <v>#REF!</v>
      </c>
      <c r="E205" s="10" t="e">
        <f>INDEX(#REF!,MATCH(Validade!C205,#REF!,0))</f>
        <v>#REF!</v>
      </c>
      <c r="F205" t="s">
        <v>463</v>
      </c>
      <c r="G205" t="s">
        <v>1578</v>
      </c>
      <c r="H205" s="1">
        <v>46063</v>
      </c>
      <c r="I205" s="1"/>
      <c r="J205" s="2">
        <v>40</v>
      </c>
      <c r="K205" t="s">
        <v>28</v>
      </c>
      <c r="L205" t="str">
        <f>INDEX(Dispodaten2!B:B,MATCH(C205,Dispodaten2!A:A,0))</f>
        <v>PD</v>
      </c>
    </row>
    <row r="206" spans="1:12" ht="13.5" hidden="1" x14ac:dyDescent="0.2">
      <c r="A206" t="s">
        <v>0</v>
      </c>
      <c r="B206" t="s">
        <v>729</v>
      </c>
      <c r="C206" t="s">
        <v>500</v>
      </c>
      <c r="D206" s="10" t="e">
        <f>INDEX(#REF!,MATCH(Validade!C206,#REF!,0))</f>
        <v>#REF!</v>
      </c>
      <c r="E206" s="10" t="e">
        <f>INDEX(#REF!,MATCH(Validade!C206,#REF!,0))</f>
        <v>#REF!</v>
      </c>
      <c r="F206" t="s">
        <v>501</v>
      </c>
      <c r="G206" t="s">
        <v>502</v>
      </c>
      <c r="H206" s="1">
        <v>47163</v>
      </c>
      <c r="I206" s="1"/>
      <c r="J206" s="2">
        <v>61</v>
      </c>
      <c r="K206" t="s">
        <v>28</v>
      </c>
      <c r="L206" t="str">
        <f>INDEX(Dispodaten2!B:B,MATCH(C206,Dispodaten2!A:A,0))</f>
        <v>PD</v>
      </c>
    </row>
    <row r="207" spans="1:12" ht="13.5" hidden="1" x14ac:dyDescent="0.2">
      <c r="A207" t="s">
        <v>0</v>
      </c>
      <c r="B207" t="s">
        <v>729</v>
      </c>
      <c r="C207" t="s">
        <v>466</v>
      </c>
      <c r="D207" s="10" t="e">
        <f>INDEX(#REF!,MATCH(Validade!C207,#REF!,0))</f>
        <v>#REF!</v>
      </c>
      <c r="E207" s="10" t="e">
        <f>INDEX(#REF!,MATCH(Validade!C207,#REF!,0))</f>
        <v>#REF!</v>
      </c>
      <c r="F207" t="s">
        <v>467</v>
      </c>
      <c r="G207" t="s">
        <v>468</v>
      </c>
      <c r="H207" s="1">
        <v>47107</v>
      </c>
      <c r="I207" s="1"/>
      <c r="J207" s="2">
        <v>212</v>
      </c>
      <c r="K207" t="s">
        <v>28</v>
      </c>
      <c r="L207" t="str">
        <f>INDEX(Dispodaten2!B:B,MATCH(C207,Dispodaten2!A:A,0))</f>
        <v>PD</v>
      </c>
    </row>
    <row r="208" spans="1:12" ht="13.5" hidden="1" x14ac:dyDescent="0.2">
      <c r="A208" t="s">
        <v>0</v>
      </c>
      <c r="B208" t="s">
        <v>729</v>
      </c>
      <c r="C208" t="s">
        <v>1587</v>
      </c>
      <c r="D208" s="10" t="e">
        <f>INDEX(#REF!,MATCH(Validade!C208,#REF!,0))</f>
        <v>#REF!</v>
      </c>
      <c r="E208" s="10" t="e">
        <f>INDEX(#REF!,MATCH(Validade!C208,#REF!,0))</f>
        <v>#REF!</v>
      </c>
      <c r="F208" t="s">
        <v>1588</v>
      </c>
      <c r="G208" t="s">
        <v>1589</v>
      </c>
      <c r="H208" s="1">
        <v>45732</v>
      </c>
      <c r="I208" s="1"/>
      <c r="J208" s="2">
        <v>120</v>
      </c>
      <c r="K208" t="s">
        <v>28</v>
      </c>
      <c r="L208" t="str">
        <f>INDEX(Dispodaten2!B:B,MATCH(C208,Dispodaten2!A:A,0))</f>
        <v>PD</v>
      </c>
    </row>
    <row r="209" spans="1:12" ht="13.5" hidden="1" x14ac:dyDescent="0.2">
      <c r="A209" t="s">
        <v>0</v>
      </c>
      <c r="B209" t="s">
        <v>729</v>
      </c>
      <c r="C209" t="s">
        <v>1590</v>
      </c>
      <c r="D209" s="10" t="e">
        <f>INDEX(#REF!,MATCH(Validade!C209,#REF!,0))</f>
        <v>#REF!</v>
      </c>
      <c r="E209" s="10" t="e">
        <f>INDEX(#REF!,MATCH(Validade!C209,#REF!,0))</f>
        <v>#REF!</v>
      </c>
      <c r="F209" t="s">
        <v>1591</v>
      </c>
      <c r="G209" t="s">
        <v>1592</v>
      </c>
      <c r="H209" s="1">
        <v>45823</v>
      </c>
      <c r="I209" s="1"/>
      <c r="J209" s="2">
        <v>57</v>
      </c>
      <c r="K209" t="s">
        <v>28</v>
      </c>
      <c r="L209" t="str">
        <f>INDEX(Dispodaten2!B:B,MATCH(C209,Dispodaten2!A:A,0))</f>
        <v>PD</v>
      </c>
    </row>
    <row r="210" spans="1:12" ht="13.5" hidden="1" x14ac:dyDescent="0.2">
      <c r="A210" t="s">
        <v>0</v>
      </c>
      <c r="B210" t="s">
        <v>729</v>
      </c>
      <c r="C210" t="s">
        <v>483</v>
      </c>
      <c r="D210" s="10" t="e">
        <f>INDEX(#REF!,MATCH(Validade!C210,#REF!,0))</f>
        <v>#REF!</v>
      </c>
      <c r="E210" s="10" t="e">
        <f>INDEX(#REF!,MATCH(Validade!C210,#REF!,0))</f>
        <v>#REF!</v>
      </c>
      <c r="F210" t="s">
        <v>484</v>
      </c>
      <c r="G210" t="s">
        <v>1593</v>
      </c>
      <c r="H210" s="1">
        <v>46789</v>
      </c>
      <c r="I210" s="1"/>
      <c r="J210" s="2">
        <v>38</v>
      </c>
      <c r="K210" t="s">
        <v>28</v>
      </c>
      <c r="L210" t="str">
        <f>INDEX(Dispodaten2!B:B,MATCH(C210,Dispodaten2!A:A,0))</f>
        <v>PD</v>
      </c>
    </row>
    <row r="211" spans="1:12" ht="13.5" hidden="1" x14ac:dyDescent="0.2">
      <c r="A211" t="s">
        <v>0</v>
      </c>
      <c r="B211" t="s">
        <v>729</v>
      </c>
      <c r="C211" t="s">
        <v>503</v>
      </c>
      <c r="D211" s="10" t="e">
        <f>INDEX(#REF!,MATCH(Validade!C211,#REF!,0))</f>
        <v>#REF!</v>
      </c>
      <c r="E211" s="10" t="e">
        <f>INDEX(#REF!,MATCH(Validade!C211,#REF!,0))</f>
        <v>#REF!</v>
      </c>
      <c r="F211" t="s">
        <v>504</v>
      </c>
      <c r="G211" t="s">
        <v>1607</v>
      </c>
      <c r="H211" s="1">
        <v>47314</v>
      </c>
      <c r="I211" s="1"/>
      <c r="J211" s="2">
        <v>134</v>
      </c>
      <c r="K211" t="s">
        <v>28</v>
      </c>
      <c r="L211" t="str">
        <f>INDEX(Dispodaten2!B:B,MATCH(C211,Dispodaten2!A:A,0))</f>
        <v>PD</v>
      </c>
    </row>
    <row r="212" spans="1:12" ht="13.5" hidden="1" x14ac:dyDescent="0.2">
      <c r="A212" t="s">
        <v>0</v>
      </c>
      <c r="B212" t="s">
        <v>729</v>
      </c>
      <c r="C212" t="s">
        <v>505</v>
      </c>
      <c r="D212" s="10" t="e">
        <f>INDEX(#REF!,MATCH(Validade!C212,#REF!,0))</f>
        <v>#REF!</v>
      </c>
      <c r="E212" s="10" t="e">
        <f>INDEX(#REF!,MATCH(Validade!C212,#REF!,0))</f>
        <v>#REF!</v>
      </c>
      <c r="F212" t="s">
        <v>31</v>
      </c>
      <c r="G212" t="s">
        <v>1608</v>
      </c>
      <c r="H212" s="1">
        <v>46951</v>
      </c>
      <c r="I212" s="1"/>
      <c r="J212" s="2">
        <v>1</v>
      </c>
      <c r="K212" t="s">
        <v>28</v>
      </c>
      <c r="L212" t="str">
        <f>INDEX(Dispodaten2!B:B,MATCH(C212,Dispodaten2!A:A,0))</f>
        <v>PD</v>
      </c>
    </row>
    <row r="213" spans="1:12" ht="13.5" hidden="1" x14ac:dyDescent="0.2">
      <c r="A213" t="s">
        <v>0</v>
      </c>
      <c r="B213" t="s">
        <v>729</v>
      </c>
      <c r="C213" t="s">
        <v>30</v>
      </c>
      <c r="D213" s="10" t="e">
        <f>INDEX(#REF!,MATCH(Validade!C213,#REF!,0))</f>
        <v>#REF!</v>
      </c>
      <c r="E213" s="10" t="e">
        <f>INDEX(#REF!,MATCH(Validade!C213,#REF!,0))</f>
        <v>#REF!</v>
      </c>
      <c r="F213" t="s">
        <v>31</v>
      </c>
      <c r="G213" t="s">
        <v>32</v>
      </c>
      <c r="H213" s="1">
        <v>47022</v>
      </c>
      <c r="I213" s="1"/>
      <c r="J213" s="2">
        <v>348</v>
      </c>
      <c r="K213" t="s">
        <v>28</v>
      </c>
      <c r="L213" t="str">
        <f>INDEX(Dispodaten2!B:B,MATCH(C213,Dispodaten2!A:A,0))</f>
        <v>PD</v>
      </c>
    </row>
    <row r="214" spans="1:12" ht="13.5" hidden="1" x14ac:dyDescent="0.2">
      <c r="A214" t="s">
        <v>0</v>
      </c>
      <c r="B214" t="s">
        <v>729</v>
      </c>
      <c r="C214" t="s">
        <v>455</v>
      </c>
      <c r="D214" s="10" t="e">
        <f>INDEX(#REF!,MATCH(Validade!C214,#REF!,0))</f>
        <v>#REF!</v>
      </c>
      <c r="E214" s="10" t="e">
        <f>INDEX(#REF!,MATCH(Validade!C214,#REF!,0))</f>
        <v>#REF!</v>
      </c>
      <c r="F214" t="s">
        <v>456</v>
      </c>
      <c r="G214" t="s">
        <v>1576</v>
      </c>
      <c r="H214" s="1">
        <v>46810</v>
      </c>
      <c r="I214" s="1"/>
      <c r="J214" s="2">
        <v>120</v>
      </c>
      <c r="K214" t="s">
        <v>28</v>
      </c>
      <c r="L214" t="str">
        <f>INDEX(Dispodaten2!B:B,MATCH(C214,Dispodaten2!A:A,0))</f>
        <v>PD</v>
      </c>
    </row>
    <row r="215" spans="1:12" ht="13.5" hidden="1" x14ac:dyDescent="0.2">
      <c r="A215" t="s">
        <v>0</v>
      </c>
      <c r="B215" t="s">
        <v>729</v>
      </c>
      <c r="C215" t="s">
        <v>1609</v>
      </c>
      <c r="D215" s="10" t="e">
        <f>INDEX(#REF!,MATCH(Validade!C215,#REF!,0))</f>
        <v>#REF!</v>
      </c>
      <c r="E215" s="10" t="e">
        <f>INDEX(#REF!,MATCH(Validade!C215,#REF!,0))</f>
        <v>#REF!</v>
      </c>
      <c r="F215" t="s">
        <v>1610</v>
      </c>
      <c r="G215" t="s">
        <v>1611</v>
      </c>
      <c r="H215" s="1">
        <v>46658</v>
      </c>
      <c r="I215" s="1"/>
      <c r="J215" s="2">
        <v>396</v>
      </c>
      <c r="K215" t="s">
        <v>28</v>
      </c>
      <c r="L215" t="str">
        <f>INDEX(Dispodaten2!B:B,MATCH(C215,Dispodaten2!A:A,0))</f>
        <v>PD</v>
      </c>
    </row>
    <row r="216" spans="1:12" ht="13.5" hidden="1" x14ac:dyDescent="0.2">
      <c r="A216" t="s">
        <v>0</v>
      </c>
      <c r="B216" t="s">
        <v>729</v>
      </c>
      <c r="C216" t="s">
        <v>460</v>
      </c>
      <c r="D216" s="10" t="e">
        <f>INDEX(#REF!,MATCH(Validade!C216,#REF!,0))</f>
        <v>#REF!</v>
      </c>
      <c r="E216" s="10" t="e">
        <f>INDEX(#REF!,MATCH(Validade!C216,#REF!,0))</f>
        <v>#REF!</v>
      </c>
      <c r="F216" t="s">
        <v>461</v>
      </c>
      <c r="G216" t="s">
        <v>1577</v>
      </c>
      <c r="H216" s="1">
        <v>47310</v>
      </c>
      <c r="I216" s="1"/>
      <c r="J216" s="2">
        <v>60</v>
      </c>
      <c r="K216" t="s">
        <v>28</v>
      </c>
      <c r="L216" t="str">
        <f>INDEX(Dispodaten2!B:B,MATCH(C216,Dispodaten2!A:A,0))</f>
        <v>PD</v>
      </c>
    </row>
    <row r="217" spans="1:12" ht="13.5" hidden="1" x14ac:dyDescent="0.2">
      <c r="A217" t="s">
        <v>0</v>
      </c>
      <c r="B217" t="s">
        <v>729</v>
      </c>
      <c r="C217" t="s">
        <v>440</v>
      </c>
      <c r="D217" s="10" t="e">
        <f>INDEX(#REF!,MATCH(Validade!C217,#REF!,0))</f>
        <v>#REF!</v>
      </c>
      <c r="E217" s="10" t="e">
        <f>INDEX(#REF!,MATCH(Validade!C217,#REF!,0))</f>
        <v>#REF!</v>
      </c>
      <c r="F217" t="s">
        <v>441</v>
      </c>
      <c r="G217" t="s">
        <v>442</v>
      </c>
      <c r="H217" s="1">
        <v>47141</v>
      </c>
      <c r="I217" s="1"/>
      <c r="J217" s="2">
        <v>320</v>
      </c>
      <c r="K217" t="s">
        <v>28</v>
      </c>
      <c r="L217" t="str">
        <f>INDEX(Dispodaten2!B:B,MATCH(C217,Dispodaten2!A:A,0))</f>
        <v>PD</v>
      </c>
    </row>
    <row r="218" spans="1:12" ht="13.5" hidden="1" x14ac:dyDescent="0.2">
      <c r="A218" t="s">
        <v>0</v>
      </c>
      <c r="B218" t="s">
        <v>729</v>
      </c>
      <c r="C218" t="s">
        <v>1126</v>
      </c>
      <c r="D218" s="10" t="e">
        <f>INDEX(#REF!,MATCH(Validade!C218,#REF!,0))</f>
        <v>#REF!</v>
      </c>
      <c r="E218" s="10" t="e">
        <f>INDEX(#REF!,MATCH(Validade!C218,#REF!,0))</f>
        <v>#REF!</v>
      </c>
      <c r="F218" t="s">
        <v>1127</v>
      </c>
      <c r="G218" t="s">
        <v>1128</v>
      </c>
      <c r="H218" s="1">
        <v>47335</v>
      </c>
      <c r="I218" s="1"/>
      <c r="J218" s="2">
        <v>3</v>
      </c>
      <c r="K218" t="s">
        <v>28</v>
      </c>
      <c r="L218" t="str">
        <f>INDEX(Dispodaten2!B:B,MATCH(C218,Dispodaten2!A:A,0))</f>
        <v>PD</v>
      </c>
    </row>
    <row r="219" spans="1:12" ht="13.5" hidden="1" x14ac:dyDescent="0.2">
      <c r="A219" t="s">
        <v>0</v>
      </c>
      <c r="B219" t="s">
        <v>729</v>
      </c>
      <c r="C219" t="s">
        <v>290</v>
      </c>
      <c r="D219" s="10" t="e">
        <f>INDEX(#REF!,MATCH(Validade!C219,#REF!,0))</f>
        <v>#REF!</v>
      </c>
      <c r="E219" s="10" t="e">
        <f>INDEX(#REF!,MATCH(Validade!C219,#REF!,0))</f>
        <v>#REF!</v>
      </c>
      <c r="F219" t="s">
        <v>291</v>
      </c>
      <c r="G219" t="s">
        <v>1134</v>
      </c>
      <c r="H219" s="1">
        <v>47222</v>
      </c>
      <c r="I219" s="1"/>
      <c r="J219" s="2">
        <v>19</v>
      </c>
      <c r="K219" t="s">
        <v>28</v>
      </c>
      <c r="L219" t="str">
        <f>INDEX(Dispodaten2!B:B,MATCH(C219,Dispodaten2!A:A,0))</f>
        <v>PD</v>
      </c>
    </row>
    <row r="220" spans="1:12" ht="13.5" hidden="1" x14ac:dyDescent="0.2">
      <c r="A220" t="s">
        <v>0</v>
      </c>
      <c r="B220" t="s">
        <v>729</v>
      </c>
      <c r="C220" t="s">
        <v>117</v>
      </c>
      <c r="D220" s="10" t="e">
        <f>INDEX(#REF!,MATCH(Validade!C220,#REF!,0))</f>
        <v>#REF!</v>
      </c>
      <c r="E220" s="10" t="e">
        <f>INDEX(#REF!,MATCH(Validade!C220,#REF!,0))</f>
        <v>#REF!</v>
      </c>
      <c r="F220" t="s">
        <v>118</v>
      </c>
      <c r="G220" t="s">
        <v>981</v>
      </c>
      <c r="H220" s="1">
        <v>47359</v>
      </c>
      <c r="I220" s="1"/>
      <c r="J220" s="2">
        <v>135</v>
      </c>
      <c r="K220" t="s">
        <v>28</v>
      </c>
      <c r="L220" t="str">
        <f>INDEX(Dispodaten2!B:B,MATCH(C220,Dispodaten2!A:A,0))</f>
        <v>PD</v>
      </c>
    </row>
    <row r="221" spans="1:12" ht="13.5" hidden="1" x14ac:dyDescent="0.2">
      <c r="A221" t="s">
        <v>0</v>
      </c>
      <c r="B221" t="s">
        <v>729</v>
      </c>
      <c r="C221" t="s">
        <v>287</v>
      </c>
      <c r="D221" s="10" t="e">
        <f>INDEX(#REF!,MATCH(Validade!C221,#REF!,0))</f>
        <v>#REF!</v>
      </c>
      <c r="E221" s="10" t="e">
        <f>INDEX(#REF!,MATCH(Validade!C221,#REF!,0))</f>
        <v>#REF!</v>
      </c>
      <c r="F221" t="s">
        <v>288</v>
      </c>
      <c r="G221" t="s">
        <v>289</v>
      </c>
      <c r="H221" s="1">
        <v>47222</v>
      </c>
      <c r="I221" s="1"/>
      <c r="J221" s="2">
        <v>18</v>
      </c>
      <c r="K221" t="s">
        <v>28</v>
      </c>
      <c r="L221" t="str">
        <f>INDEX(Dispodaten2!B:B,MATCH(C221,Dispodaten2!A:A,0))</f>
        <v>PD</v>
      </c>
    </row>
    <row r="222" spans="1:12" ht="13.5" hidden="1" x14ac:dyDescent="0.2">
      <c r="A222" t="s">
        <v>0</v>
      </c>
      <c r="B222" t="s">
        <v>729</v>
      </c>
      <c r="C222" t="s">
        <v>119</v>
      </c>
      <c r="D222" s="10" t="e">
        <f>INDEX(#REF!,MATCH(Validade!C222,#REF!,0))</f>
        <v>#REF!</v>
      </c>
      <c r="E222" s="10" t="e">
        <f>INDEX(#REF!,MATCH(Validade!C222,#REF!,0))</f>
        <v>#REF!</v>
      </c>
      <c r="F222" t="s">
        <v>120</v>
      </c>
      <c r="G222" t="s">
        <v>982</v>
      </c>
      <c r="H222" s="1">
        <v>47390</v>
      </c>
      <c r="I222" s="1"/>
      <c r="J222" s="2">
        <v>274</v>
      </c>
      <c r="K222" t="s">
        <v>28</v>
      </c>
      <c r="L222" t="str">
        <f>INDEX(Dispodaten2!B:B,MATCH(C222,Dispodaten2!A:A,0))</f>
        <v>PD</v>
      </c>
    </row>
    <row r="223" spans="1:12" ht="13.5" hidden="1" x14ac:dyDescent="0.2">
      <c r="A223" t="s">
        <v>0</v>
      </c>
      <c r="B223" t="s">
        <v>729</v>
      </c>
      <c r="C223" t="s">
        <v>1617</v>
      </c>
      <c r="D223" s="10" t="e">
        <f>INDEX(#REF!,MATCH(Validade!C223,#REF!,0))</f>
        <v>#REF!</v>
      </c>
      <c r="E223" s="10" t="e">
        <f>INDEX(#REF!,MATCH(Validade!C223,#REF!,0))</f>
        <v>#REF!</v>
      </c>
      <c r="F223" t="s">
        <v>1618</v>
      </c>
      <c r="G223" t="s">
        <v>1619</v>
      </c>
      <c r="H223" s="1">
        <v>47047</v>
      </c>
      <c r="I223" s="1"/>
      <c r="J223" s="2">
        <v>280</v>
      </c>
      <c r="K223" t="s">
        <v>28</v>
      </c>
      <c r="L223" t="str">
        <f>INDEX(Dispodaten2!B:B,MATCH(C223,Dispodaten2!A:A,0))</f>
        <v>PD</v>
      </c>
    </row>
    <row r="224" spans="1:12" ht="13.5" hidden="1" x14ac:dyDescent="0.2">
      <c r="A224" t="s">
        <v>0</v>
      </c>
      <c r="B224" t="s">
        <v>729</v>
      </c>
      <c r="C224" t="s">
        <v>1614</v>
      </c>
      <c r="D224" s="10" t="e">
        <f>INDEX(#REF!,MATCH(Validade!C224,#REF!,0))</f>
        <v>#REF!</v>
      </c>
      <c r="E224" s="10" t="e">
        <f>INDEX(#REF!,MATCH(Validade!C224,#REF!,0))</f>
        <v>#REF!</v>
      </c>
      <c r="F224" t="s">
        <v>1615</v>
      </c>
      <c r="G224" t="s">
        <v>1616</v>
      </c>
      <c r="H224" s="1">
        <v>47056</v>
      </c>
      <c r="I224" s="1"/>
      <c r="J224" s="2">
        <v>380</v>
      </c>
      <c r="K224" t="s">
        <v>28</v>
      </c>
      <c r="L224" t="str">
        <f>INDEX(Dispodaten2!B:B,MATCH(C224,Dispodaten2!A:A,0))</f>
        <v>PD</v>
      </c>
    </row>
    <row r="225" spans="1:12" ht="13.5" hidden="1" x14ac:dyDescent="0.2">
      <c r="A225" t="s">
        <v>0</v>
      </c>
      <c r="B225" t="s">
        <v>729</v>
      </c>
      <c r="C225" t="s">
        <v>201</v>
      </c>
      <c r="D225" s="10" t="e">
        <f>INDEX(#REF!,MATCH(Validade!C225,#REF!,0))</f>
        <v>#REF!</v>
      </c>
      <c r="E225" s="10" t="e">
        <f>INDEX(#REF!,MATCH(Validade!C225,#REF!,0))</f>
        <v>#REF!</v>
      </c>
      <c r="F225" t="s">
        <v>202</v>
      </c>
      <c r="G225" t="s">
        <v>1052</v>
      </c>
      <c r="H225" s="1">
        <v>47257</v>
      </c>
      <c r="I225" s="1"/>
      <c r="J225" s="2">
        <v>8</v>
      </c>
      <c r="K225" t="s">
        <v>28</v>
      </c>
      <c r="L225" t="str">
        <f>INDEX(Dispodaten2!B:B,MATCH(C225,Dispodaten2!A:A,0))</f>
        <v>PD</v>
      </c>
    </row>
    <row r="226" spans="1:12" ht="13.5" hidden="1" x14ac:dyDescent="0.2">
      <c r="A226" t="s">
        <v>0</v>
      </c>
      <c r="B226" t="s">
        <v>729</v>
      </c>
      <c r="C226" t="s">
        <v>910</v>
      </c>
      <c r="D226" s="10" t="e">
        <f>INDEX(#REF!,MATCH(Validade!C226,#REF!,0))</f>
        <v>#REF!</v>
      </c>
      <c r="E226" s="10" t="e">
        <f>INDEX(#REF!,MATCH(Validade!C226,#REF!,0))</f>
        <v>#REF!</v>
      </c>
      <c r="F226" t="s">
        <v>491</v>
      </c>
      <c r="G226" t="s">
        <v>911</v>
      </c>
      <c r="H226" s="1">
        <v>46084</v>
      </c>
      <c r="I226" s="1"/>
      <c r="J226" s="2">
        <v>60</v>
      </c>
      <c r="K226" t="s">
        <v>28</v>
      </c>
      <c r="L226" t="str">
        <f>INDEX(Dispodaten2!B:B,MATCH(C226,Dispodaten2!A:A,0))</f>
        <v>PD</v>
      </c>
    </row>
    <row r="227" spans="1:12" ht="13.5" hidden="1" x14ac:dyDescent="0.2">
      <c r="A227" t="s">
        <v>0</v>
      </c>
      <c r="B227" t="s">
        <v>729</v>
      </c>
      <c r="C227" t="s">
        <v>490</v>
      </c>
      <c r="D227" s="10" t="e">
        <f>INDEX(#REF!,MATCH(Validade!C227,#REF!,0))</f>
        <v>#REF!</v>
      </c>
      <c r="E227" s="10" t="e">
        <f>INDEX(#REF!,MATCH(Validade!C227,#REF!,0))</f>
        <v>#REF!</v>
      </c>
      <c r="F227" t="s">
        <v>491</v>
      </c>
      <c r="G227" t="s">
        <v>492</v>
      </c>
      <c r="H227" s="1">
        <v>47162</v>
      </c>
      <c r="I227" s="1"/>
      <c r="J227" s="2">
        <v>1054</v>
      </c>
      <c r="K227" t="s">
        <v>28</v>
      </c>
      <c r="L227" t="str">
        <f>INDEX(Dispodaten2!B:B,MATCH(C227,Dispodaten2!A:A,0))</f>
        <v>PD</v>
      </c>
    </row>
    <row r="228" spans="1:12" ht="13.5" hidden="1" x14ac:dyDescent="0.2">
      <c r="A228" t="s">
        <v>0</v>
      </c>
      <c r="B228" t="s">
        <v>729</v>
      </c>
      <c r="C228" t="s">
        <v>493</v>
      </c>
      <c r="D228" s="10" t="e">
        <f>INDEX(#REF!,MATCH(Validade!C228,#REF!,0))</f>
        <v>#REF!</v>
      </c>
      <c r="E228" s="10" t="e">
        <f>INDEX(#REF!,MATCH(Validade!C228,#REF!,0))</f>
        <v>#REF!</v>
      </c>
      <c r="F228" t="s">
        <v>494</v>
      </c>
      <c r="G228" t="s">
        <v>1602</v>
      </c>
      <c r="H228" s="1">
        <v>46797</v>
      </c>
      <c r="I228" s="1"/>
      <c r="J228" s="2">
        <v>22</v>
      </c>
      <c r="K228" t="s">
        <v>28</v>
      </c>
      <c r="L228" t="str">
        <f>INDEX(Dispodaten2!B:B,MATCH(C228,Dispodaten2!A:A,0))</f>
        <v>PD</v>
      </c>
    </row>
    <row r="229" spans="1:12" ht="13.5" hidden="1" x14ac:dyDescent="0.2">
      <c r="A229" t="s">
        <v>0</v>
      </c>
      <c r="B229" t="s">
        <v>729</v>
      </c>
      <c r="C229" t="s">
        <v>457</v>
      </c>
      <c r="D229" s="10" t="e">
        <f>INDEX(#REF!,MATCH(Validade!C229,#REF!,0))</f>
        <v>#REF!</v>
      </c>
      <c r="E229" s="10" t="e">
        <f>INDEX(#REF!,MATCH(Validade!C229,#REF!,0))</f>
        <v>#REF!</v>
      </c>
      <c r="F229" t="s">
        <v>458</v>
      </c>
      <c r="G229" t="s">
        <v>459</v>
      </c>
      <c r="H229" s="1">
        <v>47062</v>
      </c>
      <c r="I229" s="1"/>
      <c r="J229" s="2">
        <v>386</v>
      </c>
      <c r="K229" t="s">
        <v>28</v>
      </c>
      <c r="L229" t="str">
        <f>INDEX(Dispodaten2!B:B,MATCH(C229,Dispodaten2!A:A,0))</f>
        <v>PD</v>
      </c>
    </row>
    <row r="230" spans="1:12" ht="13.5" hidden="1" x14ac:dyDescent="0.2">
      <c r="A230" t="s">
        <v>0</v>
      </c>
      <c r="B230" t="s">
        <v>729</v>
      </c>
      <c r="C230" t="s">
        <v>94</v>
      </c>
      <c r="D230" s="10" t="e">
        <f>INDEX(#REF!,MATCH(Validade!C230,#REF!,0))</f>
        <v>#REF!</v>
      </c>
      <c r="E230" s="10" t="e">
        <f>INDEX(#REF!,MATCH(Validade!C230,#REF!,0))</f>
        <v>#REF!</v>
      </c>
      <c r="F230" t="s">
        <v>95</v>
      </c>
      <c r="G230" t="s">
        <v>96</v>
      </c>
      <c r="H230" s="1">
        <v>47092</v>
      </c>
      <c r="I230" s="1"/>
      <c r="J230" s="2">
        <v>141</v>
      </c>
      <c r="K230" t="s">
        <v>28</v>
      </c>
      <c r="L230" t="str">
        <f>INDEX(Dispodaten2!B:B,MATCH(C230,Dispodaten2!A:A,0))</f>
        <v>PD</v>
      </c>
    </row>
    <row r="231" spans="1:12" ht="13.5" hidden="1" x14ac:dyDescent="0.2">
      <c r="A231" t="s">
        <v>0</v>
      </c>
      <c r="B231" t="s">
        <v>729</v>
      </c>
      <c r="C231" t="s">
        <v>99</v>
      </c>
      <c r="D231" s="10" t="e">
        <f>INDEX(#REF!,MATCH(Validade!C231,#REF!,0))</f>
        <v>#REF!</v>
      </c>
      <c r="E231" s="10" t="e">
        <f>INDEX(#REF!,MATCH(Validade!C231,#REF!,0))</f>
        <v>#REF!</v>
      </c>
      <c r="F231" t="s">
        <v>100</v>
      </c>
      <c r="G231" t="s">
        <v>972</v>
      </c>
      <c r="H231" s="1">
        <v>46974</v>
      </c>
      <c r="I231" s="1"/>
      <c r="J231" s="2">
        <v>141</v>
      </c>
      <c r="K231" t="s">
        <v>28</v>
      </c>
      <c r="L231" t="str">
        <f>INDEX(Dispodaten2!B:B,MATCH(C231,Dispodaten2!A:A,0))</f>
        <v>PD</v>
      </c>
    </row>
    <row r="232" spans="1:12" ht="13.5" hidden="1" x14ac:dyDescent="0.2">
      <c r="A232" t="s">
        <v>0</v>
      </c>
      <c r="B232" t="s">
        <v>729</v>
      </c>
      <c r="C232" t="s">
        <v>1107</v>
      </c>
      <c r="D232" s="10" t="e">
        <f>INDEX(#REF!,MATCH(Validade!C232,#REF!,0))</f>
        <v>#REF!</v>
      </c>
      <c r="E232" s="10" t="e">
        <f>INDEX(#REF!,MATCH(Validade!C232,#REF!,0))</f>
        <v>#REF!</v>
      </c>
      <c r="F232" t="s">
        <v>1108</v>
      </c>
      <c r="G232" t="s">
        <v>1109</v>
      </c>
      <c r="H232" s="1">
        <v>47295</v>
      </c>
      <c r="I232" s="1"/>
      <c r="J232" s="2">
        <v>30</v>
      </c>
      <c r="K232" t="s">
        <v>28</v>
      </c>
      <c r="L232" t="str">
        <f>INDEX(Dispodaten2!B:B,MATCH(C232,Dispodaten2!A:A,0))</f>
        <v>PD</v>
      </c>
    </row>
    <row r="233" spans="1:12" ht="13.5" hidden="1" x14ac:dyDescent="0.2">
      <c r="A233" t="s">
        <v>0</v>
      </c>
      <c r="B233" t="s">
        <v>729</v>
      </c>
      <c r="C233" t="s">
        <v>516</v>
      </c>
      <c r="D233" s="10" t="e">
        <f>INDEX(#REF!,MATCH(Validade!C233,#REF!,0))</f>
        <v>#REF!</v>
      </c>
      <c r="E233" s="10" t="e">
        <f>INDEX(#REF!,MATCH(Validade!C233,#REF!,0))</f>
        <v>#REF!</v>
      </c>
      <c r="F233" t="s">
        <v>517</v>
      </c>
      <c r="G233" t="s">
        <v>1613</v>
      </c>
      <c r="H233" s="1">
        <v>47261</v>
      </c>
      <c r="I233" s="1"/>
      <c r="J233" s="2">
        <v>143</v>
      </c>
      <c r="K233" t="s">
        <v>28</v>
      </c>
      <c r="L233" t="str">
        <f>INDEX(Dispodaten2!B:B,MATCH(C233,Dispodaten2!A:A,0))</f>
        <v>PD</v>
      </c>
    </row>
    <row r="234" spans="1:12" ht="13.5" hidden="1" x14ac:dyDescent="0.2">
      <c r="A234" t="s">
        <v>0</v>
      </c>
      <c r="B234" t="s">
        <v>729</v>
      </c>
      <c r="C234" t="s">
        <v>26</v>
      </c>
      <c r="D234" s="10" t="e">
        <f>INDEX(#REF!,MATCH(Validade!C234,#REF!,0))</f>
        <v>#REF!</v>
      </c>
      <c r="E234" s="10" t="e">
        <f>INDEX(#REF!,MATCH(Validade!C234,#REF!,0))</f>
        <v>#REF!</v>
      </c>
      <c r="F234" t="s">
        <v>27</v>
      </c>
      <c r="G234" t="s">
        <v>29</v>
      </c>
      <c r="H234" s="1">
        <v>47113</v>
      </c>
      <c r="I234" s="1"/>
      <c r="J234" s="2">
        <v>470</v>
      </c>
      <c r="K234" t="s">
        <v>28</v>
      </c>
      <c r="L234" t="str">
        <f>INDEX(Dispodaten2!B:B,MATCH(C234,Dispodaten2!A:A,0))</f>
        <v>PD</v>
      </c>
    </row>
    <row r="235" spans="1:12" ht="13.5" hidden="1" x14ac:dyDescent="0.2">
      <c r="A235" t="s">
        <v>0</v>
      </c>
      <c r="B235" t="s">
        <v>729</v>
      </c>
      <c r="C235" t="s">
        <v>512</v>
      </c>
      <c r="D235" s="10" t="e">
        <f>INDEX(#REF!,MATCH(Validade!C235,#REF!,0))</f>
        <v>#REF!</v>
      </c>
      <c r="E235" s="10" t="e">
        <f>INDEX(#REF!,MATCH(Validade!C235,#REF!,0))</f>
        <v>#REF!</v>
      </c>
      <c r="F235" t="s">
        <v>27</v>
      </c>
      <c r="G235" t="s">
        <v>1612</v>
      </c>
      <c r="H235" s="1">
        <v>47266</v>
      </c>
      <c r="I235" s="1"/>
      <c r="J235" s="2">
        <v>78</v>
      </c>
      <c r="K235" t="s">
        <v>28</v>
      </c>
      <c r="L235" t="str">
        <f>INDEX(Dispodaten2!B:B,MATCH(C235,Dispodaten2!A:A,0))</f>
        <v>PD</v>
      </c>
    </row>
    <row r="236" spans="1:12" ht="13.5" hidden="1" x14ac:dyDescent="0.2">
      <c r="A236" t="s">
        <v>0</v>
      </c>
      <c r="B236" t="s">
        <v>729</v>
      </c>
      <c r="C236" t="s">
        <v>1148</v>
      </c>
      <c r="D236" s="10" t="e">
        <f>INDEX(#REF!,MATCH(Validade!C236,#REF!,0))</f>
        <v>#REF!</v>
      </c>
      <c r="E236" s="10" t="e">
        <f>INDEX(#REF!,MATCH(Validade!C236,#REF!,0))</f>
        <v>#REF!</v>
      </c>
      <c r="F236" t="s">
        <v>1149</v>
      </c>
      <c r="G236" t="s">
        <v>1150</v>
      </c>
      <c r="H236" s="1">
        <v>47264</v>
      </c>
      <c r="I236" s="1"/>
      <c r="J236" s="2">
        <v>97</v>
      </c>
      <c r="K236" t="s">
        <v>28</v>
      </c>
      <c r="L236" t="str">
        <f>INDEX(Dispodaten2!B:B,MATCH(C236,Dispodaten2!A:A,0))</f>
        <v>PD</v>
      </c>
    </row>
    <row r="237" spans="1:12" ht="13.5" hidden="1" x14ac:dyDescent="0.2">
      <c r="A237" t="s">
        <v>0</v>
      </c>
      <c r="B237" t="s">
        <v>729</v>
      </c>
      <c r="C237" t="s">
        <v>1097</v>
      </c>
      <c r="D237" s="10" t="e">
        <f>INDEX(#REF!,MATCH(Validade!C237,#REF!,0))</f>
        <v>#REF!</v>
      </c>
      <c r="E237" s="10" t="e">
        <f>INDEX(#REF!,MATCH(Validade!C237,#REF!,0))</f>
        <v>#REF!</v>
      </c>
      <c r="F237" t="s">
        <v>1098</v>
      </c>
      <c r="G237" t="s">
        <v>1099</v>
      </c>
      <c r="H237" s="1">
        <v>47251</v>
      </c>
      <c r="I237" s="1"/>
      <c r="J237" s="2">
        <v>81</v>
      </c>
      <c r="K237" t="s">
        <v>28</v>
      </c>
      <c r="L237" t="str">
        <f>INDEX(Dispodaten2!B:B,MATCH(C237,Dispodaten2!A:A,0))</f>
        <v>PD</v>
      </c>
    </row>
    <row r="238" spans="1:12" ht="13.5" hidden="1" x14ac:dyDescent="0.2">
      <c r="A238" t="s">
        <v>0</v>
      </c>
      <c r="B238" t="s">
        <v>729</v>
      </c>
      <c r="C238" t="s">
        <v>1066</v>
      </c>
      <c r="D238" s="10" t="e">
        <f>INDEX(#REF!,MATCH(Validade!C238,#REF!,0))</f>
        <v>#REF!</v>
      </c>
      <c r="E238" s="10" t="e">
        <f>INDEX(#REF!,MATCH(Validade!C238,#REF!,0))</f>
        <v>#REF!</v>
      </c>
      <c r="F238" t="s">
        <v>1067</v>
      </c>
      <c r="G238" t="s">
        <v>1068</v>
      </c>
      <c r="H238" s="1">
        <v>47288</v>
      </c>
      <c r="I238" s="1"/>
      <c r="J238" s="2">
        <v>107</v>
      </c>
      <c r="K238" t="s">
        <v>28</v>
      </c>
      <c r="L238" t="str">
        <f>INDEX(Dispodaten2!B:B,MATCH(C238,Dispodaten2!A:A,0))</f>
        <v>PD</v>
      </c>
    </row>
    <row r="239" spans="1:12" ht="13.5" hidden="1" x14ac:dyDescent="0.2">
      <c r="A239" t="s">
        <v>0</v>
      </c>
      <c r="B239" t="s">
        <v>729</v>
      </c>
      <c r="C239" t="s">
        <v>112</v>
      </c>
      <c r="D239" s="10" t="e">
        <f>INDEX(#REF!,MATCH(Validade!C239,#REF!,0))</f>
        <v>#REF!</v>
      </c>
      <c r="E239" s="10" t="e">
        <f>INDEX(#REF!,MATCH(Validade!C239,#REF!,0))</f>
        <v>#REF!</v>
      </c>
      <c r="F239" t="s">
        <v>113</v>
      </c>
      <c r="G239" t="s">
        <v>980</v>
      </c>
      <c r="H239" s="1">
        <v>46931</v>
      </c>
      <c r="I239" s="1"/>
      <c r="J239" s="2">
        <v>32</v>
      </c>
      <c r="K239" t="s">
        <v>28</v>
      </c>
      <c r="L239" t="str">
        <f>INDEX(Dispodaten2!B:B,MATCH(C239,Dispodaten2!A:A,0))</f>
        <v>PD</v>
      </c>
    </row>
    <row r="240" spans="1:12" ht="13.5" hidden="1" x14ac:dyDescent="0.2">
      <c r="A240" t="s">
        <v>0</v>
      </c>
      <c r="B240" t="s">
        <v>729</v>
      </c>
      <c r="C240" t="s">
        <v>977</v>
      </c>
      <c r="D240" s="10" t="e">
        <f>INDEX(#REF!,MATCH(Validade!C240,#REF!,0))</f>
        <v>#REF!</v>
      </c>
      <c r="E240" s="10" t="e">
        <f>INDEX(#REF!,MATCH(Validade!C240,#REF!,0))</f>
        <v>#REF!</v>
      </c>
      <c r="F240" t="s">
        <v>978</v>
      </c>
      <c r="G240" t="s">
        <v>979</v>
      </c>
      <c r="H240" s="1">
        <v>47329</v>
      </c>
      <c r="I240" s="1"/>
      <c r="J240" s="2">
        <v>127</v>
      </c>
      <c r="K240" t="s">
        <v>28</v>
      </c>
      <c r="L240" t="str">
        <f>INDEX(Dispodaten2!B:B,MATCH(C240,Dispodaten2!A:A,0))</f>
        <v>PD</v>
      </c>
    </row>
    <row r="241" spans="1:12" ht="13.5" hidden="1" x14ac:dyDescent="0.2">
      <c r="A241" t="s">
        <v>0</v>
      </c>
      <c r="B241" t="s">
        <v>729</v>
      </c>
      <c r="C241" t="s">
        <v>103</v>
      </c>
      <c r="D241" s="10" t="e">
        <f>INDEX(#REF!,MATCH(Validade!C241,#REF!,0))</f>
        <v>#REF!</v>
      </c>
      <c r="E241" s="10" t="e">
        <f>INDEX(#REF!,MATCH(Validade!C241,#REF!,0))</f>
        <v>#REF!</v>
      </c>
      <c r="F241" t="s">
        <v>104</v>
      </c>
      <c r="G241" t="s">
        <v>105</v>
      </c>
      <c r="H241" s="1">
        <v>46995</v>
      </c>
      <c r="I241" s="1"/>
      <c r="J241" s="2">
        <v>216</v>
      </c>
      <c r="K241" t="s">
        <v>28</v>
      </c>
      <c r="L241" t="str">
        <f>INDEX(Dispodaten2!B:B,MATCH(C241,Dispodaten2!A:A,0))</f>
        <v>PD</v>
      </c>
    </row>
    <row r="242" spans="1:12" ht="13.5" hidden="1" x14ac:dyDescent="0.2">
      <c r="A242" t="s">
        <v>0</v>
      </c>
      <c r="B242" t="s">
        <v>729</v>
      </c>
      <c r="C242" t="s">
        <v>172</v>
      </c>
      <c r="D242" s="10" t="e">
        <f>INDEX(#REF!,MATCH(Validade!C242,#REF!,0))</f>
        <v>#REF!</v>
      </c>
      <c r="E242" s="10" t="e">
        <f>INDEX(#REF!,MATCH(Validade!C242,#REF!,0))</f>
        <v>#REF!</v>
      </c>
      <c r="F242" t="s">
        <v>173</v>
      </c>
      <c r="G242" t="s">
        <v>174</v>
      </c>
      <c r="H242" s="1">
        <v>46999</v>
      </c>
      <c r="I242" s="1"/>
      <c r="J242" s="2">
        <v>317</v>
      </c>
      <c r="K242" t="s">
        <v>28</v>
      </c>
      <c r="L242" t="str">
        <f>INDEX(Dispodaten2!B:B,MATCH(C242,Dispodaten2!A:A,0))</f>
        <v>PD</v>
      </c>
    </row>
    <row r="243" spans="1:12" ht="13.5" hidden="1" x14ac:dyDescent="0.2">
      <c r="A243" t="s">
        <v>0</v>
      </c>
      <c r="B243" t="s">
        <v>729</v>
      </c>
      <c r="C243" t="s">
        <v>1104</v>
      </c>
      <c r="D243" s="10" t="e">
        <f>INDEX(#REF!,MATCH(Validade!C243,#REF!,0))</f>
        <v>#REF!</v>
      </c>
      <c r="E243" s="10" t="e">
        <f>INDEX(#REF!,MATCH(Validade!C243,#REF!,0))</f>
        <v>#REF!</v>
      </c>
      <c r="F243" t="s">
        <v>1105</v>
      </c>
      <c r="G243" t="s">
        <v>1106</v>
      </c>
      <c r="H243" s="1">
        <v>47289</v>
      </c>
      <c r="I243" s="1"/>
      <c r="J243" s="2">
        <v>46</v>
      </c>
      <c r="K243" t="s">
        <v>28</v>
      </c>
      <c r="L243" t="str">
        <f>INDEX(Dispodaten2!B:B,MATCH(C243,Dispodaten2!A:A,0))</f>
        <v>PD</v>
      </c>
    </row>
    <row r="244" spans="1:12" ht="13.5" hidden="1" x14ac:dyDescent="0.2">
      <c r="A244" t="s">
        <v>0</v>
      </c>
      <c r="B244" t="s">
        <v>729</v>
      </c>
      <c r="C244" t="s">
        <v>974</v>
      </c>
      <c r="D244" s="10" t="e">
        <f>INDEX(#REF!,MATCH(Validade!C244,#REF!,0))</f>
        <v>#REF!</v>
      </c>
      <c r="E244" s="10" t="e">
        <f>INDEX(#REF!,MATCH(Validade!C244,#REF!,0))</f>
        <v>#REF!</v>
      </c>
      <c r="F244" t="s">
        <v>975</v>
      </c>
      <c r="G244" t="s">
        <v>976</v>
      </c>
      <c r="H244" s="1">
        <v>45895</v>
      </c>
      <c r="I244" s="1"/>
      <c r="J244" s="2">
        <v>100</v>
      </c>
      <c r="K244" t="s">
        <v>28</v>
      </c>
      <c r="L244" t="str">
        <f>INDEX(Dispodaten2!B:B,MATCH(C244,Dispodaten2!A:A,0))</f>
        <v>PD</v>
      </c>
    </row>
    <row r="245" spans="1:12" ht="13.5" hidden="1" x14ac:dyDescent="0.2">
      <c r="A245" t="s">
        <v>0</v>
      </c>
      <c r="B245" t="s">
        <v>729</v>
      </c>
      <c r="C245" t="s">
        <v>63</v>
      </c>
      <c r="D245" s="10" t="e">
        <f>INDEX(#REF!,MATCH(Validade!C245,#REF!,0))</f>
        <v>#REF!</v>
      </c>
      <c r="E245" s="10" t="e">
        <f>INDEX(#REF!,MATCH(Validade!C245,#REF!,0))</f>
        <v>#REF!</v>
      </c>
      <c r="F245" t="s">
        <v>64</v>
      </c>
      <c r="G245" t="s">
        <v>924</v>
      </c>
      <c r="H245" s="1">
        <v>46084</v>
      </c>
      <c r="I245" s="1"/>
      <c r="J245" s="2">
        <v>130</v>
      </c>
      <c r="K245" t="s">
        <v>28</v>
      </c>
      <c r="L245" t="str">
        <f>INDEX(Dispodaten2!B:B,MATCH(C245,Dispodaten2!A:A,0))</f>
        <v>PD</v>
      </c>
    </row>
    <row r="246" spans="1:12" ht="13.5" hidden="1" x14ac:dyDescent="0.2">
      <c r="A246" t="s">
        <v>0</v>
      </c>
      <c r="B246" t="s">
        <v>729</v>
      </c>
      <c r="C246" t="s">
        <v>170</v>
      </c>
      <c r="D246" s="10" t="e">
        <f>INDEX(#REF!,MATCH(Validade!C246,#REF!,0))</f>
        <v>#REF!</v>
      </c>
      <c r="E246" s="10" t="e">
        <f>INDEX(#REF!,MATCH(Validade!C246,#REF!,0))</f>
        <v>#REF!</v>
      </c>
      <c r="F246" t="s">
        <v>171</v>
      </c>
      <c r="G246" t="s">
        <v>1027</v>
      </c>
      <c r="H246" s="1">
        <v>46911</v>
      </c>
      <c r="I246" s="1"/>
      <c r="J246" s="2">
        <v>110</v>
      </c>
      <c r="K246" t="s">
        <v>28</v>
      </c>
      <c r="L246" t="str">
        <f>INDEX(Dispodaten2!B:B,MATCH(C246,Dispodaten2!A:A,0))</f>
        <v>PD</v>
      </c>
    </row>
    <row r="247" spans="1:12" ht="13.5" hidden="1" x14ac:dyDescent="0.2">
      <c r="A247" t="s">
        <v>0</v>
      </c>
      <c r="B247" t="s">
        <v>729</v>
      </c>
      <c r="C247" t="s">
        <v>443</v>
      </c>
      <c r="D247" s="10" t="e">
        <f>INDEX(#REF!,MATCH(Validade!C247,#REF!,0))</f>
        <v>#REF!</v>
      </c>
      <c r="E247" s="10" t="e">
        <f>INDEX(#REF!,MATCH(Validade!C247,#REF!,0))</f>
        <v>#REF!</v>
      </c>
      <c r="F247" t="s">
        <v>444</v>
      </c>
      <c r="G247" t="s">
        <v>445</v>
      </c>
      <c r="H247" s="1">
        <v>47077</v>
      </c>
      <c r="I247" s="1"/>
      <c r="J247" s="2">
        <v>2</v>
      </c>
      <c r="K247" t="s">
        <v>28</v>
      </c>
      <c r="L247" t="str">
        <f>INDEX(Dispodaten2!B:B,MATCH(C247,Dispodaten2!A:A,0))</f>
        <v>PD</v>
      </c>
    </row>
    <row r="248" spans="1:12" ht="13.5" hidden="1" x14ac:dyDescent="0.2">
      <c r="A248" t="s">
        <v>0</v>
      </c>
      <c r="B248" t="s">
        <v>729</v>
      </c>
      <c r="C248" t="s">
        <v>1599</v>
      </c>
      <c r="D248" s="10" t="e">
        <f>INDEX(#REF!,MATCH(Validade!C248,#REF!,0))</f>
        <v>#REF!</v>
      </c>
      <c r="E248" s="10" t="e">
        <f>INDEX(#REF!,MATCH(Validade!C248,#REF!,0))</f>
        <v>#REF!</v>
      </c>
      <c r="F248" t="s">
        <v>1600</v>
      </c>
      <c r="G248" t="s">
        <v>1601</v>
      </c>
      <c r="H248" s="1">
        <v>46601</v>
      </c>
      <c r="I248" s="1"/>
      <c r="J248" s="2">
        <v>80</v>
      </c>
      <c r="K248" t="s">
        <v>28</v>
      </c>
      <c r="L248" t="str">
        <f>INDEX(Dispodaten2!B:B,MATCH(C248,Dispodaten2!A:A,0))</f>
        <v>PD</v>
      </c>
    </row>
    <row r="249" spans="1:12" ht="13.5" hidden="1" x14ac:dyDescent="0.2">
      <c r="A249" t="s">
        <v>0</v>
      </c>
      <c r="B249" t="s">
        <v>729</v>
      </c>
      <c r="C249" t="s">
        <v>497</v>
      </c>
      <c r="D249" s="10" t="e">
        <f>INDEX(#REF!,MATCH(Validade!C249,#REF!,0))</f>
        <v>#REF!</v>
      </c>
      <c r="E249" s="10" t="e">
        <f>INDEX(#REF!,MATCH(Validade!C249,#REF!,0))</f>
        <v>#REF!</v>
      </c>
      <c r="F249" t="s">
        <v>498</v>
      </c>
      <c r="G249" t="s">
        <v>499</v>
      </c>
      <c r="H249" s="1">
        <v>47085</v>
      </c>
      <c r="I249" s="1"/>
      <c r="J249" s="2">
        <v>1112</v>
      </c>
      <c r="K249" t="s">
        <v>28</v>
      </c>
      <c r="L249" t="str">
        <f>INDEX(Dispodaten2!B:B,MATCH(C249,Dispodaten2!A:A,0))</f>
        <v>PD</v>
      </c>
    </row>
    <row r="250" spans="1:12" ht="13.5" hidden="1" x14ac:dyDescent="0.2">
      <c r="A250" t="s">
        <v>0</v>
      </c>
      <c r="B250" t="s">
        <v>729</v>
      </c>
      <c r="C250" t="s">
        <v>464</v>
      </c>
      <c r="D250" s="10" t="e">
        <f>INDEX(#REF!,MATCH(Validade!C250,#REF!,0))</f>
        <v>#REF!</v>
      </c>
      <c r="E250" s="10" t="e">
        <f>INDEX(#REF!,MATCH(Validade!C250,#REF!,0))</f>
        <v>#REF!</v>
      </c>
      <c r="F250" t="s">
        <v>465</v>
      </c>
      <c r="G250" t="s">
        <v>1581</v>
      </c>
      <c r="H250" s="1">
        <v>46018</v>
      </c>
      <c r="I250" s="1"/>
      <c r="J250" s="2">
        <v>120</v>
      </c>
      <c r="K250" t="s">
        <v>28</v>
      </c>
      <c r="L250" t="str">
        <f>INDEX(Dispodaten2!B:B,MATCH(C250,Dispodaten2!A:A,0))</f>
        <v>PD</v>
      </c>
    </row>
    <row r="251" spans="1:12" ht="13.5" hidden="1" x14ac:dyDescent="0.2">
      <c r="A251" t="s">
        <v>0</v>
      </c>
      <c r="B251" t="s">
        <v>729</v>
      </c>
      <c r="C251" t="s">
        <v>495</v>
      </c>
      <c r="D251" s="10" t="e">
        <f>INDEX(#REF!,MATCH(Validade!C251,#REF!,0))</f>
        <v>#REF!</v>
      </c>
      <c r="E251" s="10" t="e">
        <f>INDEX(#REF!,MATCH(Validade!C251,#REF!,0))</f>
        <v>#REF!</v>
      </c>
      <c r="F251" t="s">
        <v>496</v>
      </c>
      <c r="G251" t="s">
        <v>1603</v>
      </c>
      <c r="H251" s="1">
        <v>46882</v>
      </c>
      <c r="I251" s="1"/>
      <c r="J251" s="2">
        <v>17</v>
      </c>
      <c r="K251" t="s">
        <v>28</v>
      </c>
      <c r="L251" t="str">
        <f>INDEX(Dispodaten2!B:B,MATCH(C251,Dispodaten2!A:A,0))</f>
        <v>PD</v>
      </c>
    </row>
    <row r="252" spans="1:12" ht="13.5" hidden="1" x14ac:dyDescent="0.2">
      <c r="A252" t="s">
        <v>0</v>
      </c>
      <c r="B252" t="s">
        <v>729</v>
      </c>
      <c r="C252" t="s">
        <v>285</v>
      </c>
      <c r="D252" s="10" t="e">
        <f>INDEX(#REF!,MATCH(Validade!C252,#REF!,0))</f>
        <v>#REF!</v>
      </c>
      <c r="E252" s="10" t="e">
        <f>INDEX(#REF!,MATCH(Validade!C252,#REF!,0))</f>
        <v>#REF!</v>
      </c>
      <c r="F252" t="s">
        <v>286</v>
      </c>
      <c r="G252" t="s">
        <v>1133</v>
      </c>
      <c r="H252" s="1">
        <v>47265</v>
      </c>
      <c r="I252" s="1"/>
      <c r="J252" s="2">
        <v>60</v>
      </c>
      <c r="K252" t="s">
        <v>28</v>
      </c>
      <c r="L252" t="str">
        <f>INDEX(Dispodaten2!B:B,MATCH(C252,Dispodaten2!A:A,0))</f>
        <v>PD</v>
      </c>
    </row>
    <row r="253" spans="1:12" ht="13.5" hidden="1" x14ac:dyDescent="0.2">
      <c r="A253" t="s">
        <v>0</v>
      </c>
      <c r="B253" t="s">
        <v>729</v>
      </c>
      <c r="C253" t="s">
        <v>121</v>
      </c>
      <c r="D253" s="10" t="e">
        <f>INDEX(#REF!,MATCH(Validade!C253,#REF!,0))</f>
        <v>#REF!</v>
      </c>
      <c r="E253" s="10" t="e">
        <f>INDEX(#REF!,MATCH(Validade!C253,#REF!,0))</f>
        <v>#REF!</v>
      </c>
      <c r="F253" t="s">
        <v>122</v>
      </c>
      <c r="G253" t="s">
        <v>983</v>
      </c>
      <c r="H253" s="1">
        <v>47358</v>
      </c>
      <c r="I253" s="1"/>
      <c r="J253" s="2">
        <v>32</v>
      </c>
      <c r="K253" t="s">
        <v>28</v>
      </c>
      <c r="L253" t="str">
        <f>INDEX(Dispodaten2!B:B,MATCH(C253,Dispodaten2!A:A,0))</f>
        <v>PD</v>
      </c>
    </row>
    <row r="254" spans="1:12" ht="13.5" hidden="1" x14ac:dyDescent="0.2">
      <c r="A254" t="s">
        <v>0</v>
      </c>
      <c r="B254" t="s">
        <v>729</v>
      </c>
      <c r="C254" t="s">
        <v>203</v>
      </c>
      <c r="D254" s="10" t="e">
        <f>INDEX(#REF!,MATCH(Validade!C254,#REF!,0))</f>
        <v>#REF!</v>
      </c>
      <c r="E254" s="10" t="e">
        <f>INDEX(#REF!,MATCH(Validade!C254,#REF!,0))</f>
        <v>#REF!</v>
      </c>
      <c r="F254" t="s">
        <v>204</v>
      </c>
      <c r="G254" t="s">
        <v>1053</v>
      </c>
      <c r="H254" s="1">
        <v>47300</v>
      </c>
      <c r="I254" s="1"/>
      <c r="J254" s="2">
        <v>1</v>
      </c>
      <c r="K254" t="s">
        <v>28</v>
      </c>
      <c r="L254" t="str">
        <f>INDEX(Dispodaten2!B:B,MATCH(C254,Dispodaten2!A:A,0))</f>
        <v>PD</v>
      </c>
    </row>
    <row r="255" spans="1:12" ht="13.5" hidden="1" x14ac:dyDescent="0.2">
      <c r="A255" t="s">
        <v>0</v>
      </c>
      <c r="B255" t="s">
        <v>729</v>
      </c>
      <c r="C255" t="s">
        <v>1620</v>
      </c>
      <c r="D255" s="10" t="e">
        <f>INDEX(#REF!,MATCH(Validade!C255,#REF!,0))</f>
        <v>#REF!</v>
      </c>
      <c r="E255" s="10" t="e">
        <f>INDEX(#REF!,MATCH(Validade!C255,#REF!,0))</f>
        <v>#REF!</v>
      </c>
      <c r="F255" t="s">
        <v>1621</v>
      </c>
      <c r="G255" t="s">
        <v>1622</v>
      </c>
      <c r="H255" s="1">
        <v>47058</v>
      </c>
      <c r="I255" s="1"/>
      <c r="J255" s="2">
        <v>80</v>
      </c>
      <c r="K255" t="s">
        <v>28</v>
      </c>
      <c r="L255" t="str">
        <f>INDEX(Dispodaten2!B:B,MATCH(C255,Dispodaten2!A:A,0))</f>
        <v>PD</v>
      </c>
    </row>
    <row r="256" spans="1:12" ht="13.5" hidden="1" x14ac:dyDescent="0.2">
      <c r="A256" t="s">
        <v>0</v>
      </c>
      <c r="B256" t="s">
        <v>729</v>
      </c>
      <c r="C256" t="s">
        <v>474</v>
      </c>
      <c r="D256" s="10" t="e">
        <f>INDEX(#REF!,MATCH(Validade!C256,#REF!,0))</f>
        <v>#REF!</v>
      </c>
      <c r="E256" s="10" t="e">
        <f>INDEX(#REF!,MATCH(Validade!C256,#REF!,0))</f>
        <v>#REF!</v>
      </c>
      <c r="F256" t="s">
        <v>447</v>
      </c>
      <c r="G256" t="s">
        <v>1585</v>
      </c>
      <c r="H256" s="1">
        <v>46792</v>
      </c>
      <c r="I256" s="1"/>
      <c r="J256" s="2">
        <v>14</v>
      </c>
      <c r="K256" t="s">
        <v>28</v>
      </c>
      <c r="L256" t="str">
        <f>INDEX(Dispodaten2!B:B,MATCH(C256,Dispodaten2!A:A,0))</f>
        <v>PD</v>
      </c>
    </row>
    <row r="257" spans="1:12" ht="13.5" hidden="1" x14ac:dyDescent="0.2">
      <c r="A257" t="s">
        <v>0</v>
      </c>
      <c r="B257" t="s">
        <v>729</v>
      </c>
      <c r="C257" t="s">
        <v>446</v>
      </c>
      <c r="D257" s="10" t="e">
        <f>INDEX(#REF!,MATCH(Validade!C257,#REF!,0))</f>
        <v>#REF!</v>
      </c>
      <c r="E257" s="10" t="e">
        <f>INDEX(#REF!,MATCH(Validade!C257,#REF!,0))</f>
        <v>#REF!</v>
      </c>
      <c r="F257" t="s">
        <v>447</v>
      </c>
      <c r="G257" t="s">
        <v>448</v>
      </c>
      <c r="H257" s="1">
        <v>47079</v>
      </c>
      <c r="I257" s="1"/>
      <c r="J257" s="2">
        <v>825</v>
      </c>
      <c r="K257" t="s">
        <v>28</v>
      </c>
      <c r="L257" t="str">
        <f>INDEX(Dispodaten2!B:B,MATCH(C257,Dispodaten2!A:A,0))</f>
        <v>PD</v>
      </c>
    </row>
    <row r="258" spans="1:12" ht="13.5" hidden="1" x14ac:dyDescent="0.2">
      <c r="A258" t="s">
        <v>0</v>
      </c>
      <c r="B258" t="s">
        <v>729</v>
      </c>
      <c r="C258" t="s">
        <v>518</v>
      </c>
      <c r="D258" s="10" t="e">
        <f>INDEX(#REF!,MATCH(Validade!C258,#REF!,0))</f>
        <v>#REF!</v>
      </c>
      <c r="E258" s="10" t="e">
        <f>INDEX(#REF!,MATCH(Validade!C258,#REF!,0))</f>
        <v>#REF!</v>
      </c>
      <c r="F258" t="s">
        <v>519</v>
      </c>
      <c r="G258" t="s">
        <v>520</v>
      </c>
      <c r="H258" s="1">
        <v>47000</v>
      </c>
      <c r="I258" s="1"/>
      <c r="J258" s="2">
        <v>5</v>
      </c>
      <c r="K258" t="s">
        <v>28</v>
      </c>
      <c r="L258" t="str">
        <f>INDEX(Dispodaten2!B:B,MATCH(C258,Dispodaten2!A:A,0))</f>
        <v>PD</v>
      </c>
    </row>
    <row r="259" spans="1:12" ht="13.5" hidden="1" x14ac:dyDescent="0.2">
      <c r="A259" t="s">
        <v>0</v>
      </c>
      <c r="B259" t="s">
        <v>729</v>
      </c>
      <c r="C259" t="s">
        <v>1537</v>
      </c>
      <c r="D259" s="10" t="e">
        <f>INDEX(#REF!,MATCH(Validade!C259,#REF!,0))</f>
        <v>#REF!</v>
      </c>
      <c r="E259" s="10" t="e">
        <f>INDEX(#REF!,MATCH(Validade!C259,#REF!,0))</f>
        <v>#REF!</v>
      </c>
      <c r="F259" t="s">
        <v>1538</v>
      </c>
      <c r="G259" t="s">
        <v>1539</v>
      </c>
      <c r="H259" s="1">
        <v>45754</v>
      </c>
      <c r="I259" s="1"/>
      <c r="J259" s="2">
        <v>70</v>
      </c>
      <c r="K259" t="s">
        <v>28</v>
      </c>
      <c r="L259" t="str">
        <f>INDEX(Dispodaten2!B:B,MATCH(C259,Dispodaten2!A:A,0))</f>
        <v>PD</v>
      </c>
    </row>
    <row r="260" spans="1:12" ht="13.5" hidden="1" x14ac:dyDescent="0.2">
      <c r="A260" t="s">
        <v>0</v>
      </c>
      <c r="B260" t="s">
        <v>729</v>
      </c>
      <c r="C260" t="s">
        <v>509</v>
      </c>
      <c r="D260" s="10" t="e">
        <f>INDEX(#REF!,MATCH(Validade!C260,#REF!,0))</f>
        <v>#REF!</v>
      </c>
      <c r="E260" s="10" t="e">
        <f>INDEX(#REF!,MATCH(Validade!C260,#REF!,0))</f>
        <v>#REF!</v>
      </c>
      <c r="F260" t="s">
        <v>510</v>
      </c>
      <c r="G260" t="s">
        <v>511</v>
      </c>
      <c r="H260" s="1">
        <v>47233</v>
      </c>
      <c r="I260" s="1"/>
      <c r="J260" s="2">
        <v>2</v>
      </c>
      <c r="K260" t="s">
        <v>28</v>
      </c>
      <c r="L260" t="str">
        <f>INDEX(Dispodaten2!B:B,MATCH(C260,Dispodaten2!A:A,0))</f>
        <v>PD</v>
      </c>
    </row>
    <row r="261" spans="1:12" ht="13.5" hidden="1" x14ac:dyDescent="0.2">
      <c r="A261" t="s">
        <v>0</v>
      </c>
      <c r="B261" t="s">
        <v>729</v>
      </c>
      <c r="C261" t="s">
        <v>1579</v>
      </c>
      <c r="D261" s="10" t="e">
        <f>INDEX(#REF!,MATCH(Validade!C261,#REF!,0))</f>
        <v>#REF!</v>
      </c>
      <c r="E261" s="10" t="e">
        <f>INDEX(#REF!,MATCH(Validade!C261,#REF!,0))</f>
        <v>#REF!</v>
      </c>
      <c r="F261" t="s">
        <v>241</v>
      </c>
      <c r="G261" t="s">
        <v>1580</v>
      </c>
      <c r="H261" s="1">
        <v>46741</v>
      </c>
      <c r="I261" s="1"/>
      <c r="J261" s="2">
        <v>80</v>
      </c>
      <c r="K261" t="s">
        <v>28</v>
      </c>
      <c r="L261" t="str">
        <f>INDEX(Dispodaten2!B:B,MATCH(C261,Dispodaten2!A:A,0))</f>
        <v>PD</v>
      </c>
    </row>
    <row r="262" spans="1:12" ht="13.5" hidden="1" x14ac:dyDescent="0.2">
      <c r="A262" t="s">
        <v>0</v>
      </c>
      <c r="B262" t="s">
        <v>729</v>
      </c>
      <c r="C262" t="s">
        <v>240</v>
      </c>
      <c r="D262" s="10" t="e">
        <f>INDEX(#REF!,MATCH(Validade!C262,#REF!,0))</f>
        <v>#REF!</v>
      </c>
      <c r="E262" s="10" t="e">
        <f>INDEX(#REF!,MATCH(Validade!C262,#REF!,0))</f>
        <v>#REF!</v>
      </c>
      <c r="F262" t="s">
        <v>241</v>
      </c>
      <c r="G262" t="s">
        <v>242</v>
      </c>
      <c r="H262" s="1">
        <v>46889</v>
      </c>
      <c r="I262" s="1"/>
      <c r="J262" s="2">
        <v>75</v>
      </c>
      <c r="K262" t="s">
        <v>28</v>
      </c>
      <c r="L262" t="str">
        <f>INDEX(Dispodaten2!B:B,MATCH(C262,Dispodaten2!A:A,0))</f>
        <v>PD</v>
      </c>
    </row>
    <row r="263" spans="1:12" ht="13.5" hidden="1" x14ac:dyDescent="0.2">
      <c r="A263" t="s">
        <v>0</v>
      </c>
      <c r="B263" t="s">
        <v>729</v>
      </c>
      <c r="C263" t="s">
        <v>438</v>
      </c>
      <c r="D263" s="10" t="e">
        <f>INDEX(#REF!,MATCH(Validade!C263,#REF!,0))</f>
        <v>#REF!</v>
      </c>
      <c r="E263" s="10" t="e">
        <f>INDEX(#REF!,MATCH(Validade!C263,#REF!,0))</f>
        <v>#REF!</v>
      </c>
      <c r="F263" t="s">
        <v>439</v>
      </c>
      <c r="G263" t="s">
        <v>1465</v>
      </c>
      <c r="H263" s="1">
        <v>46545</v>
      </c>
      <c r="I263" s="1"/>
      <c r="J263" s="2">
        <v>113</v>
      </c>
      <c r="K263" t="s">
        <v>28</v>
      </c>
      <c r="L263" t="str">
        <f>INDEX(Dispodaten2!B:B,MATCH(C263,Dispodaten2!A:A,0))</f>
        <v>PD</v>
      </c>
    </row>
    <row r="264" spans="1:12" ht="13.5" hidden="1" x14ac:dyDescent="0.2">
      <c r="A264" t="s">
        <v>0</v>
      </c>
      <c r="B264" t="s">
        <v>729</v>
      </c>
      <c r="C264" t="s">
        <v>513</v>
      </c>
      <c r="D264" s="10" t="e">
        <f>INDEX(#REF!,MATCH(Validade!C264,#REF!,0))</f>
        <v>#REF!</v>
      </c>
      <c r="E264" s="10" t="e">
        <f>INDEX(#REF!,MATCH(Validade!C264,#REF!,0))</f>
        <v>#REF!</v>
      </c>
      <c r="F264" t="s">
        <v>514</v>
      </c>
      <c r="G264" t="s">
        <v>515</v>
      </c>
      <c r="H264" s="1">
        <v>47184</v>
      </c>
      <c r="I264" s="1"/>
      <c r="J264" s="2">
        <v>8</v>
      </c>
      <c r="K264" t="s">
        <v>28</v>
      </c>
      <c r="L264" t="str">
        <f>INDEX(Dispodaten2!B:B,MATCH(C264,Dispodaten2!A:A,0))</f>
        <v>PD</v>
      </c>
    </row>
    <row r="265" spans="1:12" ht="13.5" hidden="1" x14ac:dyDescent="0.2">
      <c r="A265" t="s">
        <v>0</v>
      </c>
      <c r="B265" t="s">
        <v>729</v>
      </c>
      <c r="C265" t="s">
        <v>1145</v>
      </c>
      <c r="D265" s="10" t="e">
        <f>INDEX(#REF!,MATCH(Validade!C265,#REF!,0))</f>
        <v>#REF!</v>
      </c>
      <c r="E265" s="10" t="e">
        <f>INDEX(#REF!,MATCH(Validade!C265,#REF!,0))</f>
        <v>#REF!</v>
      </c>
      <c r="F265" t="s">
        <v>1146</v>
      </c>
      <c r="G265" t="s">
        <v>1147</v>
      </c>
      <c r="H265" s="1">
        <v>47265</v>
      </c>
      <c r="I265" s="1"/>
      <c r="J265" s="2">
        <v>97</v>
      </c>
      <c r="K265" t="s">
        <v>28</v>
      </c>
      <c r="L265" t="str">
        <f>INDEX(Dispodaten2!B:B,MATCH(C265,Dispodaten2!A:A,0))</f>
        <v>PD</v>
      </c>
    </row>
    <row r="266" spans="1:12" ht="13.5" hidden="1" x14ac:dyDescent="0.2">
      <c r="A266" t="s">
        <v>0</v>
      </c>
      <c r="B266" t="s">
        <v>729</v>
      </c>
      <c r="C266" t="s">
        <v>1094</v>
      </c>
      <c r="D266" s="10" t="e">
        <f>INDEX(#REF!,MATCH(Validade!C266,#REF!,0))</f>
        <v>#REF!</v>
      </c>
      <c r="E266" s="10" t="e">
        <f>INDEX(#REF!,MATCH(Validade!C266,#REF!,0))</f>
        <v>#REF!</v>
      </c>
      <c r="F266" t="s">
        <v>1095</v>
      </c>
      <c r="G266" t="s">
        <v>1096</v>
      </c>
      <c r="H266" s="1">
        <v>47237</v>
      </c>
      <c r="I266" s="1"/>
      <c r="J266" s="2">
        <v>207</v>
      </c>
      <c r="K266" t="s">
        <v>28</v>
      </c>
      <c r="L266" t="str">
        <f>INDEX(Dispodaten2!B:B,MATCH(C266,Dispodaten2!A:A,0))</f>
        <v>PD</v>
      </c>
    </row>
    <row r="267" spans="1:12" ht="13.5" hidden="1" x14ac:dyDescent="0.2">
      <c r="A267" t="s">
        <v>0</v>
      </c>
      <c r="B267" t="s">
        <v>729</v>
      </c>
      <c r="C267" t="s">
        <v>214</v>
      </c>
      <c r="D267" s="10" t="e">
        <f>INDEX(#REF!,MATCH(Validade!C267,#REF!,0))</f>
        <v>#REF!</v>
      </c>
      <c r="E267" s="10" t="e">
        <f>INDEX(#REF!,MATCH(Validade!C267,#REF!,0))</f>
        <v>#REF!</v>
      </c>
      <c r="F267" t="s">
        <v>215</v>
      </c>
      <c r="G267" t="s">
        <v>1065</v>
      </c>
      <c r="H267" s="1">
        <v>47329</v>
      </c>
      <c r="I267" s="1"/>
      <c r="J267" s="2">
        <v>76</v>
      </c>
      <c r="K267" t="s">
        <v>28</v>
      </c>
      <c r="L267" t="str">
        <f>INDEX(Dispodaten2!B:B,MATCH(C267,Dispodaten2!A:A,0))</f>
        <v>PD</v>
      </c>
    </row>
    <row r="268" spans="1:12" ht="13.5" hidden="1" x14ac:dyDescent="0.2">
      <c r="A268" t="s">
        <v>0</v>
      </c>
      <c r="B268" t="s">
        <v>729</v>
      </c>
      <c r="C268" t="s">
        <v>65</v>
      </c>
      <c r="D268" s="10" t="e">
        <f>INDEX(#REF!,MATCH(Validade!C268,#REF!,0))</f>
        <v>#REF!</v>
      </c>
      <c r="E268" s="10" t="e">
        <f>INDEX(#REF!,MATCH(Validade!C268,#REF!,0))</f>
        <v>#REF!</v>
      </c>
      <c r="F268" t="s">
        <v>66</v>
      </c>
      <c r="G268" t="s">
        <v>925</v>
      </c>
      <c r="H268" s="1">
        <v>46797</v>
      </c>
      <c r="I268" s="1"/>
      <c r="J268" s="2">
        <v>92</v>
      </c>
      <c r="K268" t="s">
        <v>28</v>
      </c>
      <c r="L268" t="str">
        <f>INDEX(Dispodaten2!B:B,MATCH(C268,Dispodaten2!A:A,0))</f>
        <v>PD</v>
      </c>
    </row>
    <row r="269" spans="1:12" ht="13.5" hidden="1" x14ac:dyDescent="0.2">
      <c r="A269" t="s">
        <v>0</v>
      </c>
      <c r="B269" t="s">
        <v>729</v>
      </c>
      <c r="C269" t="s">
        <v>140</v>
      </c>
      <c r="D269" s="10" t="e">
        <f>INDEX(#REF!,MATCH(Validade!C269,#REF!,0))</f>
        <v>#REF!</v>
      </c>
      <c r="E269" s="10" t="e">
        <f>INDEX(#REF!,MATCH(Validade!C269,#REF!,0))</f>
        <v>#REF!</v>
      </c>
      <c r="F269" t="s">
        <v>141</v>
      </c>
      <c r="G269" t="s">
        <v>1002</v>
      </c>
      <c r="H269" s="1">
        <v>46988</v>
      </c>
      <c r="I269" s="1"/>
      <c r="J269" s="2">
        <v>222</v>
      </c>
      <c r="K269" t="s">
        <v>28</v>
      </c>
      <c r="L269" t="str">
        <f>INDEX(Dispodaten2!B:B,MATCH(C269,Dispodaten2!A:A,0))</f>
        <v>PD</v>
      </c>
    </row>
    <row r="270" spans="1:12" ht="13.5" hidden="1" x14ac:dyDescent="0.2">
      <c r="A270" t="s">
        <v>0</v>
      </c>
      <c r="B270" t="s">
        <v>729</v>
      </c>
      <c r="C270" t="s">
        <v>205</v>
      </c>
      <c r="D270" s="10" t="e">
        <f>INDEX(#REF!,MATCH(Validade!C270,#REF!,0))</f>
        <v>#REF!</v>
      </c>
      <c r="E270" s="10" t="e">
        <f>INDEX(#REF!,MATCH(Validade!C270,#REF!,0))</f>
        <v>#REF!</v>
      </c>
      <c r="F270" t="s">
        <v>206</v>
      </c>
      <c r="G270" t="s">
        <v>1054</v>
      </c>
      <c r="H270" s="1">
        <v>47287</v>
      </c>
      <c r="I270" s="1"/>
      <c r="J270" s="2">
        <v>32</v>
      </c>
      <c r="K270" t="s">
        <v>28</v>
      </c>
      <c r="L270" t="str">
        <f>INDEX(Dispodaten2!B:B,MATCH(C270,Dispodaten2!A:A,0))</f>
        <v>PD</v>
      </c>
    </row>
    <row r="271" spans="1:12" ht="13.5" hidden="1" x14ac:dyDescent="0.2">
      <c r="A271" t="s">
        <v>0</v>
      </c>
      <c r="B271" t="s">
        <v>729</v>
      </c>
      <c r="C271" t="s">
        <v>485</v>
      </c>
      <c r="D271" s="10" t="e">
        <f>INDEX(#REF!,MATCH(Validade!C271,#REF!,0))</f>
        <v>#REF!</v>
      </c>
      <c r="E271" s="10" t="e">
        <f>INDEX(#REF!,MATCH(Validade!C271,#REF!,0))</f>
        <v>#REF!</v>
      </c>
      <c r="F271" t="s">
        <v>486</v>
      </c>
      <c r="G271" t="s">
        <v>1598</v>
      </c>
      <c r="H271" s="1">
        <v>47071</v>
      </c>
      <c r="I271" s="1"/>
      <c r="J271" s="2">
        <v>2</v>
      </c>
      <c r="K271" t="s">
        <v>28</v>
      </c>
      <c r="L271" t="str">
        <f>INDEX(Dispodaten2!B:B,MATCH(C271,Dispodaten2!A:A,0))</f>
        <v>PD</v>
      </c>
    </row>
    <row r="272" spans="1:12" ht="13.5" hidden="1" x14ac:dyDescent="0.2">
      <c r="A272" t="s">
        <v>0</v>
      </c>
      <c r="B272" t="s">
        <v>729</v>
      </c>
      <c r="C272" t="s">
        <v>506</v>
      </c>
      <c r="D272" s="10" t="e">
        <f>INDEX(#REF!,MATCH(Validade!C272,#REF!,0))</f>
        <v>#REF!</v>
      </c>
      <c r="E272" s="10" t="e">
        <f>INDEX(#REF!,MATCH(Validade!C272,#REF!,0))</f>
        <v>#REF!</v>
      </c>
      <c r="F272" t="s">
        <v>507</v>
      </c>
      <c r="G272" t="s">
        <v>508</v>
      </c>
      <c r="H272" s="1">
        <v>47149</v>
      </c>
      <c r="I272" s="1"/>
      <c r="J272" s="2">
        <v>247</v>
      </c>
      <c r="K272" t="s">
        <v>28</v>
      </c>
      <c r="L272" t="str">
        <f>INDEX(Dispodaten2!B:B,MATCH(C272,Dispodaten2!A:A,0))</f>
        <v>PD</v>
      </c>
    </row>
    <row r="273" spans="1:12" ht="13.5" hidden="1" x14ac:dyDescent="0.2">
      <c r="A273" t="s">
        <v>0</v>
      </c>
      <c r="B273" t="s">
        <v>729</v>
      </c>
      <c r="C273" t="s">
        <v>480</v>
      </c>
      <c r="D273" s="10" t="e">
        <f>INDEX(#REF!,MATCH(Validade!C273,#REF!,0))</f>
        <v>#REF!</v>
      </c>
      <c r="E273" s="10" t="e">
        <f>INDEX(#REF!,MATCH(Validade!C273,#REF!,0))</f>
        <v>#REF!</v>
      </c>
      <c r="F273" t="s">
        <v>481</v>
      </c>
      <c r="G273" t="s">
        <v>482</v>
      </c>
      <c r="H273" s="1">
        <v>47084</v>
      </c>
      <c r="I273" s="1"/>
      <c r="J273" s="2">
        <v>47</v>
      </c>
      <c r="K273" t="s">
        <v>28</v>
      </c>
      <c r="L273" t="str">
        <f>INDEX(Dispodaten2!B:B,MATCH(C273,Dispodaten2!A:A,0))</f>
        <v>PD</v>
      </c>
    </row>
    <row r="274" spans="1:12" ht="13.5" hidden="1" x14ac:dyDescent="0.2">
      <c r="A274" t="s">
        <v>0</v>
      </c>
      <c r="B274" t="s">
        <v>729</v>
      </c>
      <c r="C274" t="s">
        <v>67</v>
      </c>
      <c r="D274" s="10" t="e">
        <f>INDEX(#REF!,MATCH(Validade!C274,#REF!,0))</f>
        <v>#REF!</v>
      </c>
      <c r="E274" s="10" t="e">
        <f>INDEX(#REF!,MATCH(Validade!C274,#REF!,0))</f>
        <v>#REF!</v>
      </c>
      <c r="F274" t="s">
        <v>68</v>
      </c>
      <c r="G274" t="s">
        <v>930</v>
      </c>
      <c r="H274" s="1">
        <v>46900</v>
      </c>
      <c r="I274" s="1"/>
      <c r="J274" s="2">
        <v>308</v>
      </c>
      <c r="K274" t="s">
        <v>28</v>
      </c>
      <c r="L274" t="str">
        <f>INDEX(Dispodaten2!B:B,MATCH(C274,Dispodaten2!A:A,0))</f>
        <v>PD</v>
      </c>
    </row>
    <row r="275" spans="1:12" ht="13.5" hidden="1" x14ac:dyDescent="0.2">
      <c r="A275" t="s">
        <v>0</v>
      </c>
      <c r="B275" t="s">
        <v>729</v>
      </c>
      <c r="C275" t="s">
        <v>478</v>
      </c>
      <c r="D275" s="10" t="e">
        <f>INDEX(#REF!,MATCH(Validade!C275,#REF!,0))</f>
        <v>#REF!</v>
      </c>
      <c r="E275" s="10" t="e">
        <f>INDEX(#REF!,MATCH(Validade!C275,#REF!,0))</f>
        <v>#REF!</v>
      </c>
      <c r="F275" t="s">
        <v>479</v>
      </c>
      <c r="G275" t="s">
        <v>1586</v>
      </c>
      <c r="H275" s="1">
        <v>47264</v>
      </c>
      <c r="I275" s="1"/>
      <c r="J275" s="2">
        <v>547</v>
      </c>
      <c r="K275" t="s">
        <v>28</v>
      </c>
      <c r="L275" t="str">
        <f>INDEX(Dispodaten2!B:B,MATCH(C275,Dispodaten2!A:A,0))</f>
        <v>PD</v>
      </c>
    </row>
    <row r="276" spans="1:12" ht="13.5" hidden="1" x14ac:dyDescent="0.2">
      <c r="A276" t="s">
        <v>0</v>
      </c>
      <c r="B276" t="s">
        <v>729</v>
      </c>
      <c r="C276" t="s">
        <v>938</v>
      </c>
      <c r="D276" s="10" t="e">
        <f>INDEX(#REF!,MATCH(Validade!C276,#REF!,0))</f>
        <v>#REF!</v>
      </c>
      <c r="E276" s="10" t="e">
        <f>INDEX(#REF!,MATCH(Validade!C276,#REF!,0))</f>
        <v>#REF!</v>
      </c>
      <c r="F276" t="s">
        <v>939</v>
      </c>
      <c r="G276" t="s">
        <v>940</v>
      </c>
      <c r="H276" s="1">
        <v>45699</v>
      </c>
      <c r="I276" s="1"/>
      <c r="J276" s="2">
        <v>126</v>
      </c>
      <c r="K276" t="s">
        <v>28</v>
      </c>
      <c r="L276" t="str">
        <f>INDEX(Dispodaten2!B:B,MATCH(C276,Dispodaten2!A:A,0))</f>
        <v>PD</v>
      </c>
    </row>
    <row r="277" spans="1:12" ht="13.5" hidden="1" x14ac:dyDescent="0.2">
      <c r="A277" t="s">
        <v>0</v>
      </c>
      <c r="B277" t="s">
        <v>729</v>
      </c>
      <c r="C277" t="s">
        <v>1135</v>
      </c>
      <c r="D277" s="10" t="e">
        <f>INDEX(#REF!,MATCH(Validade!C277,#REF!,0))</f>
        <v>#REF!</v>
      </c>
      <c r="E277" s="10" t="e">
        <f>INDEX(#REF!,MATCH(Validade!C277,#REF!,0))</f>
        <v>#REF!</v>
      </c>
      <c r="F277" t="s">
        <v>1136</v>
      </c>
      <c r="G277" t="s">
        <v>1137</v>
      </c>
      <c r="H277" s="1">
        <v>47387</v>
      </c>
      <c r="I277" s="1"/>
      <c r="J277" s="2">
        <v>210</v>
      </c>
      <c r="K277" t="s">
        <v>28</v>
      </c>
      <c r="L277" t="str">
        <f>INDEX(Dispodaten2!B:B,MATCH(C277,Dispodaten2!A:A,0))</f>
        <v>PD</v>
      </c>
    </row>
    <row r="278" spans="1:12" ht="13.5" hidden="1" x14ac:dyDescent="0.2">
      <c r="A278" t="s">
        <v>0</v>
      </c>
      <c r="B278" t="s">
        <v>729</v>
      </c>
      <c r="C278" t="s">
        <v>97</v>
      </c>
      <c r="D278" s="10" t="e">
        <f>INDEX(#REF!,MATCH(Validade!C278,#REF!,0))</f>
        <v>#REF!</v>
      </c>
      <c r="E278" s="10" t="e">
        <f>INDEX(#REF!,MATCH(Validade!C278,#REF!,0))</f>
        <v>#REF!</v>
      </c>
      <c r="F278" t="s">
        <v>98</v>
      </c>
      <c r="G278" t="s">
        <v>971</v>
      </c>
      <c r="H278" s="1">
        <v>47016</v>
      </c>
      <c r="I278" s="1"/>
      <c r="J278" s="2">
        <v>508</v>
      </c>
      <c r="K278" t="s">
        <v>28</v>
      </c>
      <c r="L278" t="str">
        <f>INDEX(Dispodaten2!B:B,MATCH(C278,Dispodaten2!A:A,0))</f>
        <v>PD</v>
      </c>
    </row>
    <row r="279" spans="1:12" ht="13.5" hidden="1" x14ac:dyDescent="0.2">
      <c r="A279" t="s">
        <v>0</v>
      </c>
      <c r="B279" t="s">
        <v>729</v>
      </c>
      <c r="C279" t="s">
        <v>101</v>
      </c>
      <c r="D279" s="10" t="e">
        <f>INDEX(#REF!,MATCH(Validade!C279,#REF!,0))</f>
        <v>#REF!</v>
      </c>
      <c r="E279" s="10" t="e">
        <f>INDEX(#REF!,MATCH(Validade!C279,#REF!,0))</f>
        <v>#REF!</v>
      </c>
      <c r="F279" t="s">
        <v>102</v>
      </c>
      <c r="G279" t="s">
        <v>973</v>
      </c>
      <c r="H279" s="1">
        <v>46896</v>
      </c>
      <c r="I279" s="1"/>
      <c r="J279" s="2">
        <v>4</v>
      </c>
      <c r="K279" t="s">
        <v>28</v>
      </c>
      <c r="L279" t="str">
        <f>INDEX(Dispodaten2!B:B,MATCH(C279,Dispodaten2!A:A,0))</f>
        <v>PD</v>
      </c>
    </row>
    <row r="280" spans="1:12" ht="13.5" hidden="1" x14ac:dyDescent="0.2">
      <c r="A280" t="s">
        <v>0</v>
      </c>
      <c r="B280" t="s">
        <v>729</v>
      </c>
      <c r="C280" t="s">
        <v>237</v>
      </c>
      <c r="D280" s="10" t="e">
        <f>INDEX(#REF!,MATCH(Validade!C280,#REF!,0))</f>
        <v>#REF!</v>
      </c>
      <c r="E280" s="10" t="e">
        <f>INDEX(#REF!,MATCH(Validade!C280,#REF!,0))</f>
        <v>#REF!</v>
      </c>
      <c r="F280" t="s">
        <v>238</v>
      </c>
      <c r="G280" t="s">
        <v>239</v>
      </c>
      <c r="H280" s="1">
        <v>47230</v>
      </c>
      <c r="I280" s="1"/>
      <c r="J280" s="2">
        <v>233</v>
      </c>
      <c r="K280" t="s">
        <v>28</v>
      </c>
      <c r="L280" t="str">
        <f>INDEX(Dispodaten2!B:B,MATCH(C280,Dispodaten2!A:A,0))</f>
        <v>PD</v>
      </c>
    </row>
    <row r="281" spans="1:12" ht="13.5" hidden="1" x14ac:dyDescent="0.2">
      <c r="A281" t="s">
        <v>0</v>
      </c>
      <c r="B281" t="s">
        <v>1</v>
      </c>
      <c r="C281" t="s">
        <v>337</v>
      </c>
      <c r="D281" s="10" t="e">
        <f>INDEX(#REF!,MATCH(Validade!C281,#REF!,0))</f>
        <v>#REF!</v>
      </c>
      <c r="E281" s="10" t="e">
        <f>INDEX(#REF!,MATCH(Validade!C281,#REF!,0))</f>
        <v>#REF!</v>
      </c>
      <c r="F281" t="s">
        <v>338</v>
      </c>
      <c r="G281" t="s">
        <v>339</v>
      </c>
      <c r="H281" s="1">
        <v>62458</v>
      </c>
      <c r="I281" s="1">
        <v>44874</v>
      </c>
      <c r="J281" s="2">
        <v>1</v>
      </c>
      <c r="K281" t="s">
        <v>330</v>
      </c>
      <c r="L281" t="str">
        <f>INDEX(Dispodaten2!B:B,MATCH(C281,Dispodaten2!A:A,0))</f>
        <v>ND</v>
      </c>
    </row>
    <row r="282" spans="1:12" ht="13.5" hidden="1" x14ac:dyDescent="0.2">
      <c r="A282" t="s">
        <v>0</v>
      </c>
      <c r="B282" t="s">
        <v>1</v>
      </c>
      <c r="C282" t="s">
        <v>727</v>
      </c>
      <c r="D282" s="10" t="e">
        <f>INDEX(#REF!,MATCH(Validade!C282,#REF!,0))</f>
        <v>#REF!</v>
      </c>
      <c r="E282" s="10" t="e">
        <f>INDEX(#REF!,MATCH(Validade!C282,#REF!,0))</f>
        <v>#REF!</v>
      </c>
      <c r="F282" t="s">
        <v>307</v>
      </c>
      <c r="G282" t="s">
        <v>728</v>
      </c>
      <c r="H282" s="1">
        <v>62458</v>
      </c>
      <c r="I282" s="1">
        <v>44019</v>
      </c>
      <c r="J282" s="2">
        <v>134</v>
      </c>
      <c r="K282" t="s">
        <v>303</v>
      </c>
      <c r="L282" t="str">
        <f>INDEX(Dispodaten2!B:B,MATCH(C282,Dispodaten2!A:A,0))</f>
        <v>PD</v>
      </c>
    </row>
    <row r="283" spans="1:12" ht="13.5" hidden="1" x14ac:dyDescent="0.2">
      <c r="A283" t="s">
        <v>0</v>
      </c>
      <c r="B283" t="s">
        <v>1</v>
      </c>
      <c r="C283" t="s">
        <v>367</v>
      </c>
      <c r="D283" s="10" t="e">
        <f>INDEX(#REF!,MATCH(Validade!C283,#REF!,0))</f>
        <v>#REF!</v>
      </c>
      <c r="E283" s="10" t="e">
        <f>INDEX(#REF!,MATCH(Validade!C283,#REF!,0))</f>
        <v>#REF!</v>
      </c>
      <c r="F283" t="s">
        <v>368</v>
      </c>
      <c r="G283" t="s">
        <v>369</v>
      </c>
      <c r="H283" s="1">
        <v>62458</v>
      </c>
      <c r="I283" s="1">
        <v>43865</v>
      </c>
      <c r="J283" s="2">
        <v>16</v>
      </c>
      <c r="K283" t="s">
        <v>305</v>
      </c>
      <c r="L283" t="str">
        <f>INDEX(Dispodaten2!B:B,MATCH(C283,Dispodaten2!A:A,0))</f>
        <v>PD</v>
      </c>
    </row>
    <row r="284" spans="1:12" ht="13.5" hidden="1" x14ac:dyDescent="0.2">
      <c r="A284" t="s">
        <v>0</v>
      </c>
      <c r="B284" t="s">
        <v>1</v>
      </c>
      <c r="C284" t="s">
        <v>364</v>
      </c>
      <c r="D284" s="10" t="e">
        <f>INDEX(#REF!,MATCH(Validade!C284,#REF!,0))</f>
        <v>#REF!</v>
      </c>
      <c r="E284" s="10" t="e">
        <f>INDEX(#REF!,MATCH(Validade!C284,#REF!,0))</f>
        <v>#REF!</v>
      </c>
      <c r="F284" t="s">
        <v>365</v>
      </c>
      <c r="G284" t="s">
        <v>366</v>
      </c>
      <c r="H284" s="1">
        <v>62458</v>
      </c>
      <c r="I284" s="1">
        <v>44120</v>
      </c>
      <c r="J284" s="2">
        <v>1</v>
      </c>
      <c r="K284" t="s">
        <v>303</v>
      </c>
      <c r="L284" t="str">
        <f>INDEX(Dispodaten2!B:B,MATCH(C284,Dispodaten2!A:A,0))</f>
        <v>PD</v>
      </c>
    </row>
    <row r="285" spans="1:12" ht="13.5" hidden="1" x14ac:dyDescent="0.2">
      <c r="A285" t="s">
        <v>0</v>
      </c>
      <c r="B285" t="s">
        <v>1</v>
      </c>
      <c r="C285" t="s">
        <v>361</v>
      </c>
      <c r="D285" s="10" t="e">
        <f>INDEX(#REF!,MATCH(Validade!C285,#REF!,0))</f>
        <v>#REF!</v>
      </c>
      <c r="E285" s="10" t="e">
        <f>INDEX(#REF!,MATCH(Validade!C285,#REF!,0))</f>
        <v>#REF!</v>
      </c>
      <c r="F285" t="s">
        <v>362</v>
      </c>
      <c r="G285" t="s">
        <v>363</v>
      </c>
      <c r="H285" s="1">
        <v>62458</v>
      </c>
      <c r="I285" s="1">
        <v>44544</v>
      </c>
      <c r="J285" s="2">
        <v>26</v>
      </c>
      <c r="K285" t="s">
        <v>305</v>
      </c>
      <c r="L285" t="str">
        <f>INDEX(Dispodaten2!B:B,MATCH(C285,Dispodaten2!A:A,0))</f>
        <v>PD</v>
      </c>
    </row>
    <row r="286" spans="1:12" ht="13.5" hidden="1" x14ac:dyDescent="0.2">
      <c r="A286" t="s">
        <v>0</v>
      </c>
      <c r="B286" t="s">
        <v>1</v>
      </c>
      <c r="C286" t="s">
        <v>352</v>
      </c>
      <c r="D286" s="10" t="e">
        <f>INDEX(#REF!,MATCH(Validade!C286,#REF!,0))</f>
        <v>#REF!</v>
      </c>
      <c r="E286" s="10" t="e">
        <f>INDEX(#REF!,MATCH(Validade!C286,#REF!,0))</f>
        <v>#REF!</v>
      </c>
      <c r="F286" t="s">
        <v>353</v>
      </c>
      <c r="G286" t="s">
        <v>354</v>
      </c>
      <c r="H286" s="1">
        <v>62458</v>
      </c>
      <c r="I286" s="1">
        <v>44796</v>
      </c>
      <c r="J286" s="2">
        <v>14</v>
      </c>
      <c r="K286" t="s">
        <v>305</v>
      </c>
      <c r="L286" t="str">
        <f>INDEX(Dispodaten2!B:B,MATCH(C286,Dispodaten2!A:A,0))</f>
        <v>PD</v>
      </c>
    </row>
    <row r="287" spans="1:12" ht="13.5" hidden="1" x14ac:dyDescent="0.2">
      <c r="A287" t="s">
        <v>0</v>
      </c>
      <c r="B287" t="s">
        <v>1</v>
      </c>
      <c r="C287" t="s">
        <v>355</v>
      </c>
      <c r="D287" s="10" t="e">
        <f>INDEX(#REF!,MATCH(Validade!C287,#REF!,0))</f>
        <v>#REF!</v>
      </c>
      <c r="E287" s="10" t="e">
        <f>INDEX(#REF!,MATCH(Validade!C287,#REF!,0))</f>
        <v>#REF!</v>
      </c>
      <c r="F287" t="s">
        <v>356</v>
      </c>
      <c r="G287" t="s">
        <v>357</v>
      </c>
      <c r="H287" s="1">
        <v>62458</v>
      </c>
      <c r="I287" s="1">
        <v>44544</v>
      </c>
      <c r="J287" s="2">
        <v>119</v>
      </c>
      <c r="K287" t="s">
        <v>305</v>
      </c>
      <c r="L287" t="str">
        <f>INDEX(Dispodaten2!B:B,MATCH(C287,Dispodaten2!A:A,0))</f>
        <v>PD</v>
      </c>
    </row>
    <row r="288" spans="1:12" ht="13.5" hidden="1" x14ac:dyDescent="0.2">
      <c r="A288" t="s">
        <v>0</v>
      </c>
      <c r="B288" t="s">
        <v>1</v>
      </c>
      <c r="C288" t="s">
        <v>340</v>
      </c>
      <c r="D288" s="10" t="e">
        <f>INDEX(#REF!,MATCH(Validade!C288,#REF!,0))</f>
        <v>#REF!</v>
      </c>
      <c r="E288" s="10" t="e">
        <f>INDEX(#REF!,MATCH(Validade!C288,#REF!,0))</f>
        <v>#REF!</v>
      </c>
      <c r="F288" t="s">
        <v>341</v>
      </c>
      <c r="G288" t="s">
        <v>342</v>
      </c>
      <c r="H288" s="1"/>
      <c r="I288" s="1"/>
      <c r="J288" s="2">
        <v>393</v>
      </c>
      <c r="K288" t="s">
        <v>303</v>
      </c>
      <c r="L288" t="str">
        <f>INDEX(Dispodaten2!B:B,MATCH(C288,Dispodaten2!A:A,0))</f>
        <v>PD</v>
      </c>
    </row>
    <row r="289" spans="1:12" ht="13.5" hidden="1" x14ac:dyDescent="0.2">
      <c r="A289" t="s">
        <v>0</v>
      </c>
      <c r="B289" t="s">
        <v>1</v>
      </c>
      <c r="C289" t="s">
        <v>331</v>
      </c>
      <c r="D289" s="10" t="e">
        <f>INDEX(#REF!,MATCH(Validade!C289,#REF!,0))</f>
        <v>#REF!</v>
      </c>
      <c r="E289" s="10" t="e">
        <f>INDEX(#REF!,MATCH(Validade!C289,#REF!,0))</f>
        <v>#REF!</v>
      </c>
      <c r="F289" t="s">
        <v>332</v>
      </c>
      <c r="G289" t="s">
        <v>333</v>
      </c>
      <c r="H289" s="1">
        <v>62458</v>
      </c>
      <c r="I289" s="1"/>
      <c r="J289" s="2">
        <v>82</v>
      </c>
      <c r="K289" t="s">
        <v>305</v>
      </c>
      <c r="L289" t="str">
        <f>INDEX(Dispodaten2!B:B,MATCH(C289,Dispodaten2!A:A,0))</f>
        <v>PD</v>
      </c>
    </row>
    <row r="290" spans="1:12" ht="13.5" hidden="1" x14ac:dyDescent="0.2">
      <c r="A290" t="s">
        <v>0</v>
      </c>
      <c r="B290" t="s">
        <v>1</v>
      </c>
      <c r="C290" t="s">
        <v>314</v>
      </c>
      <c r="D290" s="10" t="e">
        <f>INDEX(#REF!,MATCH(Validade!C290,#REF!,0))</f>
        <v>#REF!</v>
      </c>
      <c r="E290" s="10" t="e">
        <f>INDEX(#REF!,MATCH(Validade!C290,#REF!,0))</f>
        <v>#REF!</v>
      </c>
      <c r="F290" t="s">
        <v>315</v>
      </c>
      <c r="G290" t="s">
        <v>317</v>
      </c>
      <c r="H290" s="1">
        <v>62458</v>
      </c>
      <c r="I290" s="1">
        <v>43320</v>
      </c>
      <c r="J290" s="2">
        <v>27</v>
      </c>
      <c r="K290" t="s">
        <v>305</v>
      </c>
      <c r="L290" t="str">
        <f>INDEX(Dispodaten2!B:B,MATCH(C290,Dispodaten2!A:A,0))</f>
        <v>PD</v>
      </c>
    </row>
    <row r="291" spans="1:12" ht="13.5" hidden="1" x14ac:dyDescent="0.2">
      <c r="A291" t="s">
        <v>0</v>
      </c>
      <c r="B291" t="s">
        <v>1</v>
      </c>
      <c r="C291" t="s">
        <v>323</v>
      </c>
      <c r="D291" s="10" t="e">
        <f>INDEX(#REF!,MATCH(Validade!C291,#REF!,0))</f>
        <v>#REF!</v>
      </c>
      <c r="E291" s="10" t="e">
        <f>INDEX(#REF!,MATCH(Validade!C291,#REF!,0))</f>
        <v>#REF!</v>
      </c>
      <c r="F291" t="s">
        <v>324</v>
      </c>
      <c r="G291" t="s">
        <v>325</v>
      </c>
      <c r="H291" s="1">
        <v>62458</v>
      </c>
      <c r="I291" s="1">
        <v>44120</v>
      </c>
      <c r="J291" s="2">
        <v>2</v>
      </c>
      <c r="K291" t="s">
        <v>303</v>
      </c>
      <c r="L291" t="str">
        <f>INDEX(Dispodaten2!B:B,MATCH(C291,Dispodaten2!A:A,0))</f>
        <v>PD</v>
      </c>
    </row>
    <row r="292" spans="1:12" ht="13.5" hidden="1" x14ac:dyDescent="0.2">
      <c r="A292" t="s">
        <v>0</v>
      </c>
      <c r="B292" t="s">
        <v>1</v>
      </c>
      <c r="C292" t="s">
        <v>301</v>
      </c>
      <c r="D292" s="10" t="e">
        <f>INDEX(#REF!,MATCH(Validade!C292,#REF!,0))</f>
        <v>#REF!</v>
      </c>
      <c r="E292" s="10" t="e">
        <f>INDEX(#REF!,MATCH(Validade!C292,#REF!,0))</f>
        <v>#REF!</v>
      </c>
      <c r="F292" t="s">
        <v>302</v>
      </c>
      <c r="G292" t="s">
        <v>304</v>
      </c>
      <c r="H292" s="1">
        <v>62458</v>
      </c>
      <c r="I292" s="1">
        <v>44544</v>
      </c>
      <c r="J292" s="2">
        <v>35</v>
      </c>
      <c r="K292" t="s">
        <v>303</v>
      </c>
      <c r="L292" t="str">
        <f>INDEX(Dispodaten2!B:B,MATCH(C292,Dispodaten2!A:A,0))</f>
        <v>PD</v>
      </c>
    </row>
    <row r="293" spans="1:12" ht="13.5" hidden="1" x14ac:dyDescent="0.2">
      <c r="A293" t="s">
        <v>0</v>
      </c>
      <c r="B293" t="s">
        <v>1</v>
      </c>
      <c r="C293" t="s">
        <v>373</v>
      </c>
      <c r="D293" s="10" t="e">
        <f>INDEX(#REF!,MATCH(Validade!C293,#REF!,0))</f>
        <v>#REF!</v>
      </c>
      <c r="E293" s="10" t="e">
        <f>INDEX(#REF!,MATCH(Validade!C293,#REF!,0))</f>
        <v>#REF!</v>
      </c>
      <c r="F293" t="s">
        <v>374</v>
      </c>
      <c r="G293" t="s">
        <v>375</v>
      </c>
      <c r="H293" s="1">
        <v>62458</v>
      </c>
      <c r="I293" s="1">
        <v>44398</v>
      </c>
      <c r="J293" s="2">
        <v>25</v>
      </c>
      <c r="K293" t="s">
        <v>305</v>
      </c>
      <c r="L293" t="str">
        <f>INDEX(Dispodaten2!B:B,MATCH(C293,Dispodaten2!A:A,0))</f>
        <v>PD</v>
      </c>
    </row>
    <row r="294" spans="1:12" ht="13.5" hidden="1" x14ac:dyDescent="0.2">
      <c r="A294" t="s">
        <v>0</v>
      </c>
      <c r="B294" t="s">
        <v>1</v>
      </c>
      <c r="C294" t="s">
        <v>343</v>
      </c>
      <c r="D294" s="10" t="e">
        <f>INDEX(#REF!,MATCH(Validade!C294,#REF!,0))</f>
        <v>#REF!</v>
      </c>
      <c r="E294" s="10" t="e">
        <f>INDEX(#REF!,MATCH(Validade!C294,#REF!,0))</f>
        <v>#REF!</v>
      </c>
      <c r="F294" t="s">
        <v>344</v>
      </c>
      <c r="G294" t="s">
        <v>345</v>
      </c>
      <c r="H294" s="1"/>
      <c r="I294" s="1"/>
      <c r="J294" s="2">
        <v>130</v>
      </c>
      <c r="K294" t="s">
        <v>326</v>
      </c>
      <c r="L294" t="str">
        <f>INDEX(Dispodaten2!B:B,MATCH(C294,Dispodaten2!A:A,0))</f>
        <v>PD</v>
      </c>
    </row>
    <row r="295" spans="1:12" ht="13.5" hidden="1" x14ac:dyDescent="0.2">
      <c r="A295" t="s">
        <v>0</v>
      </c>
      <c r="B295" t="s">
        <v>729</v>
      </c>
      <c r="C295" t="s">
        <v>1520</v>
      </c>
      <c r="D295" s="10" t="e">
        <f>INDEX(#REF!,MATCH(Validade!C295,#REF!,0))</f>
        <v>#REF!</v>
      </c>
      <c r="E295" s="10" t="e">
        <f>INDEX(#REF!,MATCH(Validade!C295,#REF!,0))</f>
        <v>#REF!</v>
      </c>
      <c r="F295" t="s">
        <v>1521</v>
      </c>
      <c r="G295" t="s">
        <v>1523</v>
      </c>
      <c r="H295" s="1">
        <v>62458</v>
      </c>
      <c r="I295" s="1"/>
      <c r="J295" s="2">
        <v>2000</v>
      </c>
      <c r="K295" t="s">
        <v>1522</v>
      </c>
      <c r="L295" t="str">
        <f>INDEX(Dispodaten2!B:B,MATCH(C295,Dispodaten2!A:A,0))</f>
        <v>PD</v>
      </c>
    </row>
    <row r="296" spans="1:12" ht="13.5" hidden="1" x14ac:dyDescent="0.2">
      <c r="A296" t="s">
        <v>0</v>
      </c>
      <c r="B296" t="s">
        <v>729</v>
      </c>
      <c r="C296" t="s">
        <v>1424</v>
      </c>
      <c r="D296" s="10" t="e">
        <f>INDEX(#REF!,MATCH(Validade!C296,#REF!,0))</f>
        <v>#REF!</v>
      </c>
      <c r="E296" s="10" t="e">
        <f>INDEX(#REF!,MATCH(Validade!C296,#REF!,0))</f>
        <v>#REF!</v>
      </c>
      <c r="F296" t="s">
        <v>1425</v>
      </c>
      <c r="G296" t="s">
        <v>1426</v>
      </c>
      <c r="H296" s="1">
        <v>62458</v>
      </c>
      <c r="I296" s="1"/>
      <c r="J296" s="2">
        <v>3020</v>
      </c>
      <c r="K296" t="s">
        <v>5</v>
      </c>
      <c r="L296" t="str">
        <f>INDEX(Dispodaten2!B:B,MATCH(C296,Dispodaten2!A:A,0))</f>
        <v>PD</v>
      </c>
    </row>
    <row r="297" spans="1:12" ht="13.5" hidden="1" x14ac:dyDescent="0.2">
      <c r="A297" t="s">
        <v>0</v>
      </c>
      <c r="B297" t="s">
        <v>729</v>
      </c>
      <c r="C297" t="s">
        <v>1232</v>
      </c>
      <c r="D297" s="10" t="e">
        <f>INDEX(#REF!,MATCH(Validade!C297,#REF!,0))</f>
        <v>#REF!</v>
      </c>
      <c r="E297" s="10" t="e">
        <f>INDEX(#REF!,MATCH(Validade!C297,#REF!,0))</f>
        <v>#REF!</v>
      </c>
      <c r="F297" t="s">
        <v>1233</v>
      </c>
      <c r="G297" t="s">
        <v>1234</v>
      </c>
      <c r="H297" s="1">
        <v>62458</v>
      </c>
      <c r="I297" s="1"/>
      <c r="J297" s="2">
        <v>2450</v>
      </c>
      <c r="K297" t="s">
        <v>4</v>
      </c>
      <c r="L297" t="str">
        <f>INDEX(Dispodaten2!B:B,MATCH(C297,Dispodaten2!A:A,0))</f>
        <v>PD</v>
      </c>
    </row>
    <row r="298" spans="1:12" ht="13.5" hidden="1" x14ac:dyDescent="0.2">
      <c r="A298" t="s">
        <v>0</v>
      </c>
      <c r="B298" t="s">
        <v>729</v>
      </c>
      <c r="C298" t="s">
        <v>1220</v>
      </c>
      <c r="D298" s="10" t="e">
        <f>INDEX(#REF!,MATCH(Validade!C298,#REF!,0))</f>
        <v>#REF!</v>
      </c>
      <c r="E298" s="10" t="e">
        <f>INDEX(#REF!,MATCH(Validade!C298,#REF!,0))</f>
        <v>#REF!</v>
      </c>
      <c r="F298" t="s">
        <v>1221</v>
      </c>
      <c r="G298" t="s">
        <v>1222</v>
      </c>
      <c r="H298" s="1">
        <v>62458</v>
      </c>
      <c r="I298" s="1">
        <v>43423</v>
      </c>
      <c r="J298" s="2">
        <v>2086490</v>
      </c>
      <c r="K298" t="s">
        <v>5</v>
      </c>
      <c r="L298" t="str">
        <f>INDEX(Dispodaten2!B:B,MATCH(C298,Dispodaten2!A:A,0))</f>
        <v>PD</v>
      </c>
    </row>
    <row r="299" spans="1:12" ht="13.5" hidden="1" x14ac:dyDescent="0.2">
      <c r="A299" t="s">
        <v>1752</v>
      </c>
      <c r="B299" t="s">
        <v>729</v>
      </c>
      <c r="C299" t="s">
        <v>1435</v>
      </c>
      <c r="D299" s="10" t="e">
        <f>INDEX(#REF!,MATCH(Validade!C299,#REF!,0))</f>
        <v>#REF!</v>
      </c>
      <c r="E299" s="10" t="e">
        <f>INDEX(#REF!,MATCH(Validade!C299,#REF!,0))</f>
        <v>#REF!</v>
      </c>
      <c r="F299" t="s">
        <v>1436</v>
      </c>
      <c r="G299" t="s">
        <v>1437</v>
      </c>
      <c r="H299" s="1">
        <v>62458</v>
      </c>
      <c r="I299" s="1"/>
      <c r="J299" s="2">
        <v>100</v>
      </c>
      <c r="K299" t="s">
        <v>4</v>
      </c>
      <c r="L299" t="str">
        <f>INDEX(Dispodaten2!B:B,MATCH(C299,Dispodaten2!A:A,0))</f>
        <v>PD</v>
      </c>
    </row>
    <row r="300" spans="1:12" ht="13.5" hidden="1" x14ac:dyDescent="0.2">
      <c r="A300" t="s">
        <v>1752</v>
      </c>
      <c r="B300" t="s">
        <v>729</v>
      </c>
      <c r="C300" t="s">
        <v>1463</v>
      </c>
      <c r="D300" s="10" t="e">
        <f>INDEX(#REF!,MATCH(Validade!C300,#REF!,0))</f>
        <v>#REF!</v>
      </c>
      <c r="E300" s="10" t="e">
        <f>INDEX(#REF!,MATCH(Validade!C300,#REF!,0))</f>
        <v>#REF!</v>
      </c>
      <c r="F300" t="s">
        <v>1464</v>
      </c>
      <c r="G300" t="s">
        <v>1429</v>
      </c>
      <c r="H300" s="1">
        <v>62458</v>
      </c>
      <c r="I300" s="1"/>
      <c r="J300" s="2">
        <v>184</v>
      </c>
      <c r="K300" t="s">
        <v>4</v>
      </c>
      <c r="L300" t="str">
        <f>INDEX(Dispodaten2!B:B,MATCH(C300,Dispodaten2!A:A,0))</f>
        <v>V1</v>
      </c>
    </row>
    <row r="301" spans="1:12" ht="13.5" hidden="1" x14ac:dyDescent="0.2">
      <c r="A301" t="s">
        <v>1752</v>
      </c>
      <c r="B301" t="s">
        <v>729</v>
      </c>
      <c r="C301" t="s">
        <v>1454</v>
      </c>
      <c r="D301" s="10" t="e">
        <f>INDEX(#REF!,MATCH(Validade!C301,#REF!,0))</f>
        <v>#REF!</v>
      </c>
      <c r="E301" s="10" t="e">
        <f>INDEX(#REF!,MATCH(Validade!C301,#REF!,0))</f>
        <v>#REF!</v>
      </c>
      <c r="F301" t="s">
        <v>1455</v>
      </c>
      <c r="G301" t="s">
        <v>1456</v>
      </c>
      <c r="H301" s="1"/>
      <c r="I301" s="1"/>
      <c r="J301" s="2">
        <v>11</v>
      </c>
      <c r="K301" t="s">
        <v>4</v>
      </c>
      <c r="L301" t="str">
        <f>INDEX(Dispodaten2!B:B,MATCH(C301,Dispodaten2!A:A,0))</f>
        <v>V1</v>
      </c>
    </row>
    <row r="302" spans="1:12" ht="13.5" hidden="1" x14ac:dyDescent="0.2">
      <c r="A302" t="s">
        <v>1752</v>
      </c>
      <c r="B302" t="s">
        <v>729</v>
      </c>
      <c r="C302" t="s">
        <v>920</v>
      </c>
      <c r="D302" s="10" t="e">
        <f>INDEX(#REF!,MATCH(Validade!C302,#REF!,0))</f>
        <v>#REF!</v>
      </c>
      <c r="E302" s="10" t="e">
        <f>INDEX(#REF!,MATCH(Validade!C302,#REF!,0))</f>
        <v>#REF!</v>
      </c>
      <c r="F302" t="s">
        <v>921</v>
      </c>
      <c r="G302" t="s">
        <v>923</v>
      </c>
      <c r="H302" s="1">
        <v>62458</v>
      </c>
      <c r="I302" s="1"/>
      <c r="J302" s="2">
        <v>8939</v>
      </c>
      <c r="K302" t="s">
        <v>4</v>
      </c>
      <c r="L302" t="str">
        <f>INDEX(Dispodaten2!B:B,MATCH(C302,Dispodaten2!A:A,0))</f>
        <v>PD</v>
      </c>
    </row>
    <row r="303" spans="1:12" ht="13.5" hidden="1" x14ac:dyDescent="0.2">
      <c r="A303" t="s">
        <v>1752</v>
      </c>
      <c r="B303" t="s">
        <v>729</v>
      </c>
      <c r="C303" t="s">
        <v>1427</v>
      </c>
      <c r="D303" s="10" t="e">
        <f>INDEX(#REF!,MATCH(Validade!C303,#REF!,0))</f>
        <v>#REF!</v>
      </c>
      <c r="E303" s="10" t="e">
        <f>INDEX(#REF!,MATCH(Validade!C303,#REF!,0))</f>
        <v>#REF!</v>
      </c>
      <c r="F303" t="s">
        <v>1428</v>
      </c>
      <c r="G303" t="s">
        <v>923</v>
      </c>
      <c r="H303" s="1">
        <v>62458</v>
      </c>
      <c r="I303" s="1"/>
      <c r="J303" s="2">
        <v>5884</v>
      </c>
      <c r="K303" t="s">
        <v>4</v>
      </c>
      <c r="L303" t="str">
        <f>INDEX(Dispodaten2!B:B,MATCH(C303,Dispodaten2!A:A,0))</f>
        <v>PD</v>
      </c>
    </row>
    <row r="304" spans="1:12" ht="13.5" hidden="1" x14ac:dyDescent="0.2">
      <c r="A304" t="s">
        <v>0</v>
      </c>
      <c r="B304" t="s">
        <v>729</v>
      </c>
      <c r="C304" t="s">
        <v>1412</v>
      </c>
      <c r="D304" s="10" t="e">
        <f>INDEX(#REF!,MATCH(Validade!C304,#REF!,0))</f>
        <v>#REF!</v>
      </c>
      <c r="E304" s="10" t="e">
        <f>INDEX(#REF!,MATCH(Validade!C304,#REF!,0))</f>
        <v>#REF!</v>
      </c>
      <c r="F304" t="s">
        <v>1413</v>
      </c>
      <c r="G304" t="s">
        <v>1414</v>
      </c>
      <c r="H304" s="1">
        <v>62458</v>
      </c>
      <c r="I304" s="1"/>
      <c r="J304" s="2">
        <v>214880</v>
      </c>
      <c r="K304" t="s">
        <v>5</v>
      </c>
      <c r="L304" t="str">
        <f>INDEX(Dispodaten2!B:B,MATCH(C304,Dispodaten2!A:A,0))</f>
        <v>PD</v>
      </c>
    </row>
    <row r="305" spans="1:12" ht="13.5" hidden="1" x14ac:dyDescent="0.2">
      <c r="A305" t="s">
        <v>0</v>
      </c>
      <c r="B305" t="s">
        <v>1</v>
      </c>
      <c r="C305" t="s">
        <v>142</v>
      </c>
      <c r="D305" s="10" t="e">
        <f>INDEX(#REF!,MATCH(Validade!C305,#REF!,0))</f>
        <v>#REF!</v>
      </c>
      <c r="E305" s="10" t="e">
        <f>INDEX(#REF!,MATCH(Validade!C305,#REF!,0))</f>
        <v>#REF!</v>
      </c>
      <c r="F305" t="s">
        <v>143</v>
      </c>
      <c r="G305" t="s">
        <v>145</v>
      </c>
      <c r="H305" s="1">
        <v>62458</v>
      </c>
      <c r="I305" s="1"/>
      <c r="J305" s="2">
        <v>249</v>
      </c>
      <c r="K305" t="s">
        <v>4</v>
      </c>
      <c r="L305" t="str">
        <f>INDEX(Dispodaten2!B:B,MATCH(C305,Dispodaten2!A:A,0))</f>
        <v>PD</v>
      </c>
    </row>
    <row r="306" spans="1:12" ht="13.5" hidden="1" x14ac:dyDescent="0.2">
      <c r="A306" t="s">
        <v>0</v>
      </c>
      <c r="B306" t="s">
        <v>1</v>
      </c>
      <c r="C306" t="s">
        <v>306</v>
      </c>
      <c r="D306" s="10" t="e">
        <f>INDEX(#REF!,MATCH(Validade!C306,#REF!,0))</f>
        <v>#REF!</v>
      </c>
      <c r="E306" s="10" t="e">
        <f>INDEX(#REF!,MATCH(Validade!C306,#REF!,0))</f>
        <v>#REF!</v>
      </c>
      <c r="F306" t="s">
        <v>307</v>
      </c>
      <c r="G306" t="s">
        <v>309</v>
      </c>
      <c r="H306" s="1">
        <v>62458</v>
      </c>
      <c r="I306" s="1">
        <v>45525</v>
      </c>
      <c r="J306" s="2">
        <v>1906</v>
      </c>
      <c r="K306" t="s">
        <v>4</v>
      </c>
      <c r="L306" t="str">
        <f>INDEX(Dispodaten2!B:B,MATCH(C306,Dispodaten2!A:A,0))</f>
        <v>PD</v>
      </c>
    </row>
    <row r="307" spans="1:12" ht="13.5" hidden="1" x14ac:dyDescent="0.2">
      <c r="A307" t="s">
        <v>0</v>
      </c>
      <c r="B307" t="s">
        <v>1</v>
      </c>
      <c r="C307" t="s">
        <v>234</v>
      </c>
      <c r="D307" s="10" t="e">
        <f>INDEX(#REF!,MATCH(Validade!C307,#REF!,0))</f>
        <v>#REF!</v>
      </c>
      <c r="E307" s="10" t="e">
        <f>INDEX(#REF!,MATCH(Validade!C307,#REF!,0))</f>
        <v>#REF!</v>
      </c>
      <c r="F307" t="s">
        <v>235</v>
      </c>
      <c r="G307" t="s">
        <v>236</v>
      </c>
      <c r="H307" s="1"/>
      <c r="I307" s="1"/>
      <c r="J307" s="2">
        <v>37</v>
      </c>
      <c r="K307" t="s">
        <v>5</v>
      </c>
      <c r="L307" t="str">
        <f>INDEX(Dispodaten2!B:B,MATCH(C307,Dispodaten2!A:A,0))</f>
        <v>PD</v>
      </c>
    </row>
    <row r="308" spans="1:12" ht="13.5" hidden="1" x14ac:dyDescent="0.2">
      <c r="A308" t="s">
        <v>0</v>
      </c>
      <c r="B308" t="s">
        <v>1</v>
      </c>
      <c r="C308" t="s">
        <v>358</v>
      </c>
      <c r="D308" s="10" t="e">
        <f>INDEX(#REF!,MATCH(Validade!C308,#REF!,0))</f>
        <v>#REF!</v>
      </c>
      <c r="E308" s="10" t="e">
        <f>INDEX(#REF!,MATCH(Validade!C308,#REF!,0))</f>
        <v>#REF!</v>
      </c>
      <c r="F308" t="s">
        <v>359</v>
      </c>
      <c r="G308" t="s">
        <v>360</v>
      </c>
      <c r="H308" s="1">
        <v>62458</v>
      </c>
      <c r="I308" s="1">
        <v>44711</v>
      </c>
      <c r="J308" s="2">
        <v>105</v>
      </c>
      <c r="K308" t="s">
        <v>4</v>
      </c>
      <c r="L308" t="str">
        <f>INDEX(Dispodaten2!B:B,MATCH(C308,Dispodaten2!A:A,0))</f>
        <v>PD</v>
      </c>
    </row>
    <row r="309" spans="1:12" ht="13.5" hidden="1" x14ac:dyDescent="0.2">
      <c r="A309" t="s">
        <v>0</v>
      </c>
      <c r="B309" t="s">
        <v>1</v>
      </c>
      <c r="C309" t="s">
        <v>349</v>
      </c>
      <c r="D309" s="10" t="e">
        <f>INDEX(#REF!,MATCH(Validade!C309,#REF!,0))</f>
        <v>#REF!</v>
      </c>
      <c r="E309" s="10" t="e">
        <f>INDEX(#REF!,MATCH(Validade!C309,#REF!,0))</f>
        <v>#REF!</v>
      </c>
      <c r="F309" t="s">
        <v>350</v>
      </c>
      <c r="G309" t="s">
        <v>351</v>
      </c>
      <c r="H309" s="1">
        <v>62458</v>
      </c>
      <c r="I309" s="1"/>
      <c r="J309" s="2">
        <v>68</v>
      </c>
      <c r="K309" t="s">
        <v>4</v>
      </c>
      <c r="L309" t="str">
        <f>INDEX(Dispodaten2!B:B,MATCH(C309,Dispodaten2!A:A,0))</f>
        <v>PD</v>
      </c>
    </row>
    <row r="310" spans="1:12" ht="13.5" hidden="1" x14ac:dyDescent="0.2">
      <c r="A310" t="s">
        <v>1752</v>
      </c>
      <c r="B310" t="s">
        <v>729</v>
      </c>
      <c r="C310" t="s">
        <v>1825</v>
      </c>
      <c r="D310" s="10" t="e">
        <f>INDEX(#REF!,MATCH(Validade!C310,#REF!,0))</f>
        <v>#REF!</v>
      </c>
      <c r="E310" s="10" t="e">
        <f>INDEX(#REF!,MATCH(Validade!C310,#REF!,0))</f>
        <v>#REF!</v>
      </c>
      <c r="F310" t="s">
        <v>1826</v>
      </c>
      <c r="G310" t="s">
        <v>1899</v>
      </c>
      <c r="H310" s="1"/>
      <c r="I310" s="1"/>
      <c r="J310" s="2">
        <v>37010</v>
      </c>
      <c r="K310" t="s">
        <v>5</v>
      </c>
      <c r="L310" t="str">
        <f>INDEX(Dispodaten2!B:B,MATCH(C310,Dispodaten2!A:A,0))</f>
        <v>PD</v>
      </c>
    </row>
    <row r="311" spans="1:12" ht="13.5" hidden="1" x14ac:dyDescent="0.2">
      <c r="A311" t="s">
        <v>0</v>
      </c>
      <c r="B311" t="s">
        <v>1</v>
      </c>
      <c r="C311" t="s">
        <v>175</v>
      </c>
      <c r="D311" s="10" t="e">
        <f>INDEX(#REF!,MATCH(Validade!C311,#REF!,0))</f>
        <v>#REF!</v>
      </c>
      <c r="E311" s="10" t="e">
        <f>INDEX(#REF!,MATCH(Validade!C311,#REF!,0))</f>
        <v>#REF!</v>
      </c>
      <c r="F311" t="s">
        <v>176</v>
      </c>
      <c r="G311" t="s">
        <v>178</v>
      </c>
      <c r="H311" s="1"/>
      <c r="I311" s="1"/>
      <c r="J311" s="2">
        <v>489</v>
      </c>
      <c r="K311" t="s">
        <v>4</v>
      </c>
      <c r="L311" t="str">
        <f>INDEX(Dispodaten2!B:B,MATCH(C311,Dispodaten2!A:A,0))</f>
        <v>V1</v>
      </c>
    </row>
    <row r="312" spans="1:12" ht="13.5" hidden="1" x14ac:dyDescent="0.2">
      <c r="A312" t="s">
        <v>0</v>
      </c>
      <c r="B312" t="s">
        <v>1</v>
      </c>
      <c r="C312" t="s">
        <v>179</v>
      </c>
      <c r="D312" s="10" t="e">
        <f>INDEX(#REF!,MATCH(Validade!C312,#REF!,0))</f>
        <v>#REF!</v>
      </c>
      <c r="E312" s="10" t="e">
        <f>INDEX(#REF!,MATCH(Validade!C312,#REF!,0))</f>
        <v>#REF!</v>
      </c>
      <c r="F312" t="s">
        <v>180</v>
      </c>
      <c r="G312" t="s">
        <v>181</v>
      </c>
      <c r="H312" s="1">
        <v>62458</v>
      </c>
      <c r="I312" s="1">
        <v>44872</v>
      </c>
      <c r="J312" s="2">
        <v>448</v>
      </c>
      <c r="K312" t="s">
        <v>4</v>
      </c>
      <c r="L312" t="str">
        <f>INDEX(Dispodaten2!B:B,MATCH(C312,Dispodaten2!A:A,0))</f>
        <v>V1</v>
      </c>
    </row>
    <row r="313" spans="1:12" ht="13.5" hidden="1" x14ac:dyDescent="0.2">
      <c r="A313" t="s">
        <v>0</v>
      </c>
      <c r="B313" t="s">
        <v>729</v>
      </c>
      <c r="C313" t="s">
        <v>707</v>
      </c>
      <c r="D313" s="10" t="e">
        <f>INDEX(#REF!,MATCH(Validade!C313,#REF!,0))</f>
        <v>#REF!</v>
      </c>
      <c r="E313" s="10" t="e">
        <f>INDEX(#REF!,MATCH(Validade!C313,#REF!,0))</f>
        <v>#REF!</v>
      </c>
      <c r="F313" t="s">
        <v>708</v>
      </c>
      <c r="G313" t="s">
        <v>1681</v>
      </c>
      <c r="H313" s="1">
        <v>45899</v>
      </c>
      <c r="I313" s="1"/>
      <c r="J313" s="2">
        <v>28000</v>
      </c>
      <c r="K313" t="s">
        <v>4</v>
      </c>
      <c r="L313" t="str">
        <f>INDEX(Dispodaten2!B:B,MATCH(C313,Dispodaten2!A:A,0))</f>
        <v>V1</v>
      </c>
    </row>
    <row r="314" spans="1:12" ht="13.5" hidden="1" x14ac:dyDescent="0.2">
      <c r="A314" t="s">
        <v>0</v>
      </c>
      <c r="B314" t="s">
        <v>1742</v>
      </c>
      <c r="C314" t="s">
        <v>1749</v>
      </c>
      <c r="D314" s="10" t="e">
        <f>INDEX(#REF!,MATCH(Validade!C314,#REF!,0))</f>
        <v>#REF!</v>
      </c>
      <c r="E314" s="10" t="e">
        <f>INDEX(#REF!,MATCH(Validade!C314,#REF!,0))</f>
        <v>#REF!</v>
      </c>
      <c r="F314" t="s">
        <v>1750</v>
      </c>
      <c r="G314" t="s">
        <v>1751</v>
      </c>
      <c r="H314" s="1">
        <v>45576</v>
      </c>
      <c r="I314" s="1">
        <v>44834</v>
      </c>
      <c r="J314" s="2">
        <v>0.996</v>
      </c>
      <c r="K314" t="s">
        <v>5</v>
      </c>
      <c r="L314" t="str">
        <f>INDEX(Dispodaten2!B:B,MATCH(C314,Dispodaten2!A:A,0))</f>
        <v>PD</v>
      </c>
    </row>
    <row r="315" spans="1:12" ht="13.5" hidden="1" x14ac:dyDescent="0.2">
      <c r="A315" t="s">
        <v>1752</v>
      </c>
      <c r="B315" t="s">
        <v>729</v>
      </c>
      <c r="C315" t="s">
        <v>1785</v>
      </c>
      <c r="D315" s="10" t="e">
        <f>INDEX(#REF!,MATCH(Validade!C315,#REF!,0))</f>
        <v>#REF!</v>
      </c>
      <c r="E315" s="10" t="e">
        <f>INDEX(#REF!,MATCH(Validade!C315,#REF!,0))</f>
        <v>#REF!</v>
      </c>
      <c r="F315" t="s">
        <v>1786</v>
      </c>
      <c r="G315" t="s">
        <v>1787</v>
      </c>
      <c r="H315" s="1">
        <v>45844</v>
      </c>
      <c r="I315" s="1">
        <v>44748</v>
      </c>
      <c r="J315" s="2">
        <v>1313</v>
      </c>
      <c r="K315" t="s">
        <v>5</v>
      </c>
      <c r="L315" t="str">
        <f>INDEX(Dispodaten2!B:B,MATCH(C315,Dispodaten2!A:A,0))</f>
        <v>PD</v>
      </c>
    </row>
    <row r="316" spans="1:12" ht="13.5" hidden="1" x14ac:dyDescent="0.2">
      <c r="A316" t="s">
        <v>0</v>
      </c>
      <c r="B316" t="s">
        <v>729</v>
      </c>
      <c r="C316" t="s">
        <v>1524</v>
      </c>
      <c r="D316" s="10" t="e">
        <f>INDEX(#REF!,MATCH(Validade!C316,#REF!,0))</f>
        <v>#REF!</v>
      </c>
      <c r="E316" s="10" t="e">
        <f>INDEX(#REF!,MATCH(Validade!C316,#REF!,0))</f>
        <v>#REF!</v>
      </c>
      <c r="F316" t="s">
        <v>1525</v>
      </c>
      <c r="G316" t="s">
        <v>1526</v>
      </c>
      <c r="H316" s="1">
        <v>46477</v>
      </c>
      <c r="I316" s="1">
        <v>44651</v>
      </c>
      <c r="J316" s="2">
        <v>5</v>
      </c>
      <c r="K316" t="s">
        <v>5</v>
      </c>
      <c r="L316" t="str">
        <f>INDEX(Dispodaten2!B:B,MATCH(C316,Dispodaten2!A:A,0))</f>
        <v>V1</v>
      </c>
    </row>
    <row r="317" spans="1:12" ht="13.5" hidden="1" x14ac:dyDescent="0.2">
      <c r="A317" t="s">
        <v>0</v>
      </c>
      <c r="B317" t="s">
        <v>729</v>
      </c>
      <c r="C317" t="s">
        <v>1418</v>
      </c>
      <c r="D317" s="10" t="e">
        <f>INDEX(#REF!,MATCH(Validade!C317,#REF!,0))</f>
        <v>#REF!</v>
      </c>
      <c r="E317" s="10" t="e">
        <f>INDEX(#REF!,MATCH(Validade!C317,#REF!,0))</f>
        <v>#REF!</v>
      </c>
      <c r="F317" t="s">
        <v>1419</v>
      </c>
      <c r="G317" t="s">
        <v>1420</v>
      </c>
      <c r="H317" s="1">
        <v>62458</v>
      </c>
      <c r="I317" s="1">
        <v>43297</v>
      </c>
      <c r="J317" s="2">
        <v>75000</v>
      </c>
      <c r="K317" t="s">
        <v>4</v>
      </c>
      <c r="L317" t="str">
        <f>INDEX(Dispodaten2!B:B,MATCH(C317,Dispodaten2!A:A,0))</f>
        <v>PD</v>
      </c>
    </row>
    <row r="318" spans="1:12" ht="13.5" hidden="1" x14ac:dyDescent="0.2">
      <c r="A318" t="s">
        <v>0</v>
      </c>
      <c r="B318" t="s">
        <v>1</v>
      </c>
      <c r="C318" t="s">
        <v>370</v>
      </c>
      <c r="D318" s="10" t="e">
        <f>INDEX(#REF!,MATCH(Validade!C318,#REF!,0))</f>
        <v>#REF!</v>
      </c>
      <c r="E318" s="10" t="e">
        <f>INDEX(#REF!,MATCH(Validade!C318,#REF!,0))</f>
        <v>#REF!</v>
      </c>
      <c r="F318" t="s">
        <v>371</v>
      </c>
      <c r="G318" t="s">
        <v>372</v>
      </c>
      <c r="H318" s="1">
        <v>62458</v>
      </c>
      <c r="I318" s="1">
        <v>44398</v>
      </c>
      <c r="J318" s="2">
        <v>5</v>
      </c>
      <c r="K318" t="s">
        <v>4</v>
      </c>
      <c r="L318" t="str">
        <f>INDEX(Dispodaten2!B:B,MATCH(C318,Dispodaten2!A:A,0))</f>
        <v>PD</v>
      </c>
    </row>
    <row r="319" spans="1:12" ht="13.5" hidden="1" x14ac:dyDescent="0.2">
      <c r="A319" t="s">
        <v>0</v>
      </c>
      <c r="B319" t="s">
        <v>1</v>
      </c>
      <c r="C319" t="s">
        <v>311</v>
      </c>
      <c r="D319" s="10" t="e">
        <f>INDEX(#REF!,MATCH(Validade!C319,#REF!,0))</f>
        <v>#REF!</v>
      </c>
      <c r="E319" s="10" t="e">
        <f>INDEX(#REF!,MATCH(Validade!C319,#REF!,0))</f>
        <v>#REF!</v>
      </c>
      <c r="F319" t="s">
        <v>312</v>
      </c>
      <c r="G319" t="s">
        <v>313</v>
      </c>
      <c r="H319" s="1">
        <v>62458</v>
      </c>
      <c r="I319" s="1"/>
      <c r="J319" s="2">
        <v>626</v>
      </c>
      <c r="K319" t="s">
        <v>4</v>
      </c>
      <c r="L319" t="str">
        <f>INDEX(Dispodaten2!B:B,MATCH(C319,Dispodaten2!A:A,0))</f>
        <v>V1</v>
      </c>
    </row>
    <row r="320" spans="1:12" ht="13.5" hidden="1" x14ac:dyDescent="0.2">
      <c r="A320" t="s">
        <v>0</v>
      </c>
      <c r="B320" t="s">
        <v>1</v>
      </c>
      <c r="C320" t="s">
        <v>320</v>
      </c>
      <c r="D320" s="10" t="e">
        <f>INDEX(#REF!,MATCH(Validade!C320,#REF!,0))</f>
        <v>#REF!</v>
      </c>
      <c r="E320" s="10" t="e">
        <f>INDEX(#REF!,MATCH(Validade!C320,#REF!,0))</f>
        <v>#REF!</v>
      </c>
      <c r="F320" t="s">
        <v>321</v>
      </c>
      <c r="G320" t="s">
        <v>322</v>
      </c>
      <c r="H320" s="1">
        <v>62458</v>
      </c>
      <c r="I320" s="1">
        <v>43355</v>
      </c>
      <c r="J320" s="2">
        <v>26</v>
      </c>
      <c r="K320" t="s">
        <v>4</v>
      </c>
      <c r="L320" t="str">
        <f>INDEX(Dispodaten2!B:B,MATCH(C320,Dispodaten2!A:A,0))</f>
        <v>PD</v>
      </c>
    </row>
    <row r="321" spans="1:12" ht="13.5" hidden="1" x14ac:dyDescent="0.2">
      <c r="A321" t="s">
        <v>0</v>
      </c>
      <c r="B321" t="s">
        <v>729</v>
      </c>
      <c r="C321" t="s">
        <v>1314</v>
      </c>
      <c r="D321" s="10" t="e">
        <f>INDEX(#REF!,MATCH(Validade!C321,#REF!,0))</f>
        <v>#REF!</v>
      </c>
      <c r="E321" s="10" t="e">
        <f>INDEX(#REF!,MATCH(Validade!C321,#REF!,0))</f>
        <v>#REF!</v>
      </c>
      <c r="F321" t="s">
        <v>1315</v>
      </c>
      <c r="G321" t="s">
        <v>1316</v>
      </c>
      <c r="H321" s="1">
        <v>62458</v>
      </c>
      <c r="I321" s="1">
        <v>43129</v>
      </c>
      <c r="J321" s="2">
        <v>24450</v>
      </c>
      <c r="K321" t="s">
        <v>4</v>
      </c>
      <c r="L321" t="str">
        <f>INDEX(Dispodaten2!B:B,MATCH(C321,Dispodaten2!A:A,0))</f>
        <v>PD</v>
      </c>
    </row>
    <row r="322" spans="1:12" ht="13.5" hidden="1" x14ac:dyDescent="0.2">
      <c r="A322" t="s">
        <v>0</v>
      </c>
      <c r="B322" t="s">
        <v>729</v>
      </c>
      <c r="C322" t="s">
        <v>1016</v>
      </c>
      <c r="D322" s="10" t="e">
        <f>INDEX(#REF!,MATCH(Validade!C322,#REF!,0))</f>
        <v>#REF!</v>
      </c>
      <c r="E322" s="10" t="e">
        <f>INDEX(#REF!,MATCH(Validade!C322,#REF!,0))</f>
        <v>#REF!</v>
      </c>
      <c r="F322" t="s">
        <v>1017</v>
      </c>
      <c r="G322" t="s">
        <v>1018</v>
      </c>
      <c r="H322" s="1"/>
      <c r="I322" s="1"/>
      <c r="J322" s="2">
        <v>5</v>
      </c>
      <c r="K322" t="s">
        <v>5</v>
      </c>
      <c r="L322" t="str">
        <f>INDEX(Dispodaten2!B:B,MATCH(C322,Dispodaten2!A:A,0))</f>
        <v>PD</v>
      </c>
    </row>
    <row r="323" spans="1:12" ht="13.5" hidden="1" x14ac:dyDescent="0.2">
      <c r="A323" t="s">
        <v>1752</v>
      </c>
      <c r="B323" t="s">
        <v>729</v>
      </c>
      <c r="C323" t="s">
        <v>1950</v>
      </c>
      <c r="D323" s="10" t="e">
        <f>INDEX(#REF!,MATCH(Validade!C323,#REF!,0))</f>
        <v>#REF!</v>
      </c>
      <c r="E323" s="10" t="e">
        <f>INDEX(#REF!,MATCH(Validade!C323,#REF!,0))</f>
        <v>#REF!</v>
      </c>
      <c r="F323" t="s">
        <v>1951</v>
      </c>
      <c r="G323" t="s">
        <v>1952</v>
      </c>
      <c r="H323" s="1"/>
      <c r="I323" s="1"/>
      <c r="J323" s="2">
        <v>3048</v>
      </c>
      <c r="K323" t="s">
        <v>5</v>
      </c>
      <c r="L323" t="str">
        <f>INDEX(Dispodaten2!B:B,MATCH(C323,Dispodaten2!A:A,0))</f>
        <v>PD</v>
      </c>
    </row>
    <row r="324" spans="1:12" ht="13.5" hidden="1" x14ac:dyDescent="0.2">
      <c r="A324" t="s">
        <v>1752</v>
      </c>
      <c r="B324" t="s">
        <v>729</v>
      </c>
      <c r="C324" t="s">
        <v>987</v>
      </c>
      <c r="D324" s="10" t="e">
        <f>INDEX(#REF!,MATCH(Validade!C324,#REF!,0))</f>
        <v>#REF!</v>
      </c>
      <c r="E324" s="10" t="e">
        <f>INDEX(#REF!,MATCH(Validade!C324,#REF!,0))</f>
        <v>#REF!</v>
      </c>
      <c r="F324" t="s">
        <v>988</v>
      </c>
      <c r="G324" t="s">
        <v>989</v>
      </c>
      <c r="H324" s="1">
        <v>62458</v>
      </c>
      <c r="I324" s="1"/>
      <c r="J324" s="2">
        <v>2</v>
      </c>
      <c r="K324" t="s">
        <v>4</v>
      </c>
      <c r="L324" t="str">
        <f>INDEX(Dispodaten2!B:B,MATCH(C324,Dispodaten2!A:A,0))</f>
        <v>V1</v>
      </c>
    </row>
    <row r="325" spans="1:12" ht="13.5" hidden="1" x14ac:dyDescent="0.2">
      <c r="A325" t="s">
        <v>0</v>
      </c>
      <c r="B325" t="s">
        <v>729</v>
      </c>
      <c r="C325" t="s">
        <v>926</v>
      </c>
      <c r="D325" s="10" t="e">
        <f>INDEX(#REF!,MATCH(Validade!C325,#REF!,0))</f>
        <v>#REF!</v>
      </c>
      <c r="E325" s="10" t="e">
        <f>INDEX(#REF!,MATCH(Validade!C325,#REF!,0))</f>
        <v>#REF!</v>
      </c>
      <c r="F325" t="s">
        <v>927</v>
      </c>
      <c r="G325" t="s">
        <v>928</v>
      </c>
      <c r="H325" s="1"/>
      <c r="I325" s="1"/>
      <c r="J325" s="2">
        <v>750</v>
      </c>
      <c r="K325" t="s">
        <v>5</v>
      </c>
      <c r="L325" t="str">
        <f>INDEX(Dispodaten2!B:B,MATCH(C325,Dispodaten2!A:A,0))</f>
        <v>V1</v>
      </c>
    </row>
    <row r="326" spans="1:12" ht="13.5" hidden="1" x14ac:dyDescent="0.2">
      <c r="A326" t="s">
        <v>0</v>
      </c>
      <c r="B326" t="s">
        <v>729</v>
      </c>
      <c r="C326" t="s">
        <v>961</v>
      </c>
      <c r="D326" s="10" t="e">
        <f>INDEX(#REF!,MATCH(Validade!C326,#REF!,0))</f>
        <v>#REF!</v>
      </c>
      <c r="E326" s="10" t="e">
        <f>INDEX(#REF!,MATCH(Validade!C326,#REF!,0))</f>
        <v>#REF!</v>
      </c>
      <c r="F326" t="s">
        <v>962</v>
      </c>
      <c r="G326" t="s">
        <v>964</v>
      </c>
      <c r="H326" s="1"/>
      <c r="I326" s="1"/>
      <c r="J326" s="2">
        <v>19480902.967999998</v>
      </c>
      <c r="K326" t="s">
        <v>4</v>
      </c>
      <c r="L326" t="str">
        <f>INDEX(Dispodaten2!B:B,MATCH(C326,Dispodaten2!A:A,0))</f>
        <v>PD</v>
      </c>
    </row>
    <row r="327" spans="1:12" ht="13.5" hidden="1" x14ac:dyDescent="0.2">
      <c r="A327" t="s">
        <v>0</v>
      </c>
      <c r="B327" t="s">
        <v>1741</v>
      </c>
      <c r="C327" t="s">
        <v>897</v>
      </c>
      <c r="D327" s="10" t="e">
        <f>INDEX(#REF!,MATCH(Validade!C327,#REF!,0))</f>
        <v>#REF!</v>
      </c>
      <c r="E327" s="10" t="e">
        <f>INDEX(#REF!,MATCH(Validade!C327,#REF!,0))</f>
        <v>#REF!</v>
      </c>
      <c r="F327" t="s">
        <v>898</v>
      </c>
      <c r="G327" t="s">
        <v>899</v>
      </c>
      <c r="H327" s="1">
        <v>62458</v>
      </c>
      <c r="I327" s="1"/>
      <c r="J327" s="2">
        <v>93137.326000000001</v>
      </c>
      <c r="K327" t="s">
        <v>5</v>
      </c>
      <c r="L327" t="str">
        <f>INDEX(Dispodaten2!B:B,MATCH(C327,Dispodaten2!A:A,0))</f>
        <v>ND</v>
      </c>
    </row>
    <row r="328" spans="1:12" ht="13.5" hidden="1" x14ac:dyDescent="0.2">
      <c r="A328" t="s">
        <v>0</v>
      </c>
      <c r="B328" t="s">
        <v>729</v>
      </c>
      <c r="C328" t="s">
        <v>386</v>
      </c>
      <c r="D328" s="10" t="e">
        <f>INDEX(#REF!,MATCH(Validade!C328,#REF!,0))</f>
        <v>#REF!</v>
      </c>
      <c r="E328" s="10" t="e">
        <f>INDEX(#REF!,MATCH(Validade!C328,#REF!,0))</f>
        <v>#REF!</v>
      </c>
      <c r="F328" t="s">
        <v>387</v>
      </c>
      <c r="G328" t="s">
        <v>1192</v>
      </c>
      <c r="H328" s="1"/>
      <c r="I328" s="1"/>
      <c r="J328" s="2">
        <v>23501104.026000001</v>
      </c>
      <c r="K328" t="s">
        <v>4</v>
      </c>
      <c r="L328" t="str">
        <f>INDEX(Dispodaten2!B:B,MATCH(C328,Dispodaten2!A:A,0))</f>
        <v>PD</v>
      </c>
    </row>
    <row r="329" spans="1:12" ht="13.5" hidden="1" x14ac:dyDescent="0.2">
      <c r="A329" t="s">
        <v>0</v>
      </c>
      <c r="B329" t="s">
        <v>729</v>
      </c>
      <c r="C329" t="s">
        <v>1088</v>
      </c>
      <c r="D329" s="10" t="e">
        <f>INDEX(#REF!,MATCH(Validade!C329,#REF!,0))</f>
        <v>#REF!</v>
      </c>
      <c r="E329" s="10" t="e">
        <f>INDEX(#REF!,MATCH(Validade!C329,#REF!,0))</f>
        <v>#REF!</v>
      </c>
      <c r="F329" t="s">
        <v>383</v>
      </c>
      <c r="G329" t="s">
        <v>1089</v>
      </c>
      <c r="H329" s="1"/>
      <c r="I329" s="1"/>
      <c r="J329" s="2">
        <v>6049667</v>
      </c>
      <c r="K329" t="s">
        <v>4</v>
      </c>
      <c r="L329" t="str">
        <f>INDEX(Dispodaten2!B:B,MATCH(C329,Dispodaten2!A:A,0))</f>
        <v>ND</v>
      </c>
    </row>
    <row r="330" spans="1:12" ht="13.5" hidden="1" x14ac:dyDescent="0.2">
      <c r="A330" t="s">
        <v>0</v>
      </c>
      <c r="B330" t="s">
        <v>729</v>
      </c>
      <c r="C330" t="s">
        <v>382</v>
      </c>
      <c r="D330" s="10" t="e">
        <f>INDEX(#REF!,MATCH(Validade!C330,#REF!,0))</f>
        <v>#REF!</v>
      </c>
      <c r="E330" s="10" t="e">
        <f>INDEX(#REF!,MATCH(Validade!C330,#REF!,0))</f>
        <v>#REF!</v>
      </c>
      <c r="F330" t="s">
        <v>383</v>
      </c>
      <c r="G330" t="s">
        <v>1191</v>
      </c>
      <c r="H330" s="1"/>
      <c r="I330" s="1"/>
      <c r="J330" s="2">
        <v>2017981</v>
      </c>
      <c r="K330" t="s">
        <v>4</v>
      </c>
      <c r="L330" t="str">
        <f>INDEX(Dispodaten2!B:B,MATCH(C330,Dispodaten2!A:A,0))</f>
        <v>PD</v>
      </c>
    </row>
    <row r="331" spans="1:12" ht="13.5" hidden="1" x14ac:dyDescent="0.2">
      <c r="A331" t="s">
        <v>0</v>
      </c>
      <c r="B331" t="s">
        <v>729</v>
      </c>
      <c r="C331" t="s">
        <v>1090</v>
      </c>
      <c r="D331" s="10" t="e">
        <f>INDEX(#REF!,MATCH(Validade!C331,#REF!,0))</f>
        <v>#REF!</v>
      </c>
      <c r="E331" s="10" t="e">
        <f>INDEX(#REF!,MATCH(Validade!C331,#REF!,0))</f>
        <v>#REF!</v>
      </c>
      <c r="F331" t="s">
        <v>385</v>
      </c>
      <c r="G331" t="s">
        <v>1091</v>
      </c>
      <c r="H331" s="1"/>
      <c r="I331" s="1"/>
      <c r="J331" s="2">
        <v>619497.19999999995</v>
      </c>
      <c r="K331" t="s">
        <v>4</v>
      </c>
      <c r="L331" t="str">
        <f>INDEX(Dispodaten2!B:B,MATCH(C331,Dispodaten2!A:A,0))</f>
        <v>ND</v>
      </c>
    </row>
    <row r="332" spans="1:12" ht="13.5" hidden="1" x14ac:dyDescent="0.2">
      <c r="A332" t="s">
        <v>0</v>
      </c>
      <c r="B332" t="s">
        <v>729</v>
      </c>
      <c r="C332" t="s">
        <v>384</v>
      </c>
      <c r="D332" s="10" t="e">
        <f>INDEX(#REF!,MATCH(Validade!C332,#REF!,0))</f>
        <v>#REF!</v>
      </c>
      <c r="E332" s="10" t="e">
        <f>INDEX(#REF!,MATCH(Validade!C332,#REF!,0))</f>
        <v>#REF!</v>
      </c>
      <c r="F332" t="s">
        <v>385</v>
      </c>
      <c r="G332" t="s">
        <v>1193</v>
      </c>
      <c r="H332" s="1"/>
      <c r="I332" s="1"/>
      <c r="J332" s="2">
        <v>1743173.2</v>
      </c>
      <c r="K332" t="s">
        <v>4</v>
      </c>
      <c r="L332" t="str">
        <f>INDEX(Dispodaten2!B:B,MATCH(C332,Dispodaten2!A:A,0))</f>
        <v>PD</v>
      </c>
    </row>
    <row r="333" spans="1:12" ht="13.5" hidden="1" x14ac:dyDescent="0.2">
      <c r="A333" t="s">
        <v>0</v>
      </c>
      <c r="B333" t="s">
        <v>729</v>
      </c>
      <c r="C333" t="s">
        <v>1197</v>
      </c>
      <c r="D333" s="10" t="e">
        <f>INDEX(#REF!,MATCH(Validade!C333,#REF!,0))</f>
        <v>#REF!</v>
      </c>
      <c r="E333" s="10" t="e">
        <f>INDEX(#REF!,MATCH(Validade!C333,#REF!,0))</f>
        <v>#REF!</v>
      </c>
      <c r="F333" t="s">
        <v>1198</v>
      </c>
      <c r="G333" t="s">
        <v>1199</v>
      </c>
      <c r="H333" s="1"/>
      <c r="I333" s="1"/>
      <c r="J333" s="2">
        <v>6000</v>
      </c>
      <c r="K333" t="s">
        <v>4</v>
      </c>
      <c r="L333" t="str">
        <f>INDEX(Dispodaten2!B:B,MATCH(C333,Dispodaten2!A:A,0))</f>
        <v>PD</v>
      </c>
    </row>
    <row r="334" spans="1:12" ht="13.5" hidden="1" x14ac:dyDescent="0.2">
      <c r="A334" t="s">
        <v>0</v>
      </c>
      <c r="B334" t="s">
        <v>729</v>
      </c>
      <c r="C334" t="s">
        <v>1194</v>
      </c>
      <c r="D334" s="10" t="e">
        <f>INDEX(#REF!,MATCH(Validade!C334,#REF!,0))</f>
        <v>#REF!</v>
      </c>
      <c r="E334" s="10" t="e">
        <f>INDEX(#REF!,MATCH(Validade!C334,#REF!,0))</f>
        <v>#REF!</v>
      </c>
      <c r="F334" t="s">
        <v>1195</v>
      </c>
      <c r="G334" t="s">
        <v>1196</v>
      </c>
      <c r="H334" s="1"/>
      <c r="I334" s="1"/>
      <c r="J334" s="2">
        <v>1061377.5919999999</v>
      </c>
      <c r="K334" t="s">
        <v>4</v>
      </c>
      <c r="L334" t="str">
        <f>INDEX(Dispodaten2!B:B,MATCH(C334,Dispodaten2!A:A,0))</f>
        <v>PD</v>
      </c>
    </row>
    <row r="335" spans="1:12" ht="13.5" hidden="1" x14ac:dyDescent="0.2">
      <c r="A335" t="s">
        <v>0</v>
      </c>
      <c r="B335" t="s">
        <v>729</v>
      </c>
      <c r="C335" t="s">
        <v>1187</v>
      </c>
      <c r="D335" s="10" t="e">
        <f>INDEX(#REF!,MATCH(Validade!C335,#REF!,0))</f>
        <v>#REF!</v>
      </c>
      <c r="E335" s="10" t="e">
        <f>INDEX(#REF!,MATCH(Validade!C335,#REF!,0))</f>
        <v>#REF!</v>
      </c>
      <c r="F335" t="s">
        <v>1188</v>
      </c>
      <c r="G335" t="s">
        <v>1190</v>
      </c>
      <c r="H335" s="1"/>
      <c r="I335" s="1"/>
      <c r="J335" s="2">
        <v>58260</v>
      </c>
      <c r="K335" t="s">
        <v>4</v>
      </c>
      <c r="L335" t="str">
        <f>INDEX(Dispodaten2!B:B,MATCH(C335,Dispodaten2!A:A,0))</f>
        <v>PD</v>
      </c>
    </row>
    <row r="336" spans="1:12" ht="13.5" hidden="1" x14ac:dyDescent="0.2">
      <c r="A336" t="s">
        <v>0</v>
      </c>
      <c r="B336" t="s">
        <v>729</v>
      </c>
      <c r="C336" t="s">
        <v>1123</v>
      </c>
      <c r="D336" s="10" t="e">
        <f>INDEX(#REF!,MATCH(Validade!C336,#REF!,0))</f>
        <v>#REF!</v>
      </c>
      <c r="E336" s="10" t="e">
        <f>INDEX(#REF!,MATCH(Validade!C336,#REF!,0))</f>
        <v>#REF!</v>
      </c>
      <c r="F336" t="s">
        <v>1124</v>
      </c>
      <c r="G336" t="s">
        <v>1125</v>
      </c>
      <c r="H336" s="1"/>
      <c r="I336" s="1"/>
      <c r="J336" s="2">
        <v>20979.8</v>
      </c>
      <c r="K336" t="s">
        <v>4</v>
      </c>
      <c r="L336" t="str">
        <f>INDEX(Dispodaten2!B:B,MATCH(C336,Dispodaten2!A:A,0))</f>
        <v>PD</v>
      </c>
    </row>
    <row r="337" spans="1:12" ht="13.5" hidden="1" x14ac:dyDescent="0.2">
      <c r="A337" t="s">
        <v>0</v>
      </c>
      <c r="B337" t="s">
        <v>729</v>
      </c>
      <c r="C337" t="s">
        <v>1210</v>
      </c>
      <c r="D337" s="10" t="e">
        <f>INDEX(#REF!,MATCH(Validade!C337,#REF!,0))</f>
        <v>#REF!</v>
      </c>
      <c r="E337" s="10" t="e">
        <f>INDEX(#REF!,MATCH(Validade!C337,#REF!,0))</f>
        <v>#REF!</v>
      </c>
      <c r="F337" t="s">
        <v>1211</v>
      </c>
      <c r="G337" t="s">
        <v>1212</v>
      </c>
      <c r="H337" s="1"/>
      <c r="I337" s="1"/>
      <c r="J337" s="2">
        <v>3640</v>
      </c>
      <c r="K337" t="s">
        <v>5</v>
      </c>
      <c r="L337" t="str">
        <f>INDEX(Dispodaten2!B:B,MATCH(C337,Dispodaten2!A:A,0))</f>
        <v>PD</v>
      </c>
    </row>
    <row r="338" spans="1:12" ht="13.5" hidden="1" x14ac:dyDescent="0.2">
      <c r="A338" t="s">
        <v>0</v>
      </c>
      <c r="B338" t="s">
        <v>729</v>
      </c>
      <c r="C338" t="s">
        <v>1178</v>
      </c>
      <c r="D338" s="10" t="e">
        <f>INDEX(#REF!,MATCH(Validade!C338,#REF!,0))</f>
        <v>#REF!</v>
      </c>
      <c r="E338" s="10" t="e">
        <f>INDEX(#REF!,MATCH(Validade!C338,#REF!,0))</f>
        <v>#REF!</v>
      </c>
      <c r="F338" t="s">
        <v>1179</v>
      </c>
      <c r="G338" t="s">
        <v>1180</v>
      </c>
      <c r="H338" s="1"/>
      <c r="I338" s="1"/>
      <c r="J338" s="2">
        <v>9357327</v>
      </c>
      <c r="K338" t="s">
        <v>4</v>
      </c>
      <c r="L338" t="str">
        <f>INDEX(Dispodaten2!B:B,MATCH(C338,Dispodaten2!A:A,0))</f>
        <v>PD</v>
      </c>
    </row>
    <row r="339" spans="1:12" ht="13.5" hidden="1" x14ac:dyDescent="0.2">
      <c r="A339" t="s">
        <v>0</v>
      </c>
      <c r="B339" t="s">
        <v>729</v>
      </c>
      <c r="C339" t="s">
        <v>376</v>
      </c>
      <c r="D339" s="10" t="e">
        <f>INDEX(#REF!,MATCH(Validade!C339,#REF!,0))</f>
        <v>#REF!</v>
      </c>
      <c r="E339" s="10" t="e">
        <f>INDEX(#REF!,MATCH(Validade!C339,#REF!,0))</f>
        <v>#REF!</v>
      </c>
      <c r="F339" t="s">
        <v>377</v>
      </c>
      <c r="G339" t="s">
        <v>1184</v>
      </c>
      <c r="H339" s="1"/>
      <c r="I339" s="1"/>
      <c r="J339" s="2">
        <v>7861960.5060000001</v>
      </c>
      <c r="K339" t="s">
        <v>4</v>
      </c>
      <c r="L339" t="str">
        <f>INDEX(Dispodaten2!B:B,MATCH(C339,Dispodaten2!A:A,0))</f>
        <v>PD</v>
      </c>
    </row>
    <row r="340" spans="1:12" ht="13.5" hidden="1" x14ac:dyDescent="0.2">
      <c r="A340" t="s">
        <v>0</v>
      </c>
      <c r="B340" t="s">
        <v>729</v>
      </c>
      <c r="C340" t="s">
        <v>378</v>
      </c>
      <c r="D340" s="10" t="e">
        <f>INDEX(#REF!,MATCH(Validade!C340,#REF!,0))</f>
        <v>#REF!</v>
      </c>
      <c r="E340" s="10" t="e">
        <f>INDEX(#REF!,MATCH(Validade!C340,#REF!,0))</f>
        <v>#REF!</v>
      </c>
      <c r="F340" t="s">
        <v>379</v>
      </c>
      <c r="G340" t="s">
        <v>1185</v>
      </c>
      <c r="H340" s="1"/>
      <c r="I340" s="1"/>
      <c r="J340" s="2">
        <v>6008149.8720000004</v>
      </c>
      <c r="K340" t="s">
        <v>4</v>
      </c>
      <c r="L340" t="str">
        <f>INDEX(Dispodaten2!B:B,MATCH(C340,Dispodaten2!A:A,0))</f>
        <v>PD</v>
      </c>
    </row>
    <row r="341" spans="1:12" ht="13.5" hidden="1" x14ac:dyDescent="0.2">
      <c r="A341" t="s">
        <v>0</v>
      </c>
      <c r="B341" t="s">
        <v>729</v>
      </c>
      <c r="C341" t="s">
        <v>380</v>
      </c>
      <c r="D341" s="10" t="e">
        <f>INDEX(#REF!,MATCH(Validade!C341,#REF!,0))</f>
        <v>#REF!</v>
      </c>
      <c r="E341" s="10" t="e">
        <f>INDEX(#REF!,MATCH(Validade!C341,#REF!,0))</f>
        <v>#REF!</v>
      </c>
      <c r="F341" t="s">
        <v>381</v>
      </c>
      <c r="G341" t="s">
        <v>1186</v>
      </c>
      <c r="H341" s="1">
        <v>62458</v>
      </c>
      <c r="I341" s="1">
        <v>43200</v>
      </c>
      <c r="J341" s="2">
        <v>1794890</v>
      </c>
      <c r="K341" t="s">
        <v>5</v>
      </c>
      <c r="L341" t="str">
        <f>INDEX(Dispodaten2!B:B,MATCH(C341,Dispodaten2!A:A,0))</f>
        <v>PD</v>
      </c>
    </row>
    <row r="342" spans="1:12" ht="13.5" hidden="1" x14ac:dyDescent="0.2">
      <c r="A342" t="s">
        <v>1752</v>
      </c>
      <c r="B342" t="s">
        <v>729</v>
      </c>
      <c r="C342" t="s">
        <v>1003</v>
      </c>
      <c r="D342" s="10" t="e">
        <f>INDEX(#REF!,MATCH(Validade!C342,#REF!,0))</f>
        <v>#REF!</v>
      </c>
      <c r="E342" s="10" t="e">
        <f>INDEX(#REF!,MATCH(Validade!C342,#REF!,0))</f>
        <v>#REF!</v>
      </c>
      <c r="F342" t="s">
        <v>1004</v>
      </c>
      <c r="G342" t="s">
        <v>1005</v>
      </c>
      <c r="H342" s="1">
        <v>46638</v>
      </c>
      <c r="I342" s="1">
        <v>44812</v>
      </c>
      <c r="J342" s="2">
        <v>7620000</v>
      </c>
      <c r="K342" t="s">
        <v>4</v>
      </c>
      <c r="L342" t="str">
        <f>INDEX(Dispodaten2!B:B,MATCH(C342,Dispodaten2!A:A,0))</f>
        <v>ND</v>
      </c>
    </row>
    <row r="343" spans="1:12" ht="13.5" hidden="1" x14ac:dyDescent="0.2">
      <c r="A343" t="s">
        <v>1752</v>
      </c>
      <c r="B343" t="s">
        <v>729</v>
      </c>
      <c r="C343" t="s">
        <v>1007</v>
      </c>
      <c r="D343" s="10" t="e">
        <f>INDEX(#REF!,MATCH(Validade!C343,#REF!,0))</f>
        <v>#REF!</v>
      </c>
      <c r="E343" s="10" t="e">
        <f>INDEX(#REF!,MATCH(Validade!C343,#REF!,0))</f>
        <v>#REF!</v>
      </c>
      <c r="F343" t="s">
        <v>1008</v>
      </c>
      <c r="G343" t="s">
        <v>1009</v>
      </c>
      <c r="H343" s="1">
        <v>46607</v>
      </c>
      <c r="I343" s="1">
        <v>44781</v>
      </c>
      <c r="J343" s="2">
        <v>152392</v>
      </c>
      <c r="K343" t="s">
        <v>5</v>
      </c>
      <c r="L343" t="str">
        <f>INDEX(Dispodaten2!B:B,MATCH(C343,Dispodaten2!A:A,0))</f>
        <v>PD</v>
      </c>
    </row>
    <row r="344" spans="1:12" ht="13.5" hidden="1" x14ac:dyDescent="0.2">
      <c r="A344" t="s">
        <v>1752</v>
      </c>
      <c r="B344" t="s">
        <v>729</v>
      </c>
      <c r="C344" t="s">
        <v>6</v>
      </c>
      <c r="D344" s="10" t="e">
        <f>INDEX(#REF!,MATCH(Validade!C344,#REF!,0))</f>
        <v>#REF!</v>
      </c>
      <c r="E344" s="10" t="e">
        <f>INDEX(#REF!,MATCH(Validade!C344,#REF!,0))</f>
        <v>#REF!</v>
      </c>
      <c r="F344" t="s">
        <v>7</v>
      </c>
      <c r="G344" t="s">
        <v>9</v>
      </c>
      <c r="H344" s="1">
        <v>45785</v>
      </c>
      <c r="I344" s="1">
        <v>45605</v>
      </c>
      <c r="J344" s="2">
        <v>1650</v>
      </c>
      <c r="K344" t="s">
        <v>4</v>
      </c>
      <c r="L344" t="str">
        <f>INDEX(Dispodaten2!B:B,MATCH(C344,Dispodaten2!A:A,0))</f>
        <v>PD</v>
      </c>
    </row>
    <row r="345" spans="1:12" ht="13.5" hidden="1" x14ac:dyDescent="0.2">
      <c r="A345" t="s">
        <v>0</v>
      </c>
      <c r="B345" t="s">
        <v>1</v>
      </c>
      <c r="C345" t="s">
        <v>327</v>
      </c>
      <c r="D345" s="10" t="e">
        <f>INDEX(#REF!,MATCH(Validade!C345,#REF!,0))</f>
        <v>#REF!</v>
      </c>
      <c r="E345" s="10" t="e">
        <f>INDEX(#REF!,MATCH(Validade!C345,#REF!,0))</f>
        <v>#REF!</v>
      </c>
      <c r="F345" t="s">
        <v>328</v>
      </c>
      <c r="G345" t="s">
        <v>329</v>
      </c>
      <c r="H345" s="1"/>
      <c r="I345" s="1">
        <v>45645</v>
      </c>
      <c r="J345" s="2">
        <v>410</v>
      </c>
      <c r="K345" t="s">
        <v>4</v>
      </c>
      <c r="L345" t="str">
        <f>INDEX(Dispodaten2!B:B,MATCH(C345,Dispodaten2!A:A,0))</f>
        <v>PD</v>
      </c>
    </row>
    <row r="346" spans="1:12" ht="13.5" hidden="1" x14ac:dyDescent="0.2">
      <c r="A346" t="s">
        <v>0</v>
      </c>
      <c r="B346" t="s">
        <v>729</v>
      </c>
      <c r="C346" t="s">
        <v>1044</v>
      </c>
      <c r="D346" s="10" t="e">
        <f>INDEX(#REF!,MATCH(Validade!C346,#REF!,0))</f>
        <v>#REF!</v>
      </c>
      <c r="E346" s="10" t="e">
        <f>INDEX(#REF!,MATCH(Validade!C346,#REF!,0))</f>
        <v>#REF!</v>
      </c>
      <c r="F346" t="s">
        <v>1045</v>
      </c>
      <c r="G346" t="s">
        <v>1046</v>
      </c>
      <c r="H346" s="1"/>
      <c r="I346" s="1"/>
      <c r="J346" s="2">
        <v>1500</v>
      </c>
      <c r="K346" t="s">
        <v>1042</v>
      </c>
      <c r="L346" t="str">
        <f>INDEX(Dispodaten2!B:B,MATCH(C346,Dispodaten2!A:A,0))</f>
        <v>PD</v>
      </c>
    </row>
    <row r="347" spans="1:12" ht="13.5" hidden="1" x14ac:dyDescent="0.2">
      <c r="A347" t="s">
        <v>0</v>
      </c>
      <c r="B347" t="s">
        <v>729</v>
      </c>
      <c r="C347" t="s">
        <v>1040</v>
      </c>
      <c r="D347" s="10" t="e">
        <f>INDEX(#REF!,MATCH(Validade!C347,#REF!,0))</f>
        <v>#REF!</v>
      </c>
      <c r="E347" s="10" t="e">
        <f>INDEX(#REF!,MATCH(Validade!C347,#REF!,0))</f>
        <v>#REF!</v>
      </c>
      <c r="F347" t="s">
        <v>1041</v>
      </c>
      <c r="G347" t="s">
        <v>1043</v>
      </c>
      <c r="H347" s="1"/>
      <c r="I347" s="1"/>
      <c r="J347" s="2">
        <v>1000</v>
      </c>
      <c r="K347" t="s">
        <v>1042</v>
      </c>
      <c r="L347" t="str">
        <f>INDEX(Dispodaten2!B:B,MATCH(C347,Dispodaten2!A:A,0))</f>
        <v>PD</v>
      </c>
    </row>
    <row r="348" spans="1:12" ht="13.5" hidden="1" x14ac:dyDescent="0.2">
      <c r="A348" t="s">
        <v>0</v>
      </c>
      <c r="B348" t="s">
        <v>1</v>
      </c>
      <c r="C348" t="s">
        <v>109</v>
      </c>
      <c r="D348" s="10" t="e">
        <f>INDEX(#REF!,MATCH(Validade!C348,#REF!,0))</f>
        <v>#REF!</v>
      </c>
      <c r="E348" s="10" t="e">
        <f>INDEX(#REF!,MATCH(Validade!C348,#REF!,0))</f>
        <v>#REF!</v>
      </c>
      <c r="F348" t="s">
        <v>110</v>
      </c>
      <c r="G348" t="s">
        <v>111</v>
      </c>
      <c r="H348" s="1">
        <v>62458</v>
      </c>
      <c r="I348" s="1">
        <v>44858</v>
      </c>
      <c r="J348" s="2">
        <v>7</v>
      </c>
      <c r="K348" t="s">
        <v>15</v>
      </c>
      <c r="L348" t="str">
        <f>INDEX(Dispodaten2!B:B,MATCH(C348,Dispodaten2!A:A,0))</f>
        <v>PD</v>
      </c>
    </row>
    <row r="349" spans="1:12" ht="13.5" hidden="1" x14ac:dyDescent="0.2">
      <c r="A349" t="s">
        <v>0</v>
      </c>
      <c r="B349" t="s">
        <v>1</v>
      </c>
      <c r="C349" t="s">
        <v>60</v>
      </c>
      <c r="D349" s="10" t="e">
        <f>INDEX(#REF!,MATCH(Validade!C349,#REF!,0))</f>
        <v>#REF!</v>
      </c>
      <c r="E349" s="10" t="e">
        <f>INDEX(#REF!,MATCH(Validade!C349,#REF!,0))</f>
        <v>#REF!</v>
      </c>
      <c r="F349" t="s">
        <v>61</v>
      </c>
      <c r="G349" t="s">
        <v>62</v>
      </c>
      <c r="H349" s="1">
        <v>62458</v>
      </c>
      <c r="I349" s="1"/>
      <c r="J349" s="2">
        <v>1000</v>
      </c>
      <c r="K349" t="s">
        <v>15</v>
      </c>
      <c r="L349" t="str">
        <f>INDEX(Dispodaten2!B:B,MATCH(C349,Dispodaten2!A:A,0))</f>
        <v>PD</v>
      </c>
    </row>
    <row r="350" spans="1:12" ht="13.5" hidden="1" x14ac:dyDescent="0.2">
      <c r="A350" t="s">
        <v>0</v>
      </c>
      <c r="B350" t="s">
        <v>1</v>
      </c>
      <c r="C350" t="s">
        <v>57</v>
      </c>
      <c r="D350" s="10" t="e">
        <f>INDEX(#REF!,MATCH(Validade!C350,#REF!,0))</f>
        <v>#REF!</v>
      </c>
      <c r="E350" s="10" t="e">
        <f>INDEX(#REF!,MATCH(Validade!C350,#REF!,0))</f>
        <v>#REF!</v>
      </c>
      <c r="F350" t="s">
        <v>58</v>
      </c>
      <c r="G350" t="s">
        <v>59</v>
      </c>
      <c r="H350" s="1"/>
      <c r="I350" s="1"/>
      <c r="J350" s="2">
        <v>500</v>
      </c>
      <c r="K350" t="s">
        <v>15</v>
      </c>
      <c r="L350" t="str">
        <f>INDEX(Dispodaten2!B:B,MATCH(C350,Dispodaten2!A:A,0))</f>
        <v>PD</v>
      </c>
    </row>
    <row r="351" spans="1:12" ht="13.5" hidden="1" x14ac:dyDescent="0.2">
      <c r="A351" t="s">
        <v>0</v>
      </c>
      <c r="B351" t="s">
        <v>1</v>
      </c>
      <c r="C351" t="s">
        <v>75</v>
      </c>
      <c r="D351" s="10" t="e">
        <f>INDEX(#REF!,MATCH(Validade!C351,#REF!,0))</f>
        <v>#REF!</v>
      </c>
      <c r="E351" s="10" t="e">
        <f>INDEX(#REF!,MATCH(Validade!C351,#REF!,0))</f>
        <v>#REF!</v>
      </c>
      <c r="F351" t="s">
        <v>76</v>
      </c>
      <c r="G351" t="s">
        <v>77</v>
      </c>
      <c r="H351" s="1">
        <v>62458</v>
      </c>
      <c r="I351" s="1"/>
      <c r="J351" s="2">
        <v>3265</v>
      </c>
      <c r="K351" t="s">
        <v>15</v>
      </c>
      <c r="L351" t="str">
        <f>INDEX(Dispodaten2!B:B,MATCH(C351,Dispodaten2!A:A,0))</f>
        <v>PD</v>
      </c>
    </row>
    <row r="352" spans="1:12" ht="13.5" hidden="1" x14ac:dyDescent="0.2">
      <c r="A352" t="s">
        <v>0</v>
      </c>
      <c r="B352" t="s">
        <v>1</v>
      </c>
      <c r="C352" t="s">
        <v>36</v>
      </c>
      <c r="D352" s="10" t="e">
        <f>INDEX(#REF!,MATCH(Validade!C352,#REF!,0))</f>
        <v>#REF!</v>
      </c>
      <c r="E352" s="10" t="e">
        <f>INDEX(#REF!,MATCH(Validade!C352,#REF!,0))</f>
        <v>#REF!</v>
      </c>
      <c r="F352" t="s">
        <v>37</v>
      </c>
      <c r="G352" t="s">
        <v>38</v>
      </c>
      <c r="H352" s="1">
        <v>62458</v>
      </c>
      <c r="I352" s="1"/>
      <c r="J352" s="2">
        <v>1033</v>
      </c>
      <c r="K352" t="s">
        <v>15</v>
      </c>
      <c r="L352" t="str">
        <f>INDEX(Dispodaten2!B:B,MATCH(C352,Dispodaten2!A:A,0))</f>
        <v>PD</v>
      </c>
    </row>
    <row r="353" spans="1:12" ht="13.5" hidden="1" x14ac:dyDescent="0.2">
      <c r="A353" t="s">
        <v>0</v>
      </c>
      <c r="B353" t="s">
        <v>1</v>
      </c>
      <c r="C353" t="s">
        <v>48</v>
      </c>
      <c r="D353" s="10" t="e">
        <f>INDEX(#REF!,MATCH(Validade!C353,#REF!,0))</f>
        <v>#REF!</v>
      </c>
      <c r="E353" s="10" t="e">
        <f>INDEX(#REF!,MATCH(Validade!C353,#REF!,0))</f>
        <v>#REF!</v>
      </c>
      <c r="F353" t="s">
        <v>49</v>
      </c>
      <c r="G353" t="s">
        <v>50</v>
      </c>
      <c r="H353" s="1">
        <v>62458</v>
      </c>
      <c r="I353" s="1"/>
      <c r="J353" s="2">
        <v>1000</v>
      </c>
      <c r="K353" t="s">
        <v>15</v>
      </c>
      <c r="L353" t="str">
        <f>INDEX(Dispodaten2!B:B,MATCH(C353,Dispodaten2!A:A,0))</f>
        <v>PD</v>
      </c>
    </row>
    <row r="354" spans="1:12" ht="13.5" hidden="1" x14ac:dyDescent="0.2">
      <c r="A354" t="s">
        <v>0</v>
      </c>
      <c r="B354" t="s">
        <v>1</v>
      </c>
      <c r="C354" t="s">
        <v>78</v>
      </c>
      <c r="D354" s="10" t="e">
        <f>INDEX(#REF!,MATCH(Validade!C354,#REF!,0))</f>
        <v>#REF!</v>
      </c>
      <c r="E354" s="10" t="e">
        <f>INDEX(#REF!,MATCH(Validade!C354,#REF!,0))</f>
        <v>#REF!</v>
      </c>
      <c r="F354" t="s">
        <v>79</v>
      </c>
      <c r="G354" t="s">
        <v>80</v>
      </c>
      <c r="H354" s="1">
        <v>62458</v>
      </c>
      <c r="I354" s="1"/>
      <c r="J354" s="2">
        <v>8800</v>
      </c>
      <c r="K354" t="s">
        <v>15</v>
      </c>
      <c r="L354" t="str">
        <f>INDEX(Dispodaten2!B:B,MATCH(C354,Dispodaten2!A:A,0))</f>
        <v>PD</v>
      </c>
    </row>
    <row r="355" spans="1:12" ht="13.5" hidden="1" x14ac:dyDescent="0.2">
      <c r="A355" t="s">
        <v>0</v>
      </c>
      <c r="B355" t="s">
        <v>1</v>
      </c>
      <c r="C355" t="s">
        <v>42</v>
      </c>
      <c r="D355" s="10" t="e">
        <f>INDEX(#REF!,MATCH(Validade!C355,#REF!,0))</f>
        <v>#REF!</v>
      </c>
      <c r="E355" s="10" t="e">
        <f>INDEX(#REF!,MATCH(Validade!C355,#REF!,0))</f>
        <v>#REF!</v>
      </c>
      <c r="F355" t="s">
        <v>43</v>
      </c>
      <c r="G355" t="s">
        <v>44</v>
      </c>
      <c r="H355" s="1">
        <v>62458</v>
      </c>
      <c r="I355" s="1"/>
      <c r="J355" s="2">
        <v>1100</v>
      </c>
      <c r="K355" t="s">
        <v>15</v>
      </c>
      <c r="L355" t="str">
        <f>INDEX(Dispodaten2!B:B,MATCH(C355,Dispodaten2!A:A,0))</f>
        <v>PD</v>
      </c>
    </row>
    <row r="356" spans="1:12" ht="13.5" hidden="1" x14ac:dyDescent="0.2">
      <c r="A356" t="s">
        <v>0</v>
      </c>
      <c r="B356" t="s">
        <v>1</v>
      </c>
      <c r="C356" t="s">
        <v>51</v>
      </c>
      <c r="D356" s="10" t="e">
        <f>INDEX(#REF!,MATCH(Validade!C356,#REF!,0))</f>
        <v>#REF!</v>
      </c>
      <c r="E356" s="10" t="e">
        <f>INDEX(#REF!,MATCH(Validade!C356,#REF!,0))</f>
        <v>#REF!</v>
      </c>
      <c r="F356" t="s">
        <v>52</v>
      </c>
      <c r="G356" t="s">
        <v>53</v>
      </c>
      <c r="H356" s="1">
        <v>62458</v>
      </c>
      <c r="I356" s="1"/>
      <c r="J356" s="2">
        <v>11</v>
      </c>
      <c r="K356" t="s">
        <v>15</v>
      </c>
      <c r="L356" t="str">
        <f>INDEX(Dispodaten2!B:B,MATCH(C356,Dispodaten2!A:A,0))</f>
        <v>PD</v>
      </c>
    </row>
    <row r="357" spans="1:12" ht="13.5" hidden="1" x14ac:dyDescent="0.2">
      <c r="A357" t="s">
        <v>0</v>
      </c>
      <c r="B357" t="s">
        <v>1</v>
      </c>
      <c r="C357" t="s">
        <v>54</v>
      </c>
      <c r="D357" s="10" t="e">
        <f>INDEX(#REF!,MATCH(Validade!C357,#REF!,0))</f>
        <v>#REF!</v>
      </c>
      <c r="E357" s="10" t="e">
        <f>INDEX(#REF!,MATCH(Validade!C357,#REF!,0))</f>
        <v>#REF!</v>
      </c>
      <c r="F357" t="s">
        <v>55</v>
      </c>
      <c r="G357" t="s">
        <v>56</v>
      </c>
      <c r="H357" s="1">
        <v>62458</v>
      </c>
      <c r="I357" s="1"/>
      <c r="J357" s="2">
        <v>50</v>
      </c>
      <c r="K357" t="s">
        <v>15</v>
      </c>
      <c r="L357" t="str">
        <f>INDEX(Dispodaten2!B:B,MATCH(C357,Dispodaten2!A:A,0))</f>
        <v>PD</v>
      </c>
    </row>
    <row r="358" spans="1:12" ht="13.5" hidden="1" x14ac:dyDescent="0.2">
      <c r="A358" t="s">
        <v>0</v>
      </c>
      <c r="B358" t="s">
        <v>1</v>
      </c>
      <c r="C358" t="s">
        <v>114</v>
      </c>
      <c r="D358" s="10" t="e">
        <f>INDEX(#REF!,MATCH(Validade!C358,#REF!,0))</f>
        <v>#REF!</v>
      </c>
      <c r="E358" s="10" t="e">
        <f>INDEX(#REF!,MATCH(Validade!C358,#REF!,0))</f>
        <v>#REF!</v>
      </c>
      <c r="F358" t="s">
        <v>115</v>
      </c>
      <c r="G358" t="s">
        <v>116</v>
      </c>
      <c r="H358" s="1">
        <v>62458</v>
      </c>
      <c r="I358" s="1"/>
      <c r="J358" s="2">
        <v>9500</v>
      </c>
      <c r="K358" t="s">
        <v>15</v>
      </c>
      <c r="L358" t="str">
        <f>INDEX(Dispodaten2!B:B,MATCH(C358,Dispodaten2!A:A,0))</f>
        <v>PD</v>
      </c>
    </row>
    <row r="359" spans="1:12" ht="13.5" hidden="1" x14ac:dyDescent="0.2">
      <c r="A359" t="s">
        <v>0</v>
      </c>
      <c r="B359" t="s">
        <v>1</v>
      </c>
      <c r="C359" t="s">
        <v>45</v>
      </c>
      <c r="D359" s="10" t="e">
        <f>INDEX(#REF!,MATCH(Validade!C359,#REF!,0))</f>
        <v>#REF!</v>
      </c>
      <c r="E359" s="10" t="e">
        <f>INDEX(#REF!,MATCH(Validade!C359,#REF!,0))</f>
        <v>#REF!</v>
      </c>
      <c r="F359" t="s">
        <v>46</v>
      </c>
      <c r="G359" t="s">
        <v>47</v>
      </c>
      <c r="H359" s="1">
        <v>62458</v>
      </c>
      <c r="I359" s="1"/>
      <c r="J359" s="2">
        <v>500</v>
      </c>
      <c r="K359" t="s">
        <v>15</v>
      </c>
      <c r="L359" t="str">
        <f>INDEX(Dispodaten2!B:B,MATCH(C359,Dispodaten2!A:A,0))</f>
        <v>PD</v>
      </c>
    </row>
    <row r="360" spans="1:12" ht="13.5" hidden="1" x14ac:dyDescent="0.2">
      <c r="A360" t="s">
        <v>0</v>
      </c>
      <c r="B360" t="s">
        <v>1</v>
      </c>
      <c r="C360" t="s">
        <v>72</v>
      </c>
      <c r="D360" s="10" t="e">
        <f>INDEX(#REF!,MATCH(Validade!C360,#REF!,0))</f>
        <v>#REF!</v>
      </c>
      <c r="E360" s="10" t="e">
        <f>INDEX(#REF!,MATCH(Validade!C360,#REF!,0))</f>
        <v>#REF!</v>
      </c>
      <c r="F360" t="s">
        <v>73</v>
      </c>
      <c r="G360" t="s">
        <v>74</v>
      </c>
      <c r="H360" s="1">
        <v>62458</v>
      </c>
      <c r="I360" s="1"/>
      <c r="J360" s="2">
        <v>4582</v>
      </c>
      <c r="K360" t="s">
        <v>15</v>
      </c>
      <c r="L360" t="str">
        <f>INDEX(Dispodaten2!B:B,MATCH(C360,Dispodaten2!A:A,0))</f>
        <v>PD</v>
      </c>
    </row>
    <row r="361" spans="1:12" ht="13.5" hidden="1" x14ac:dyDescent="0.2">
      <c r="A361" t="s">
        <v>0</v>
      </c>
      <c r="B361" t="s">
        <v>1</v>
      </c>
      <c r="C361" t="s">
        <v>69</v>
      </c>
      <c r="D361" s="10" t="e">
        <f>INDEX(#REF!,MATCH(Validade!C361,#REF!,0))</f>
        <v>#REF!</v>
      </c>
      <c r="E361" s="10" t="e">
        <f>INDEX(#REF!,MATCH(Validade!C361,#REF!,0))</f>
        <v>#REF!</v>
      </c>
      <c r="F361" t="s">
        <v>70</v>
      </c>
      <c r="G361" t="s">
        <v>71</v>
      </c>
      <c r="H361" s="1">
        <v>62458</v>
      </c>
      <c r="I361" s="1"/>
      <c r="J361" s="2">
        <v>1000</v>
      </c>
      <c r="K361" t="s">
        <v>15</v>
      </c>
      <c r="L361" t="str">
        <f>INDEX(Dispodaten2!B:B,MATCH(C361,Dispodaten2!A:A,0))</f>
        <v>PD</v>
      </c>
    </row>
    <row r="362" spans="1:12" ht="13.5" hidden="1" x14ac:dyDescent="0.2">
      <c r="A362" t="s">
        <v>0</v>
      </c>
      <c r="B362" t="s">
        <v>1</v>
      </c>
      <c r="C362" t="s">
        <v>81</v>
      </c>
      <c r="D362" s="10" t="e">
        <f>INDEX(#REF!,MATCH(Validade!C362,#REF!,0))</f>
        <v>#REF!</v>
      </c>
      <c r="E362" s="10" t="e">
        <f>INDEX(#REF!,MATCH(Validade!C362,#REF!,0))</f>
        <v>#REF!</v>
      </c>
      <c r="F362" t="s">
        <v>82</v>
      </c>
      <c r="G362" t="s">
        <v>83</v>
      </c>
      <c r="H362" s="1">
        <v>62458</v>
      </c>
      <c r="I362" s="1"/>
      <c r="J362" s="2">
        <v>500</v>
      </c>
      <c r="K362" t="s">
        <v>15</v>
      </c>
      <c r="L362" t="str">
        <f>INDEX(Dispodaten2!B:B,MATCH(C362,Dispodaten2!A:A,0))</f>
        <v>PD</v>
      </c>
    </row>
    <row r="363" spans="1:12" ht="13.5" hidden="1" x14ac:dyDescent="0.2">
      <c r="A363" t="s">
        <v>0</v>
      </c>
      <c r="B363" t="s">
        <v>1</v>
      </c>
      <c r="C363" t="s">
        <v>690</v>
      </c>
      <c r="D363" s="10" t="e">
        <f>INDEX(#REF!,MATCH(Validade!C363,#REF!,0))</f>
        <v>#REF!</v>
      </c>
      <c r="E363" s="10" t="e">
        <f>INDEX(#REF!,MATCH(Validade!C363,#REF!,0))</f>
        <v>#REF!</v>
      </c>
      <c r="F363" t="s">
        <v>691</v>
      </c>
      <c r="G363" t="s">
        <v>692</v>
      </c>
      <c r="H363" s="1">
        <v>62458</v>
      </c>
      <c r="I363" s="1">
        <v>44788</v>
      </c>
      <c r="J363" s="2">
        <v>180</v>
      </c>
      <c r="K363" t="s">
        <v>15</v>
      </c>
      <c r="L363" t="str">
        <f>INDEX(Dispodaten2!B:B,MATCH(C363,Dispodaten2!A:A,0))</f>
        <v>PD</v>
      </c>
    </row>
    <row r="364" spans="1:12" ht="13.5" hidden="1" x14ac:dyDescent="0.2">
      <c r="A364" t="s">
        <v>0</v>
      </c>
      <c r="B364" t="s">
        <v>1</v>
      </c>
      <c r="C364" t="s">
        <v>684</v>
      </c>
      <c r="D364" s="10" t="e">
        <f>INDEX(#REF!,MATCH(Validade!C364,#REF!,0))</f>
        <v>#REF!</v>
      </c>
      <c r="E364" s="10" t="e">
        <f>INDEX(#REF!,MATCH(Validade!C364,#REF!,0))</f>
        <v>#REF!</v>
      </c>
      <c r="F364" t="s">
        <v>685</v>
      </c>
      <c r="G364" t="s">
        <v>686</v>
      </c>
      <c r="H364" s="1">
        <v>62458</v>
      </c>
      <c r="I364" s="1"/>
      <c r="J364" s="2">
        <v>1100</v>
      </c>
      <c r="K364" t="s">
        <v>15</v>
      </c>
      <c r="L364" t="str">
        <f>INDEX(Dispodaten2!B:B,MATCH(C364,Dispodaten2!A:A,0))</f>
        <v>PD</v>
      </c>
    </row>
    <row r="365" spans="1:12" ht="13.5" hidden="1" x14ac:dyDescent="0.2">
      <c r="A365" t="s">
        <v>0</v>
      </c>
      <c r="B365" t="s">
        <v>1</v>
      </c>
      <c r="C365" t="s">
        <v>687</v>
      </c>
      <c r="D365" s="10" t="e">
        <f>INDEX(#REF!,MATCH(Validade!C365,#REF!,0))</f>
        <v>#REF!</v>
      </c>
      <c r="E365" s="10" t="e">
        <f>INDEX(#REF!,MATCH(Validade!C365,#REF!,0))</f>
        <v>#REF!</v>
      </c>
      <c r="F365" t="s">
        <v>688</v>
      </c>
      <c r="G365" t="s">
        <v>689</v>
      </c>
      <c r="H365" s="1">
        <v>62458</v>
      </c>
      <c r="I365" s="1"/>
      <c r="J365" s="2">
        <v>1100</v>
      </c>
      <c r="K365" t="s">
        <v>15</v>
      </c>
      <c r="L365" t="str">
        <f>INDEX(Dispodaten2!B:B,MATCH(C365,Dispodaten2!A:A,0))</f>
        <v>PD</v>
      </c>
    </row>
    <row r="366" spans="1:12" ht="13.5" hidden="1" x14ac:dyDescent="0.2">
      <c r="A366" t="s">
        <v>0</v>
      </c>
      <c r="B366" t="s">
        <v>1</v>
      </c>
      <c r="C366" t="s">
        <v>681</v>
      </c>
      <c r="D366" s="10" t="e">
        <f>INDEX(#REF!,MATCH(Validade!C366,#REF!,0))</f>
        <v>#REF!</v>
      </c>
      <c r="E366" s="10" t="e">
        <f>INDEX(#REF!,MATCH(Validade!C366,#REF!,0))</f>
        <v>#REF!</v>
      </c>
      <c r="F366" t="s">
        <v>682</v>
      </c>
      <c r="G366" t="s">
        <v>683</v>
      </c>
      <c r="H366" s="1">
        <v>62458</v>
      </c>
      <c r="I366" s="1"/>
      <c r="J366" s="2">
        <v>200</v>
      </c>
      <c r="K366" t="s">
        <v>15</v>
      </c>
      <c r="L366" t="str">
        <f>INDEX(Dispodaten2!B:B,MATCH(C366,Dispodaten2!A:A,0))</f>
        <v>PD</v>
      </c>
    </row>
    <row r="367" spans="1:12" ht="13.5" hidden="1" x14ac:dyDescent="0.2">
      <c r="A367" t="s">
        <v>0</v>
      </c>
      <c r="B367" t="s">
        <v>1</v>
      </c>
      <c r="C367" t="s">
        <v>23</v>
      </c>
      <c r="D367" s="10" t="e">
        <f>INDEX(#REF!,MATCH(Validade!C367,#REF!,0))</f>
        <v>#REF!</v>
      </c>
      <c r="E367" s="10" t="e">
        <f>INDEX(#REF!,MATCH(Validade!C367,#REF!,0))</f>
        <v>#REF!</v>
      </c>
      <c r="F367" t="s">
        <v>24</v>
      </c>
      <c r="G367" t="s">
        <v>25</v>
      </c>
      <c r="H367" s="1">
        <v>62458</v>
      </c>
      <c r="I367" s="1"/>
      <c r="J367" s="2">
        <v>810</v>
      </c>
      <c r="K367" t="s">
        <v>15</v>
      </c>
      <c r="L367" t="str">
        <f>INDEX(Dispodaten2!B:B,MATCH(C367,Dispodaten2!A:A,0))</f>
        <v>PD</v>
      </c>
    </row>
    <row r="368" spans="1:12" ht="13.5" hidden="1" x14ac:dyDescent="0.2">
      <c r="A368" t="s">
        <v>0</v>
      </c>
      <c r="B368" t="s">
        <v>1</v>
      </c>
      <c r="C368" t="s">
        <v>106</v>
      </c>
      <c r="D368" s="10" t="e">
        <f>INDEX(#REF!,MATCH(Validade!C368,#REF!,0))</f>
        <v>#REF!</v>
      </c>
      <c r="E368" s="10" t="e">
        <f>INDEX(#REF!,MATCH(Validade!C368,#REF!,0))</f>
        <v>#REF!</v>
      </c>
      <c r="F368" t="s">
        <v>107</v>
      </c>
      <c r="G368" t="s">
        <v>108</v>
      </c>
      <c r="H368" s="1">
        <v>62458</v>
      </c>
      <c r="I368" s="1"/>
      <c r="J368" s="2">
        <v>74</v>
      </c>
      <c r="K368" t="s">
        <v>15</v>
      </c>
      <c r="L368" t="str">
        <f>INDEX(Dispodaten2!B:B,MATCH(C368,Dispodaten2!A:A,0))</f>
        <v>PD</v>
      </c>
    </row>
    <row r="369" spans="1:12" ht="13.5" hidden="1" x14ac:dyDescent="0.2">
      <c r="A369" t="s">
        <v>0</v>
      </c>
      <c r="B369" t="s">
        <v>1</v>
      </c>
      <c r="C369" t="s">
        <v>643</v>
      </c>
      <c r="D369" s="10" t="e">
        <f>INDEX(#REF!,MATCH(Validade!C369,#REF!,0))</f>
        <v>#REF!</v>
      </c>
      <c r="E369" s="10" t="e">
        <f>INDEX(#REF!,MATCH(Validade!C369,#REF!,0))</f>
        <v>#REF!</v>
      </c>
      <c r="F369" t="s">
        <v>644</v>
      </c>
      <c r="G369" t="s">
        <v>645</v>
      </c>
      <c r="H369" s="1">
        <v>62458</v>
      </c>
      <c r="I369" s="1">
        <v>44659</v>
      </c>
      <c r="J369" s="2">
        <v>20</v>
      </c>
      <c r="K369" t="s">
        <v>15</v>
      </c>
      <c r="L369" t="str">
        <f>INDEX(Dispodaten2!B:B,MATCH(C369,Dispodaten2!A:A,0))</f>
        <v>PD</v>
      </c>
    </row>
    <row r="370" spans="1:12" ht="13.5" hidden="1" x14ac:dyDescent="0.2">
      <c r="A370" t="s">
        <v>0</v>
      </c>
      <c r="B370" t="s">
        <v>1</v>
      </c>
      <c r="C370" t="s">
        <v>20</v>
      </c>
      <c r="D370" s="10" t="e">
        <f>INDEX(#REF!,MATCH(Validade!C370,#REF!,0))</f>
        <v>#REF!</v>
      </c>
      <c r="E370" s="10" t="e">
        <f>INDEX(#REF!,MATCH(Validade!C370,#REF!,0))</f>
        <v>#REF!</v>
      </c>
      <c r="F370" t="s">
        <v>21</v>
      </c>
      <c r="G370" t="s">
        <v>22</v>
      </c>
      <c r="H370" s="1">
        <v>62458</v>
      </c>
      <c r="I370" s="1"/>
      <c r="J370" s="2">
        <v>69</v>
      </c>
      <c r="K370" t="s">
        <v>15</v>
      </c>
      <c r="L370" t="str">
        <f>INDEX(Dispodaten2!B:B,MATCH(C370,Dispodaten2!A:A,0))</f>
        <v>PD</v>
      </c>
    </row>
    <row r="371" spans="1:12" ht="13.5" hidden="1" x14ac:dyDescent="0.2">
      <c r="A371" t="s">
        <v>0</v>
      </c>
      <c r="B371" t="s">
        <v>1</v>
      </c>
      <c r="C371" t="s">
        <v>17</v>
      </c>
      <c r="D371" s="10" t="e">
        <f>INDEX(#REF!,MATCH(Validade!C371,#REF!,0))</f>
        <v>#REF!</v>
      </c>
      <c r="E371" s="10" t="e">
        <f>INDEX(#REF!,MATCH(Validade!C371,#REF!,0))</f>
        <v>#REF!</v>
      </c>
      <c r="F371" t="s">
        <v>18</v>
      </c>
      <c r="G371" t="s">
        <v>19</v>
      </c>
      <c r="H371" s="1">
        <v>62458</v>
      </c>
      <c r="I371" s="1"/>
      <c r="J371" s="2">
        <v>54</v>
      </c>
      <c r="K371" t="s">
        <v>15</v>
      </c>
      <c r="L371" t="str">
        <f>INDEX(Dispodaten2!B:B,MATCH(C371,Dispodaten2!A:A,0))</f>
        <v>PD</v>
      </c>
    </row>
    <row r="372" spans="1:12" ht="13.5" hidden="1" x14ac:dyDescent="0.2">
      <c r="A372" t="s">
        <v>0</v>
      </c>
      <c r="B372" t="s">
        <v>1</v>
      </c>
      <c r="C372" t="s">
        <v>576</v>
      </c>
      <c r="D372" s="10" t="e">
        <f>INDEX(#REF!,MATCH(Validade!C372,#REF!,0))</f>
        <v>#REF!</v>
      </c>
      <c r="E372" s="10" t="e">
        <f>INDEX(#REF!,MATCH(Validade!C372,#REF!,0))</f>
        <v>#REF!</v>
      </c>
      <c r="F372" t="s">
        <v>577</v>
      </c>
      <c r="G372" t="s">
        <v>578</v>
      </c>
      <c r="H372" s="1">
        <v>62458</v>
      </c>
      <c r="I372" s="1"/>
      <c r="J372" s="2">
        <v>500</v>
      </c>
      <c r="K372" t="s">
        <v>15</v>
      </c>
      <c r="L372" t="str">
        <f>INDEX(Dispodaten2!B:B,MATCH(C372,Dispodaten2!A:A,0))</f>
        <v>PD</v>
      </c>
    </row>
    <row r="373" spans="1:12" ht="13.5" hidden="1" x14ac:dyDescent="0.2">
      <c r="A373" t="s">
        <v>0</v>
      </c>
      <c r="B373" t="s">
        <v>1</v>
      </c>
      <c r="C373" t="s">
        <v>249</v>
      </c>
      <c r="D373" s="10" t="e">
        <f>INDEX(#REF!,MATCH(Validade!C373,#REF!,0))</f>
        <v>#REF!</v>
      </c>
      <c r="E373" s="10" t="e">
        <f>INDEX(#REF!,MATCH(Validade!C373,#REF!,0))</f>
        <v>#REF!</v>
      </c>
      <c r="F373" t="s">
        <v>250</v>
      </c>
      <c r="G373" t="s">
        <v>251</v>
      </c>
      <c r="H373" s="1">
        <v>62458</v>
      </c>
      <c r="I373" s="1"/>
      <c r="J373" s="2">
        <v>1000</v>
      </c>
      <c r="K373" t="s">
        <v>15</v>
      </c>
      <c r="L373" t="str">
        <f>INDEX(Dispodaten2!B:B,MATCH(C373,Dispodaten2!A:A,0))</f>
        <v>PD</v>
      </c>
    </row>
    <row r="374" spans="1:12" ht="13.5" hidden="1" x14ac:dyDescent="0.2">
      <c r="A374" t="s">
        <v>0</v>
      </c>
      <c r="B374" t="s">
        <v>1</v>
      </c>
      <c r="C374" t="s">
        <v>535</v>
      </c>
      <c r="D374" s="10" t="e">
        <f>INDEX(#REF!,MATCH(Validade!C374,#REF!,0))</f>
        <v>#REF!</v>
      </c>
      <c r="E374" s="10" t="e">
        <f>INDEX(#REF!,MATCH(Validade!C374,#REF!,0))</f>
        <v>#REF!</v>
      </c>
      <c r="F374" t="s">
        <v>536</v>
      </c>
      <c r="G374" t="s">
        <v>537</v>
      </c>
      <c r="H374" s="1">
        <v>62458</v>
      </c>
      <c r="I374" s="1"/>
      <c r="J374" s="2">
        <v>3430</v>
      </c>
      <c r="K374" t="s">
        <v>15</v>
      </c>
      <c r="L374" t="str">
        <f>INDEX(Dispodaten2!B:B,MATCH(C374,Dispodaten2!A:A,0))</f>
        <v>PD</v>
      </c>
    </row>
    <row r="375" spans="1:12" ht="13.5" hidden="1" x14ac:dyDescent="0.2">
      <c r="A375" t="s">
        <v>0</v>
      </c>
      <c r="B375" t="s">
        <v>1</v>
      </c>
      <c r="C375" t="s">
        <v>532</v>
      </c>
      <c r="D375" s="10" t="e">
        <f>INDEX(#REF!,MATCH(Validade!C375,#REF!,0))</f>
        <v>#REF!</v>
      </c>
      <c r="E375" s="10" t="e">
        <f>INDEX(#REF!,MATCH(Validade!C375,#REF!,0))</f>
        <v>#REF!</v>
      </c>
      <c r="F375" t="s">
        <v>533</v>
      </c>
      <c r="G375" t="s">
        <v>534</v>
      </c>
      <c r="H375" s="1">
        <v>62458</v>
      </c>
      <c r="I375" s="1"/>
      <c r="J375" s="2">
        <v>2000</v>
      </c>
      <c r="K375" t="s">
        <v>15</v>
      </c>
      <c r="L375" t="str">
        <f>INDEX(Dispodaten2!B:B,MATCH(C375,Dispodaten2!A:A,0))</f>
        <v>PD</v>
      </c>
    </row>
    <row r="376" spans="1:12" ht="13.5" hidden="1" x14ac:dyDescent="0.2">
      <c r="A376" t="s">
        <v>0</v>
      </c>
      <c r="B376" t="s">
        <v>1</v>
      </c>
      <c r="C376" t="s">
        <v>292</v>
      </c>
      <c r="D376" s="10" t="e">
        <f>INDEX(#REF!,MATCH(Validade!C376,#REF!,0))</f>
        <v>#REF!</v>
      </c>
      <c r="E376" s="10" t="e">
        <f>INDEX(#REF!,MATCH(Validade!C376,#REF!,0))</f>
        <v>#REF!</v>
      </c>
      <c r="F376" t="s">
        <v>293</v>
      </c>
      <c r="G376" t="s">
        <v>294</v>
      </c>
      <c r="H376" s="1">
        <v>62458</v>
      </c>
      <c r="I376" s="1"/>
      <c r="J376" s="2">
        <v>1000</v>
      </c>
      <c r="K376" t="s">
        <v>15</v>
      </c>
      <c r="L376" t="str">
        <f>INDEX(Dispodaten2!B:B,MATCH(C376,Dispodaten2!A:A,0))</f>
        <v>PD</v>
      </c>
    </row>
    <row r="377" spans="1:12" ht="13.5" hidden="1" x14ac:dyDescent="0.2">
      <c r="A377" t="s">
        <v>0</v>
      </c>
      <c r="B377" t="s">
        <v>1</v>
      </c>
      <c r="C377" t="s">
        <v>544</v>
      </c>
      <c r="D377" s="10" t="e">
        <f>INDEX(#REF!,MATCH(Validade!C377,#REF!,0))</f>
        <v>#REF!</v>
      </c>
      <c r="E377" s="10" t="e">
        <f>INDEX(#REF!,MATCH(Validade!C377,#REF!,0))</f>
        <v>#REF!</v>
      </c>
      <c r="F377" t="s">
        <v>545</v>
      </c>
      <c r="G377" t="s">
        <v>546</v>
      </c>
      <c r="H377" s="1">
        <v>62458</v>
      </c>
      <c r="I377" s="1"/>
      <c r="J377" s="2">
        <v>500</v>
      </c>
      <c r="K377" t="s">
        <v>15</v>
      </c>
      <c r="L377" t="str">
        <f>INDEX(Dispodaten2!B:B,MATCH(C377,Dispodaten2!A:A,0))</f>
        <v>PD</v>
      </c>
    </row>
    <row r="378" spans="1:12" ht="13.5" hidden="1" x14ac:dyDescent="0.2">
      <c r="A378" t="s">
        <v>0</v>
      </c>
      <c r="B378" t="s">
        <v>1</v>
      </c>
      <c r="C378" t="s">
        <v>295</v>
      </c>
      <c r="D378" s="10" t="e">
        <f>INDEX(#REF!,MATCH(Validade!C378,#REF!,0))</f>
        <v>#REF!</v>
      </c>
      <c r="E378" s="10" t="e">
        <f>INDEX(#REF!,MATCH(Validade!C378,#REF!,0))</f>
        <v>#REF!</v>
      </c>
      <c r="F378" t="s">
        <v>296</v>
      </c>
      <c r="G378" t="s">
        <v>297</v>
      </c>
      <c r="H378" s="1">
        <v>62458</v>
      </c>
      <c r="I378" s="1"/>
      <c r="J378" s="2">
        <v>2200</v>
      </c>
      <c r="K378" t="s">
        <v>15</v>
      </c>
      <c r="L378" t="str">
        <f>INDEX(Dispodaten2!B:B,MATCH(C378,Dispodaten2!A:A,0))</f>
        <v>PD</v>
      </c>
    </row>
    <row r="379" spans="1:12" ht="13.5" hidden="1" x14ac:dyDescent="0.2">
      <c r="A379" t="s">
        <v>0</v>
      </c>
      <c r="B379" t="s">
        <v>1</v>
      </c>
      <c r="C379" t="s">
        <v>298</v>
      </c>
      <c r="D379" s="10" t="e">
        <f>INDEX(#REF!,MATCH(Validade!C379,#REF!,0))</f>
        <v>#REF!</v>
      </c>
      <c r="E379" s="10" t="e">
        <f>INDEX(#REF!,MATCH(Validade!C379,#REF!,0))</f>
        <v>#REF!</v>
      </c>
      <c r="F379" t="s">
        <v>299</v>
      </c>
      <c r="G379" t="s">
        <v>300</v>
      </c>
      <c r="H379" s="1"/>
      <c r="I379" s="1"/>
      <c r="J379" s="2">
        <v>2200</v>
      </c>
      <c r="K379" t="s">
        <v>15</v>
      </c>
      <c r="L379" t="str">
        <f>INDEX(Dispodaten2!B:B,MATCH(C379,Dispodaten2!A:A,0))</f>
        <v>PD</v>
      </c>
    </row>
    <row r="380" spans="1:12" ht="13.5" hidden="1" x14ac:dyDescent="0.2">
      <c r="A380" t="s">
        <v>0</v>
      </c>
      <c r="B380" t="s">
        <v>1</v>
      </c>
      <c r="C380" t="s">
        <v>216</v>
      </c>
      <c r="D380" s="10" t="e">
        <f>INDEX(#REF!,MATCH(Validade!C380,#REF!,0))</f>
        <v>#REF!</v>
      </c>
      <c r="E380" s="10" t="e">
        <f>INDEX(#REF!,MATCH(Validade!C380,#REF!,0))</f>
        <v>#REF!</v>
      </c>
      <c r="F380" t="s">
        <v>217</v>
      </c>
      <c r="G380" t="s">
        <v>218</v>
      </c>
      <c r="H380" s="1">
        <v>62458</v>
      </c>
      <c r="I380" s="1"/>
      <c r="J380" s="2">
        <v>840</v>
      </c>
      <c r="K380" t="s">
        <v>15</v>
      </c>
      <c r="L380" t="str">
        <f>INDEX(Dispodaten2!B:B,MATCH(C380,Dispodaten2!A:A,0))</f>
        <v>PD</v>
      </c>
    </row>
    <row r="381" spans="1:12" ht="13.5" hidden="1" x14ac:dyDescent="0.2">
      <c r="A381" t="s">
        <v>0</v>
      </c>
      <c r="B381" t="s">
        <v>1</v>
      </c>
      <c r="C381" t="s">
        <v>579</v>
      </c>
      <c r="D381" s="10" t="e">
        <f>INDEX(#REF!,MATCH(Validade!C381,#REF!,0))</f>
        <v>#REF!</v>
      </c>
      <c r="E381" s="10" t="e">
        <f>INDEX(#REF!,MATCH(Validade!C381,#REF!,0))</f>
        <v>#REF!</v>
      </c>
      <c r="F381" t="s">
        <v>580</v>
      </c>
      <c r="G381" t="s">
        <v>581</v>
      </c>
      <c r="H381" s="1">
        <v>62458</v>
      </c>
      <c r="I381" s="1"/>
      <c r="J381" s="2">
        <v>6598</v>
      </c>
      <c r="K381" t="s">
        <v>15</v>
      </c>
      <c r="L381" t="str">
        <f>INDEX(Dispodaten2!B:B,MATCH(C381,Dispodaten2!A:A,0))</f>
        <v>PD</v>
      </c>
    </row>
    <row r="382" spans="1:12" ht="13.5" hidden="1" x14ac:dyDescent="0.2">
      <c r="A382" t="s">
        <v>0</v>
      </c>
      <c r="B382" t="s">
        <v>1</v>
      </c>
      <c r="C382" t="s">
        <v>582</v>
      </c>
      <c r="D382" s="10" t="e">
        <f>INDEX(#REF!,MATCH(Validade!C382,#REF!,0))</f>
        <v>#REF!</v>
      </c>
      <c r="E382" s="10" t="e">
        <f>INDEX(#REF!,MATCH(Validade!C382,#REF!,0))</f>
        <v>#REF!</v>
      </c>
      <c r="F382" t="s">
        <v>583</v>
      </c>
      <c r="G382" t="s">
        <v>584</v>
      </c>
      <c r="H382" s="1">
        <v>62458</v>
      </c>
      <c r="I382" s="1"/>
      <c r="J382" s="2">
        <v>1099</v>
      </c>
      <c r="K382" t="s">
        <v>15</v>
      </c>
      <c r="L382" t="str">
        <f>INDEX(Dispodaten2!B:B,MATCH(C382,Dispodaten2!A:A,0))</f>
        <v>PD</v>
      </c>
    </row>
    <row r="383" spans="1:12" ht="13.5" hidden="1" x14ac:dyDescent="0.2">
      <c r="A383" t="s">
        <v>0</v>
      </c>
      <c r="B383" t="s">
        <v>1</v>
      </c>
      <c r="C383" t="s">
        <v>190</v>
      </c>
      <c r="D383" s="10" t="e">
        <f>INDEX(#REF!,MATCH(Validade!C383,#REF!,0))</f>
        <v>#REF!</v>
      </c>
      <c r="E383" s="10" t="e">
        <f>INDEX(#REF!,MATCH(Validade!C383,#REF!,0))</f>
        <v>#REF!</v>
      </c>
      <c r="F383" t="s">
        <v>191</v>
      </c>
      <c r="G383" t="s">
        <v>192</v>
      </c>
      <c r="H383" s="1"/>
      <c r="I383" s="1"/>
      <c r="J383" s="2">
        <v>22000</v>
      </c>
      <c r="K383" t="s">
        <v>15</v>
      </c>
      <c r="L383" t="str">
        <f>INDEX(Dispodaten2!B:B,MATCH(C383,Dispodaten2!A:A,0))</f>
        <v>PD</v>
      </c>
    </row>
    <row r="384" spans="1:12" ht="13.5" hidden="1" x14ac:dyDescent="0.2">
      <c r="A384" t="s">
        <v>0</v>
      </c>
      <c r="B384" t="s">
        <v>1</v>
      </c>
      <c r="C384" t="s">
        <v>193</v>
      </c>
      <c r="D384" s="10" t="e">
        <f>INDEX(#REF!,MATCH(Validade!C384,#REF!,0))</f>
        <v>#REF!</v>
      </c>
      <c r="E384" s="10" t="e">
        <f>INDEX(#REF!,MATCH(Validade!C384,#REF!,0))</f>
        <v>#REF!</v>
      </c>
      <c r="F384" t="s">
        <v>194</v>
      </c>
      <c r="G384" t="s">
        <v>195</v>
      </c>
      <c r="H384" s="1">
        <v>62458</v>
      </c>
      <c r="I384" s="1"/>
      <c r="J384" s="2">
        <v>9900</v>
      </c>
      <c r="K384" t="s">
        <v>15</v>
      </c>
      <c r="L384" t="str">
        <f>INDEX(Dispodaten2!B:B,MATCH(C384,Dispodaten2!A:A,0))</f>
        <v>PD</v>
      </c>
    </row>
    <row r="385" spans="1:12" ht="13.5" hidden="1" x14ac:dyDescent="0.2">
      <c r="A385" t="s">
        <v>0</v>
      </c>
      <c r="B385" t="s">
        <v>1</v>
      </c>
      <c r="C385" t="s">
        <v>157</v>
      </c>
      <c r="D385" s="10" t="e">
        <f>INDEX(#REF!,MATCH(Validade!C385,#REF!,0))</f>
        <v>#REF!</v>
      </c>
      <c r="E385" s="10" t="e">
        <f>INDEX(#REF!,MATCH(Validade!C385,#REF!,0))</f>
        <v>#REF!</v>
      </c>
      <c r="F385" t="s">
        <v>158</v>
      </c>
      <c r="G385" t="s">
        <v>159</v>
      </c>
      <c r="H385" s="1">
        <v>62458</v>
      </c>
      <c r="I385" s="1"/>
      <c r="J385" s="2">
        <v>5500</v>
      </c>
      <c r="K385" t="s">
        <v>15</v>
      </c>
      <c r="L385" t="str">
        <f>INDEX(Dispodaten2!B:B,MATCH(C385,Dispodaten2!A:A,0))</f>
        <v>PD</v>
      </c>
    </row>
    <row r="386" spans="1:12" ht="13.5" hidden="1" x14ac:dyDescent="0.2">
      <c r="A386" t="s">
        <v>0</v>
      </c>
      <c r="B386" t="s">
        <v>1</v>
      </c>
      <c r="C386" t="s">
        <v>160</v>
      </c>
      <c r="D386" s="10" t="e">
        <f>INDEX(#REF!,MATCH(Validade!C386,#REF!,0))</f>
        <v>#REF!</v>
      </c>
      <c r="E386" s="10" t="e">
        <f>INDEX(#REF!,MATCH(Validade!C386,#REF!,0))</f>
        <v>#REF!</v>
      </c>
      <c r="F386" t="s">
        <v>161</v>
      </c>
      <c r="G386" t="s">
        <v>162</v>
      </c>
      <c r="H386" s="1">
        <v>62458</v>
      </c>
      <c r="I386" s="1">
        <v>44659</v>
      </c>
      <c r="J386" s="2">
        <v>1</v>
      </c>
      <c r="K386" t="s">
        <v>15</v>
      </c>
      <c r="L386" t="str">
        <f>INDEX(Dispodaten2!B:B,MATCH(C386,Dispodaten2!A:A,0))</f>
        <v>PD</v>
      </c>
    </row>
    <row r="387" spans="1:12" ht="13.5" hidden="1" x14ac:dyDescent="0.2">
      <c r="A387" t="s">
        <v>0</v>
      </c>
      <c r="B387" t="s">
        <v>1</v>
      </c>
      <c r="C387" t="s">
        <v>646</v>
      </c>
      <c r="D387" s="10" t="e">
        <f>INDEX(#REF!,MATCH(Validade!C387,#REF!,0))</f>
        <v>#REF!</v>
      </c>
      <c r="E387" s="10" t="e">
        <f>INDEX(#REF!,MATCH(Validade!C387,#REF!,0))</f>
        <v>#REF!</v>
      </c>
      <c r="F387" t="s">
        <v>647</v>
      </c>
      <c r="G387" t="s">
        <v>139</v>
      </c>
      <c r="H387" s="1">
        <v>62458</v>
      </c>
      <c r="I387" s="1"/>
      <c r="J387" s="2">
        <v>9900</v>
      </c>
      <c r="K387" t="s">
        <v>15</v>
      </c>
      <c r="L387" t="str">
        <f>INDEX(Dispodaten2!B:B,MATCH(C387,Dispodaten2!A:A,0))</f>
        <v>PD</v>
      </c>
    </row>
    <row r="388" spans="1:12" ht="13.5" hidden="1" x14ac:dyDescent="0.2">
      <c r="A388" t="s">
        <v>0</v>
      </c>
      <c r="B388" t="s">
        <v>1</v>
      </c>
      <c r="C388" t="s">
        <v>648</v>
      </c>
      <c r="D388" s="10" t="e">
        <f>INDEX(#REF!,MATCH(Validade!C388,#REF!,0))</f>
        <v>#REF!</v>
      </c>
      <c r="E388" s="10" t="e">
        <f>INDEX(#REF!,MATCH(Validade!C388,#REF!,0))</f>
        <v>#REF!</v>
      </c>
      <c r="F388" t="s">
        <v>649</v>
      </c>
      <c r="G388" t="s">
        <v>650</v>
      </c>
      <c r="H388" s="1">
        <v>62458</v>
      </c>
      <c r="I388" s="1"/>
      <c r="J388" s="2">
        <v>24850</v>
      </c>
      <c r="K388" t="s">
        <v>15</v>
      </c>
      <c r="L388" t="str">
        <f>INDEX(Dispodaten2!B:B,MATCH(C388,Dispodaten2!A:A,0))</f>
        <v>PD</v>
      </c>
    </row>
    <row r="389" spans="1:12" ht="13.5" hidden="1" x14ac:dyDescent="0.2">
      <c r="A389" t="s">
        <v>0</v>
      </c>
      <c r="B389" t="s">
        <v>1</v>
      </c>
      <c r="C389" t="s">
        <v>246</v>
      </c>
      <c r="D389" s="10" t="e">
        <f>INDEX(#REF!,MATCH(Validade!C389,#REF!,0))</f>
        <v>#REF!</v>
      </c>
      <c r="E389" s="10" t="e">
        <f>INDEX(#REF!,MATCH(Validade!C389,#REF!,0))</f>
        <v>#REF!</v>
      </c>
      <c r="F389" t="s">
        <v>247</v>
      </c>
      <c r="G389" t="s">
        <v>248</v>
      </c>
      <c r="H389" s="1">
        <v>62458</v>
      </c>
      <c r="I389" s="1"/>
      <c r="J389" s="2">
        <v>12099</v>
      </c>
      <c r="K389" t="s">
        <v>15</v>
      </c>
      <c r="L389" t="str">
        <f>INDEX(Dispodaten2!B:B,MATCH(C389,Dispodaten2!A:A,0))</f>
        <v>PD</v>
      </c>
    </row>
    <row r="390" spans="1:12" ht="13.5" hidden="1" x14ac:dyDescent="0.2">
      <c r="A390" t="s">
        <v>0</v>
      </c>
      <c r="B390" t="s">
        <v>1</v>
      </c>
      <c r="C390" t="s">
        <v>540</v>
      </c>
      <c r="D390" s="10" t="e">
        <f>INDEX(#REF!,MATCH(Validade!C390,#REF!,0))</f>
        <v>#REF!</v>
      </c>
      <c r="E390" s="10" t="e">
        <f>INDEX(#REF!,MATCH(Validade!C390,#REF!,0))</f>
        <v>#REF!</v>
      </c>
      <c r="F390" t="s">
        <v>541</v>
      </c>
      <c r="G390" t="s">
        <v>542</v>
      </c>
      <c r="H390" s="1">
        <v>62458</v>
      </c>
      <c r="I390" s="1"/>
      <c r="J390" s="2">
        <v>1000</v>
      </c>
      <c r="K390" t="s">
        <v>15</v>
      </c>
      <c r="L390" t="str">
        <f>INDEX(Dispodaten2!B:B,MATCH(C390,Dispodaten2!A:A,0))</f>
        <v>PD</v>
      </c>
    </row>
    <row r="391" spans="1:12" ht="13.5" hidden="1" x14ac:dyDescent="0.2">
      <c r="A391" t="s">
        <v>0</v>
      </c>
      <c r="B391" t="s">
        <v>1</v>
      </c>
      <c r="C391" t="s">
        <v>199</v>
      </c>
      <c r="D391" s="10" t="e">
        <f>INDEX(#REF!,MATCH(Validade!C391,#REF!,0))</f>
        <v>#REF!</v>
      </c>
      <c r="E391" s="10" t="e">
        <f>INDEX(#REF!,MATCH(Validade!C391,#REF!,0))</f>
        <v>#REF!</v>
      </c>
      <c r="F391" t="s">
        <v>200</v>
      </c>
      <c r="G391" t="s">
        <v>186</v>
      </c>
      <c r="H391" s="1">
        <v>62458</v>
      </c>
      <c r="I391" s="1"/>
      <c r="J391" s="2">
        <v>200</v>
      </c>
      <c r="K391" t="s">
        <v>15</v>
      </c>
      <c r="L391" t="str">
        <f>INDEX(Dispodaten2!B:B,MATCH(C391,Dispodaten2!A:A,0))</f>
        <v>PD</v>
      </c>
    </row>
    <row r="392" spans="1:12" ht="13.5" hidden="1" x14ac:dyDescent="0.2">
      <c r="A392" t="s">
        <v>0</v>
      </c>
      <c r="B392" t="s">
        <v>1</v>
      </c>
      <c r="C392" t="s">
        <v>696</v>
      </c>
      <c r="D392" s="10" t="e">
        <f>INDEX(#REF!,MATCH(Validade!C392,#REF!,0))</f>
        <v>#REF!</v>
      </c>
      <c r="E392" s="10" t="e">
        <f>INDEX(#REF!,MATCH(Validade!C392,#REF!,0))</f>
        <v>#REF!</v>
      </c>
      <c r="F392" t="s">
        <v>697</v>
      </c>
      <c r="G392" t="s">
        <v>698</v>
      </c>
      <c r="H392" s="1">
        <v>62458</v>
      </c>
      <c r="I392" s="1"/>
      <c r="J392" s="2">
        <v>500</v>
      </c>
      <c r="K392" t="s">
        <v>15</v>
      </c>
      <c r="L392" t="str">
        <f>INDEX(Dispodaten2!B:B,MATCH(C392,Dispodaten2!A:A,0))</f>
        <v>PD</v>
      </c>
    </row>
    <row r="393" spans="1:12" ht="13.5" hidden="1" x14ac:dyDescent="0.2">
      <c r="A393" t="s">
        <v>0</v>
      </c>
      <c r="B393" t="s">
        <v>1</v>
      </c>
      <c r="C393" t="s">
        <v>660</v>
      </c>
      <c r="D393" s="10" t="e">
        <f>INDEX(#REF!,MATCH(Validade!C393,#REF!,0))</f>
        <v>#REF!</v>
      </c>
      <c r="E393" s="10" t="e">
        <f>INDEX(#REF!,MATCH(Validade!C393,#REF!,0))</f>
        <v>#REF!</v>
      </c>
      <c r="F393" t="s">
        <v>661</v>
      </c>
      <c r="G393" t="s">
        <v>662</v>
      </c>
      <c r="H393" s="1">
        <v>62458</v>
      </c>
      <c r="I393" s="1">
        <v>44909</v>
      </c>
      <c r="J393" s="2">
        <v>17</v>
      </c>
      <c r="K393" t="s">
        <v>15</v>
      </c>
      <c r="L393" t="str">
        <f>INDEX(Dispodaten2!B:B,MATCH(C393,Dispodaten2!A:A,0))</f>
        <v>PD</v>
      </c>
    </row>
    <row r="394" spans="1:12" ht="13.5" hidden="1" x14ac:dyDescent="0.2">
      <c r="A394" t="s">
        <v>0</v>
      </c>
      <c r="B394" t="s">
        <v>1</v>
      </c>
      <c r="C394" t="s">
        <v>243</v>
      </c>
      <c r="D394" s="10" t="e">
        <f>INDEX(#REF!,MATCH(Validade!C394,#REF!,0))</f>
        <v>#REF!</v>
      </c>
      <c r="E394" s="10" t="e">
        <f>INDEX(#REF!,MATCH(Validade!C394,#REF!,0))</f>
        <v>#REF!</v>
      </c>
      <c r="F394" t="s">
        <v>244</v>
      </c>
      <c r="G394" t="s">
        <v>245</v>
      </c>
      <c r="H394" s="1">
        <v>62458</v>
      </c>
      <c r="I394" s="1"/>
      <c r="J394" s="2">
        <v>171</v>
      </c>
      <c r="K394" t="s">
        <v>15</v>
      </c>
      <c r="L394" t="str">
        <f>INDEX(Dispodaten2!B:B,MATCH(C394,Dispodaten2!A:A,0))</f>
        <v>PD</v>
      </c>
    </row>
    <row r="395" spans="1:12" ht="13.5" hidden="1" x14ac:dyDescent="0.2">
      <c r="A395" t="s">
        <v>0</v>
      </c>
      <c r="B395" t="s">
        <v>1</v>
      </c>
      <c r="C395" t="s">
        <v>663</v>
      </c>
      <c r="D395" s="10" t="e">
        <f>INDEX(#REF!,MATCH(Validade!C395,#REF!,0))</f>
        <v>#REF!</v>
      </c>
      <c r="E395" s="10" t="e">
        <f>INDEX(#REF!,MATCH(Validade!C395,#REF!,0))</f>
        <v>#REF!</v>
      </c>
      <c r="F395" t="s">
        <v>664</v>
      </c>
      <c r="G395" t="s">
        <v>665</v>
      </c>
      <c r="H395" s="1">
        <v>62458</v>
      </c>
      <c r="I395" s="1"/>
      <c r="J395" s="2">
        <v>108</v>
      </c>
      <c r="K395" t="s">
        <v>15</v>
      </c>
      <c r="L395" t="str">
        <f>INDEX(Dispodaten2!B:B,MATCH(C395,Dispodaten2!A:A,0))</f>
        <v>PD</v>
      </c>
    </row>
    <row r="396" spans="1:12" ht="13.5" hidden="1" x14ac:dyDescent="0.2">
      <c r="A396" t="s">
        <v>0</v>
      </c>
      <c r="B396" t="s">
        <v>1</v>
      </c>
      <c r="C396" t="s">
        <v>693</v>
      </c>
      <c r="D396" s="10" t="e">
        <f>INDEX(#REF!,MATCH(Validade!C396,#REF!,0))</f>
        <v>#REF!</v>
      </c>
      <c r="E396" s="10" t="e">
        <f>INDEX(#REF!,MATCH(Validade!C396,#REF!,0))</f>
        <v>#REF!</v>
      </c>
      <c r="F396" t="s">
        <v>694</v>
      </c>
      <c r="G396" t="s">
        <v>695</v>
      </c>
      <c r="H396" s="1">
        <v>62458</v>
      </c>
      <c r="I396" s="1"/>
      <c r="J396" s="2">
        <v>131</v>
      </c>
      <c r="K396" t="s">
        <v>15</v>
      </c>
      <c r="L396" t="str">
        <f>INDEX(Dispodaten2!B:B,MATCH(C396,Dispodaten2!A:A,0))</f>
        <v>PD</v>
      </c>
    </row>
    <row r="397" spans="1:12" ht="13.5" hidden="1" x14ac:dyDescent="0.2">
      <c r="A397" t="s">
        <v>0</v>
      </c>
      <c r="B397" t="s">
        <v>1</v>
      </c>
      <c r="C397" t="s">
        <v>675</v>
      </c>
      <c r="D397" s="10" t="e">
        <f>INDEX(#REF!,MATCH(Validade!C397,#REF!,0))</f>
        <v>#REF!</v>
      </c>
      <c r="E397" s="10" t="e">
        <f>INDEX(#REF!,MATCH(Validade!C397,#REF!,0))</f>
        <v>#REF!</v>
      </c>
      <c r="F397" t="s">
        <v>676</v>
      </c>
      <c r="G397" t="s">
        <v>677</v>
      </c>
      <c r="H397" s="1">
        <v>62458</v>
      </c>
      <c r="I397" s="1">
        <v>44763</v>
      </c>
      <c r="J397" s="2">
        <v>249</v>
      </c>
      <c r="K397" t="s">
        <v>15</v>
      </c>
      <c r="L397" t="str">
        <f>INDEX(Dispodaten2!B:B,MATCH(C397,Dispodaten2!A:A,0))</f>
        <v>PD</v>
      </c>
    </row>
    <row r="398" spans="1:12" ht="13.5" hidden="1" x14ac:dyDescent="0.2">
      <c r="A398" t="s">
        <v>0</v>
      </c>
      <c r="B398" t="s">
        <v>1</v>
      </c>
      <c r="C398" t="s">
        <v>13</v>
      </c>
      <c r="D398" s="10" t="e">
        <f>INDEX(#REF!,MATCH(Validade!C398,#REF!,0))</f>
        <v>#REF!</v>
      </c>
      <c r="E398" s="10" t="e">
        <f>INDEX(#REF!,MATCH(Validade!C398,#REF!,0))</f>
        <v>#REF!</v>
      </c>
      <c r="F398" t="s">
        <v>14</v>
      </c>
      <c r="G398" t="s">
        <v>16</v>
      </c>
      <c r="H398" s="1">
        <v>62458</v>
      </c>
      <c r="I398" s="1">
        <v>44764</v>
      </c>
      <c r="J398" s="2">
        <v>45</v>
      </c>
      <c r="K398" t="s">
        <v>15</v>
      </c>
      <c r="L398" t="str">
        <f>INDEX(Dispodaten2!B:B,MATCH(C398,Dispodaten2!A:A,0))</f>
        <v>PD</v>
      </c>
    </row>
    <row r="399" spans="1:12" ht="13.5" hidden="1" x14ac:dyDescent="0.2">
      <c r="A399" t="s">
        <v>0</v>
      </c>
      <c r="B399" t="s">
        <v>1</v>
      </c>
      <c r="C399" t="s">
        <v>196</v>
      </c>
      <c r="D399" s="10" t="e">
        <f>INDEX(#REF!,MATCH(Validade!C399,#REF!,0))</f>
        <v>#REF!</v>
      </c>
      <c r="E399" s="10" t="e">
        <f>INDEX(#REF!,MATCH(Validade!C399,#REF!,0))</f>
        <v>#REF!</v>
      </c>
      <c r="F399" t="s">
        <v>197</v>
      </c>
      <c r="G399" t="s">
        <v>198</v>
      </c>
      <c r="H399" s="1">
        <v>62458</v>
      </c>
      <c r="I399" s="1"/>
      <c r="J399" s="2">
        <v>10</v>
      </c>
      <c r="K399" t="s">
        <v>15</v>
      </c>
      <c r="L399" t="str">
        <f>INDEX(Dispodaten2!B:B,MATCH(C399,Dispodaten2!A:A,0))</f>
        <v>PD</v>
      </c>
    </row>
    <row r="400" spans="1:12" ht="13.5" hidden="1" x14ac:dyDescent="0.2">
      <c r="A400" t="s">
        <v>0</v>
      </c>
      <c r="B400" t="s">
        <v>1</v>
      </c>
      <c r="C400" t="s">
        <v>279</v>
      </c>
      <c r="D400" s="10" t="e">
        <f>INDEX(#REF!,MATCH(Validade!C400,#REF!,0))</f>
        <v>#REF!</v>
      </c>
      <c r="E400" s="10" t="e">
        <f>INDEX(#REF!,MATCH(Validade!C400,#REF!,0))</f>
        <v>#REF!</v>
      </c>
      <c r="F400" t="s">
        <v>280</v>
      </c>
      <c r="G400" t="s">
        <v>281</v>
      </c>
      <c r="H400" s="1">
        <v>62458</v>
      </c>
      <c r="I400" s="1"/>
      <c r="J400" s="2">
        <v>200</v>
      </c>
      <c r="K400" t="s">
        <v>15</v>
      </c>
      <c r="L400" t="str">
        <f>INDEX(Dispodaten2!B:B,MATCH(C400,Dispodaten2!A:A,0))</f>
        <v>PD</v>
      </c>
    </row>
    <row r="401" spans="1:12" ht="13.5" hidden="1" x14ac:dyDescent="0.2">
      <c r="A401" t="s">
        <v>0</v>
      </c>
      <c r="B401" t="s">
        <v>1</v>
      </c>
      <c r="C401" t="s">
        <v>166</v>
      </c>
      <c r="D401" s="10" t="e">
        <f>INDEX(#REF!,MATCH(Validade!C401,#REF!,0))</f>
        <v>#REF!</v>
      </c>
      <c r="E401" s="10" t="e">
        <f>INDEX(#REF!,MATCH(Validade!C401,#REF!,0))</f>
        <v>#REF!</v>
      </c>
      <c r="F401" t="s">
        <v>167</v>
      </c>
      <c r="G401" t="s">
        <v>169</v>
      </c>
      <c r="H401" s="1"/>
      <c r="I401" s="1"/>
      <c r="J401" s="2">
        <v>377</v>
      </c>
      <c r="K401" t="s">
        <v>15</v>
      </c>
      <c r="L401" t="str">
        <f>INDEX(Dispodaten2!B:B,MATCH(C401,Dispodaten2!A:A,0))</f>
        <v>PD</v>
      </c>
    </row>
    <row r="402" spans="1:12" ht="13.5" hidden="1" x14ac:dyDescent="0.2">
      <c r="A402" t="s">
        <v>0</v>
      </c>
      <c r="B402" t="s">
        <v>1</v>
      </c>
      <c r="C402" t="s">
        <v>222</v>
      </c>
      <c r="D402" s="10" t="e">
        <f>INDEX(#REF!,MATCH(Validade!C402,#REF!,0))</f>
        <v>#REF!</v>
      </c>
      <c r="E402" s="10" t="e">
        <f>INDEX(#REF!,MATCH(Validade!C402,#REF!,0))</f>
        <v>#REF!</v>
      </c>
      <c r="F402" t="s">
        <v>223</v>
      </c>
      <c r="G402" t="s">
        <v>224</v>
      </c>
      <c r="H402" s="1">
        <v>62458</v>
      </c>
      <c r="I402" s="1"/>
      <c r="J402" s="2">
        <v>3</v>
      </c>
      <c r="K402" t="s">
        <v>15</v>
      </c>
      <c r="L402" t="str">
        <f>INDEX(Dispodaten2!B:B,MATCH(C402,Dispodaten2!A:A,0))</f>
        <v>PD</v>
      </c>
    </row>
    <row r="403" spans="1:12" ht="13.5" hidden="1" x14ac:dyDescent="0.2">
      <c r="A403" t="s">
        <v>0</v>
      </c>
      <c r="B403" t="s">
        <v>1</v>
      </c>
      <c r="C403" t="s">
        <v>267</v>
      </c>
      <c r="D403" s="10" t="e">
        <f>INDEX(#REF!,MATCH(Validade!C403,#REF!,0))</f>
        <v>#REF!</v>
      </c>
      <c r="E403" s="10" t="e">
        <f>INDEX(#REF!,MATCH(Validade!C403,#REF!,0))</f>
        <v>#REF!</v>
      </c>
      <c r="F403" t="s">
        <v>268</v>
      </c>
      <c r="G403" t="s">
        <v>269</v>
      </c>
      <c r="H403" s="1">
        <v>62458</v>
      </c>
      <c r="I403" s="1"/>
      <c r="J403" s="2">
        <v>10000</v>
      </c>
      <c r="K403" t="s">
        <v>15</v>
      </c>
      <c r="L403" t="str">
        <f>INDEX(Dispodaten2!B:B,MATCH(C403,Dispodaten2!A:A,0))</f>
        <v>PD</v>
      </c>
    </row>
    <row r="404" spans="1:12" ht="13.5" hidden="1" x14ac:dyDescent="0.2">
      <c r="A404" t="s">
        <v>0</v>
      </c>
      <c r="B404" t="s">
        <v>1</v>
      </c>
      <c r="C404" t="s">
        <v>550</v>
      </c>
      <c r="D404" s="10" t="e">
        <f>INDEX(#REF!,MATCH(Validade!C404,#REF!,0))</f>
        <v>#REF!</v>
      </c>
      <c r="E404" s="10" t="e">
        <f>INDEX(#REF!,MATCH(Validade!C404,#REF!,0))</f>
        <v>#REF!</v>
      </c>
      <c r="F404" t="s">
        <v>268</v>
      </c>
      <c r="G404" t="s">
        <v>551</v>
      </c>
      <c r="H404" s="1">
        <v>62458</v>
      </c>
      <c r="I404" s="1"/>
      <c r="J404" s="2">
        <v>3300</v>
      </c>
      <c r="K404" t="s">
        <v>15</v>
      </c>
      <c r="L404" t="str">
        <f>INDEX(Dispodaten2!B:B,MATCH(C404,Dispodaten2!A:A,0))</f>
        <v>PD</v>
      </c>
    </row>
    <row r="405" spans="1:12" ht="13.5" hidden="1" x14ac:dyDescent="0.2">
      <c r="A405" t="s">
        <v>0</v>
      </c>
      <c r="B405" t="s">
        <v>1</v>
      </c>
      <c r="C405" t="s">
        <v>585</v>
      </c>
      <c r="D405" s="10" t="e">
        <f>INDEX(#REF!,MATCH(Validade!C405,#REF!,0))</f>
        <v>#REF!</v>
      </c>
      <c r="E405" s="10" t="e">
        <f>INDEX(#REF!,MATCH(Validade!C405,#REF!,0))</f>
        <v>#REF!</v>
      </c>
      <c r="F405" t="s">
        <v>586</v>
      </c>
      <c r="G405" t="s">
        <v>587</v>
      </c>
      <c r="H405" s="1">
        <v>62458</v>
      </c>
      <c r="I405" s="1"/>
      <c r="J405" s="2">
        <v>500</v>
      </c>
      <c r="K405" t="s">
        <v>15</v>
      </c>
      <c r="L405" t="str">
        <f>INDEX(Dispodaten2!B:B,MATCH(C405,Dispodaten2!A:A,0))</f>
        <v>PD</v>
      </c>
    </row>
    <row r="406" spans="1:12" ht="13.5" hidden="1" x14ac:dyDescent="0.2">
      <c r="A406" t="s">
        <v>0</v>
      </c>
      <c r="B406" t="s">
        <v>1</v>
      </c>
      <c r="C406" t="s">
        <v>564</v>
      </c>
      <c r="D406" s="10" t="e">
        <f>INDEX(#REF!,MATCH(Validade!C406,#REF!,0))</f>
        <v>#REF!</v>
      </c>
      <c r="E406" s="10" t="e">
        <f>INDEX(#REF!,MATCH(Validade!C406,#REF!,0))</f>
        <v>#REF!</v>
      </c>
      <c r="F406" t="s">
        <v>565</v>
      </c>
      <c r="G406" t="s">
        <v>566</v>
      </c>
      <c r="H406" s="1">
        <v>62458</v>
      </c>
      <c r="I406" s="1"/>
      <c r="J406" s="2">
        <v>300</v>
      </c>
      <c r="K406" t="s">
        <v>15</v>
      </c>
      <c r="L406" t="str">
        <f>INDEX(Dispodaten2!B:B,MATCH(C406,Dispodaten2!A:A,0))</f>
        <v>PD</v>
      </c>
    </row>
    <row r="407" spans="1:12" ht="13.5" hidden="1" x14ac:dyDescent="0.2">
      <c r="A407" t="s">
        <v>0</v>
      </c>
      <c r="B407" t="s">
        <v>1</v>
      </c>
      <c r="C407" t="s">
        <v>567</v>
      </c>
      <c r="D407" s="10" t="e">
        <f>INDEX(#REF!,MATCH(Validade!C407,#REF!,0))</f>
        <v>#REF!</v>
      </c>
      <c r="E407" s="10" t="e">
        <f>INDEX(#REF!,MATCH(Validade!C407,#REF!,0))</f>
        <v>#REF!</v>
      </c>
      <c r="F407" t="s">
        <v>568</v>
      </c>
      <c r="G407" t="s">
        <v>569</v>
      </c>
      <c r="H407" s="1">
        <v>62458</v>
      </c>
      <c r="I407" s="1"/>
      <c r="J407" s="2">
        <v>500</v>
      </c>
      <c r="K407" t="s">
        <v>15</v>
      </c>
      <c r="L407" t="str">
        <f>INDEX(Dispodaten2!B:B,MATCH(C407,Dispodaten2!A:A,0))</f>
        <v>PD</v>
      </c>
    </row>
    <row r="408" spans="1:12" ht="13.5" hidden="1" x14ac:dyDescent="0.2">
      <c r="A408" t="s">
        <v>0</v>
      </c>
      <c r="B408" t="s">
        <v>1</v>
      </c>
      <c r="C408" t="s">
        <v>591</v>
      </c>
      <c r="D408" s="10" t="e">
        <f>INDEX(#REF!,MATCH(Validade!C408,#REF!,0))</f>
        <v>#REF!</v>
      </c>
      <c r="E408" s="10" t="e">
        <f>INDEX(#REF!,MATCH(Validade!C408,#REF!,0))</f>
        <v>#REF!</v>
      </c>
      <c r="F408" t="s">
        <v>592</v>
      </c>
      <c r="G408" t="s">
        <v>593</v>
      </c>
      <c r="H408" s="1">
        <v>62458</v>
      </c>
      <c r="I408" s="1"/>
      <c r="J408" s="2">
        <v>2500</v>
      </c>
      <c r="K408" t="s">
        <v>15</v>
      </c>
      <c r="L408" t="str">
        <f>INDEX(Dispodaten2!B:B,MATCH(C408,Dispodaten2!A:A,0))</f>
        <v>PD</v>
      </c>
    </row>
    <row r="409" spans="1:12" ht="13.5" hidden="1" x14ac:dyDescent="0.2">
      <c r="A409" t="s">
        <v>0</v>
      </c>
      <c r="B409" t="s">
        <v>1</v>
      </c>
      <c r="C409" t="s">
        <v>561</v>
      </c>
      <c r="D409" s="10" t="e">
        <f>INDEX(#REF!,MATCH(Validade!C409,#REF!,0))</f>
        <v>#REF!</v>
      </c>
      <c r="E409" s="10" t="e">
        <f>INDEX(#REF!,MATCH(Validade!C409,#REF!,0))</f>
        <v>#REF!</v>
      </c>
      <c r="F409" t="s">
        <v>562</v>
      </c>
      <c r="G409" t="s">
        <v>563</v>
      </c>
      <c r="H409" s="1">
        <v>62458</v>
      </c>
      <c r="I409" s="1"/>
      <c r="J409" s="2">
        <v>2714</v>
      </c>
      <c r="K409" t="s">
        <v>15</v>
      </c>
      <c r="L409" t="str">
        <f>INDEX(Dispodaten2!B:B,MATCH(C409,Dispodaten2!A:A,0))</f>
        <v>PD</v>
      </c>
    </row>
    <row r="410" spans="1:12" ht="13.5" hidden="1" x14ac:dyDescent="0.2">
      <c r="A410" t="s">
        <v>0</v>
      </c>
      <c r="B410" t="s">
        <v>1</v>
      </c>
      <c r="C410" t="s">
        <v>588</v>
      </c>
      <c r="D410" s="10" t="e">
        <f>INDEX(#REF!,MATCH(Validade!C410,#REF!,0))</f>
        <v>#REF!</v>
      </c>
      <c r="E410" s="10" t="e">
        <f>INDEX(#REF!,MATCH(Validade!C410,#REF!,0))</f>
        <v>#REF!</v>
      </c>
      <c r="F410" t="s">
        <v>589</v>
      </c>
      <c r="G410" t="s">
        <v>590</v>
      </c>
      <c r="H410" s="1">
        <v>62458</v>
      </c>
      <c r="I410" s="1"/>
      <c r="J410" s="2">
        <v>500</v>
      </c>
      <c r="K410" t="s">
        <v>15</v>
      </c>
      <c r="L410" t="str">
        <f>INDEX(Dispodaten2!B:B,MATCH(C410,Dispodaten2!A:A,0))</f>
        <v>PD</v>
      </c>
    </row>
    <row r="411" spans="1:12" ht="13.5" hidden="1" x14ac:dyDescent="0.2">
      <c r="A411" t="s">
        <v>0</v>
      </c>
      <c r="B411" t="s">
        <v>1</v>
      </c>
      <c r="C411" t="s">
        <v>657</v>
      </c>
      <c r="D411" s="10" t="e">
        <f>INDEX(#REF!,MATCH(Validade!C411,#REF!,0))</f>
        <v>#REF!</v>
      </c>
      <c r="E411" s="10" t="e">
        <f>INDEX(#REF!,MATCH(Validade!C411,#REF!,0))</f>
        <v>#REF!</v>
      </c>
      <c r="F411" t="s">
        <v>658</v>
      </c>
      <c r="G411" t="s">
        <v>659</v>
      </c>
      <c r="H411" s="1">
        <v>62458</v>
      </c>
      <c r="I411" s="1"/>
      <c r="J411" s="2">
        <v>500</v>
      </c>
      <c r="K411" t="s">
        <v>15</v>
      </c>
      <c r="L411" t="str">
        <f>INDEX(Dispodaten2!B:B,MATCH(C411,Dispodaten2!A:A,0))</f>
        <v>PD</v>
      </c>
    </row>
    <row r="412" spans="1:12" ht="13.5" hidden="1" x14ac:dyDescent="0.2">
      <c r="A412" t="s">
        <v>0</v>
      </c>
      <c r="B412" t="s">
        <v>1</v>
      </c>
      <c r="C412" t="s">
        <v>678</v>
      </c>
      <c r="D412" s="10" t="e">
        <f>INDEX(#REF!,MATCH(Validade!C412,#REF!,0))</f>
        <v>#REF!</v>
      </c>
      <c r="E412" s="10" t="e">
        <f>INDEX(#REF!,MATCH(Validade!C412,#REF!,0))</f>
        <v>#REF!</v>
      </c>
      <c r="F412" t="s">
        <v>679</v>
      </c>
      <c r="G412" t="s">
        <v>680</v>
      </c>
      <c r="H412" s="1">
        <v>62458</v>
      </c>
      <c r="I412" s="1"/>
      <c r="J412" s="2">
        <v>500</v>
      </c>
      <c r="K412" t="s">
        <v>15</v>
      </c>
      <c r="L412" t="str">
        <f>INDEX(Dispodaten2!B:B,MATCH(C412,Dispodaten2!A:A,0))</f>
        <v>PD</v>
      </c>
    </row>
    <row r="413" spans="1:12" ht="13.5" hidden="1" x14ac:dyDescent="0.2">
      <c r="A413" t="s">
        <v>0</v>
      </c>
      <c r="B413" t="s">
        <v>1</v>
      </c>
      <c r="C413" t="s">
        <v>187</v>
      </c>
      <c r="D413" s="10" t="e">
        <f>INDEX(#REF!,MATCH(Validade!C413,#REF!,0))</f>
        <v>#REF!</v>
      </c>
      <c r="E413" s="10" t="e">
        <f>INDEX(#REF!,MATCH(Validade!C413,#REF!,0))</f>
        <v>#REF!</v>
      </c>
      <c r="F413" t="s">
        <v>188</v>
      </c>
      <c r="G413" t="s">
        <v>189</v>
      </c>
      <c r="H413" s="1">
        <v>62458</v>
      </c>
      <c r="I413" s="1"/>
      <c r="J413" s="2">
        <v>500</v>
      </c>
      <c r="K413" t="s">
        <v>15</v>
      </c>
      <c r="L413" t="str">
        <f>INDEX(Dispodaten2!B:B,MATCH(C413,Dispodaten2!A:A,0))</f>
        <v>PD</v>
      </c>
    </row>
    <row r="414" spans="1:12" ht="13.5" hidden="1" x14ac:dyDescent="0.2">
      <c r="A414" t="s">
        <v>0</v>
      </c>
      <c r="B414" t="s">
        <v>1</v>
      </c>
      <c r="C414" t="s">
        <v>151</v>
      </c>
      <c r="D414" s="10" t="e">
        <f>INDEX(#REF!,MATCH(Validade!C414,#REF!,0))</f>
        <v>#REF!</v>
      </c>
      <c r="E414" s="10" t="e">
        <f>INDEX(#REF!,MATCH(Validade!C414,#REF!,0))</f>
        <v>#REF!</v>
      </c>
      <c r="F414" t="s">
        <v>152</v>
      </c>
      <c r="G414" t="s">
        <v>153</v>
      </c>
      <c r="H414" s="1">
        <v>62458</v>
      </c>
      <c r="I414" s="1">
        <v>44809</v>
      </c>
      <c r="J414" s="2">
        <v>3000</v>
      </c>
      <c r="K414" t="s">
        <v>15</v>
      </c>
      <c r="L414" t="str">
        <f>INDEX(Dispodaten2!B:B,MATCH(C414,Dispodaten2!A:A,0))</f>
        <v>PD</v>
      </c>
    </row>
    <row r="415" spans="1:12" ht="13.5" hidden="1" x14ac:dyDescent="0.2">
      <c r="A415" t="s">
        <v>0</v>
      </c>
      <c r="B415" t="s">
        <v>1</v>
      </c>
      <c r="C415" t="s">
        <v>154</v>
      </c>
      <c r="D415" s="10" t="e">
        <f>INDEX(#REF!,MATCH(Validade!C415,#REF!,0))</f>
        <v>#REF!</v>
      </c>
      <c r="E415" s="10" t="e">
        <f>INDEX(#REF!,MATCH(Validade!C415,#REF!,0))</f>
        <v>#REF!</v>
      </c>
      <c r="F415" t="s">
        <v>155</v>
      </c>
      <c r="G415" t="s">
        <v>156</v>
      </c>
      <c r="H415" s="1">
        <v>62458</v>
      </c>
      <c r="I415" s="1"/>
      <c r="J415" s="2">
        <v>3750</v>
      </c>
      <c r="K415" t="s">
        <v>15</v>
      </c>
      <c r="L415" t="str">
        <f>INDEX(Dispodaten2!B:B,MATCH(C415,Dispodaten2!A:A,0))</f>
        <v>PD</v>
      </c>
    </row>
    <row r="416" spans="1:12" ht="13.5" hidden="1" x14ac:dyDescent="0.2">
      <c r="A416" t="s">
        <v>0</v>
      </c>
      <c r="B416" t="s">
        <v>1</v>
      </c>
      <c r="C416" t="s">
        <v>264</v>
      </c>
      <c r="D416" s="10" t="e">
        <f>INDEX(#REF!,MATCH(Validade!C416,#REF!,0))</f>
        <v>#REF!</v>
      </c>
      <c r="E416" s="10" t="e">
        <f>INDEX(#REF!,MATCH(Validade!C416,#REF!,0))</f>
        <v>#REF!</v>
      </c>
      <c r="F416" t="s">
        <v>265</v>
      </c>
      <c r="G416" t="s">
        <v>266</v>
      </c>
      <c r="H416" s="1">
        <v>62458</v>
      </c>
      <c r="I416" s="1"/>
      <c r="J416" s="2">
        <v>19500</v>
      </c>
      <c r="K416" t="s">
        <v>15</v>
      </c>
      <c r="L416" t="str">
        <f>INDEX(Dispodaten2!B:B,MATCH(C416,Dispodaten2!A:A,0))</f>
        <v>PD</v>
      </c>
    </row>
    <row r="417" spans="1:12" ht="13.5" hidden="1" x14ac:dyDescent="0.2">
      <c r="A417" t="s">
        <v>0</v>
      </c>
      <c r="B417" t="s">
        <v>1</v>
      </c>
      <c r="C417" t="s">
        <v>261</v>
      </c>
      <c r="D417" s="10" t="e">
        <f>INDEX(#REF!,MATCH(Validade!C417,#REF!,0))</f>
        <v>#REF!</v>
      </c>
      <c r="E417" s="10" t="e">
        <f>INDEX(#REF!,MATCH(Validade!C417,#REF!,0))</f>
        <v>#REF!</v>
      </c>
      <c r="F417" t="s">
        <v>262</v>
      </c>
      <c r="G417" t="s">
        <v>263</v>
      </c>
      <c r="H417" s="1">
        <v>62458</v>
      </c>
      <c r="I417" s="1"/>
      <c r="J417" s="2">
        <v>4000</v>
      </c>
      <c r="K417" t="s">
        <v>15</v>
      </c>
      <c r="L417" t="str">
        <f>INDEX(Dispodaten2!B:B,MATCH(C417,Dispodaten2!A:A,0))</f>
        <v>PD</v>
      </c>
    </row>
    <row r="418" spans="1:12" ht="13.5" hidden="1" x14ac:dyDescent="0.2">
      <c r="A418" t="s">
        <v>0</v>
      </c>
      <c r="B418" t="s">
        <v>1</v>
      </c>
      <c r="C418" t="s">
        <v>573</v>
      </c>
      <c r="D418" s="10" t="e">
        <f>INDEX(#REF!,MATCH(Validade!C418,#REF!,0))</f>
        <v>#REF!</v>
      </c>
      <c r="E418" s="10" t="e">
        <f>INDEX(#REF!,MATCH(Validade!C418,#REF!,0))</f>
        <v>#REF!</v>
      </c>
      <c r="F418" t="s">
        <v>574</v>
      </c>
      <c r="G418" t="s">
        <v>575</v>
      </c>
      <c r="H418" s="1">
        <v>62458</v>
      </c>
      <c r="I418" s="1"/>
      <c r="J418" s="2">
        <v>8000</v>
      </c>
      <c r="K418" t="s">
        <v>15</v>
      </c>
      <c r="L418" t="str">
        <f>INDEX(Dispodaten2!B:B,MATCH(C418,Dispodaten2!A:A,0))</f>
        <v>PD</v>
      </c>
    </row>
    <row r="419" spans="1:12" ht="13.5" hidden="1" x14ac:dyDescent="0.2">
      <c r="A419" t="s">
        <v>0</v>
      </c>
      <c r="B419" t="s">
        <v>1</v>
      </c>
      <c r="C419" t="s">
        <v>252</v>
      </c>
      <c r="D419" s="10" t="e">
        <f>INDEX(#REF!,MATCH(Validade!C419,#REF!,0))</f>
        <v>#REF!</v>
      </c>
      <c r="E419" s="10" t="e">
        <f>INDEX(#REF!,MATCH(Validade!C419,#REF!,0))</f>
        <v>#REF!</v>
      </c>
      <c r="F419" t="s">
        <v>253</v>
      </c>
      <c r="G419" t="s">
        <v>254</v>
      </c>
      <c r="H419" s="1">
        <v>62458</v>
      </c>
      <c r="I419" s="1"/>
      <c r="J419" s="2">
        <v>15000</v>
      </c>
      <c r="K419" t="s">
        <v>15</v>
      </c>
      <c r="L419" t="str">
        <f>INDEX(Dispodaten2!B:B,MATCH(C419,Dispodaten2!A:A,0))</f>
        <v>PD</v>
      </c>
    </row>
    <row r="420" spans="1:12" ht="13.5" hidden="1" x14ac:dyDescent="0.2">
      <c r="A420" t="s">
        <v>0</v>
      </c>
      <c r="B420" t="s">
        <v>1</v>
      </c>
      <c r="C420" t="s">
        <v>255</v>
      </c>
      <c r="D420" s="10" t="e">
        <f>INDEX(#REF!,MATCH(Validade!C420,#REF!,0))</f>
        <v>#REF!</v>
      </c>
      <c r="E420" s="10" t="e">
        <f>INDEX(#REF!,MATCH(Validade!C420,#REF!,0))</f>
        <v>#REF!</v>
      </c>
      <c r="F420" t="s">
        <v>256</v>
      </c>
      <c r="G420" t="s">
        <v>257</v>
      </c>
      <c r="H420" s="1">
        <v>62458</v>
      </c>
      <c r="I420" s="1"/>
      <c r="J420" s="2">
        <v>2000</v>
      </c>
      <c r="K420" t="s">
        <v>15</v>
      </c>
      <c r="L420" t="str">
        <f>INDEX(Dispodaten2!B:B,MATCH(C420,Dispodaten2!A:A,0))</f>
        <v>PD</v>
      </c>
    </row>
    <row r="421" spans="1:12" ht="13.5" hidden="1" x14ac:dyDescent="0.2">
      <c r="A421" t="s">
        <v>0</v>
      </c>
      <c r="B421" t="s">
        <v>1</v>
      </c>
      <c r="C421" t="s">
        <v>538</v>
      </c>
      <c r="D421" s="10" t="e">
        <f>INDEX(#REF!,MATCH(Validade!C421,#REF!,0))</f>
        <v>#REF!</v>
      </c>
      <c r="E421" s="10" t="e">
        <f>INDEX(#REF!,MATCH(Validade!C421,#REF!,0))</f>
        <v>#REF!</v>
      </c>
      <c r="F421" t="s">
        <v>256</v>
      </c>
      <c r="G421" t="s">
        <v>539</v>
      </c>
      <c r="H421" s="1">
        <v>62458</v>
      </c>
      <c r="I421" s="1"/>
      <c r="J421" s="2">
        <v>500</v>
      </c>
      <c r="K421" t="s">
        <v>15</v>
      </c>
      <c r="L421" t="str">
        <f>INDEX(Dispodaten2!B:B,MATCH(C421,Dispodaten2!A:A,0))</f>
        <v>ND</v>
      </c>
    </row>
    <row r="422" spans="1:12" ht="13.5" hidden="1" x14ac:dyDescent="0.2">
      <c r="A422" t="s">
        <v>0</v>
      </c>
      <c r="B422" t="s">
        <v>1</v>
      </c>
      <c r="C422" t="s">
        <v>570</v>
      </c>
      <c r="D422" s="10" t="e">
        <f>INDEX(#REF!,MATCH(Validade!C422,#REF!,0))</f>
        <v>#REF!</v>
      </c>
      <c r="E422" s="10" t="e">
        <f>INDEX(#REF!,MATCH(Validade!C422,#REF!,0))</f>
        <v>#REF!</v>
      </c>
      <c r="F422" t="s">
        <v>571</v>
      </c>
      <c r="G422" t="s">
        <v>572</v>
      </c>
      <c r="H422" s="1">
        <v>62458</v>
      </c>
      <c r="I422" s="1"/>
      <c r="J422" s="2">
        <v>1288</v>
      </c>
      <c r="K422" t="s">
        <v>15</v>
      </c>
      <c r="L422" t="str">
        <f>INDEX(Dispodaten2!B:B,MATCH(C422,Dispodaten2!A:A,0))</f>
        <v>PD</v>
      </c>
    </row>
    <row r="423" spans="1:12" ht="13.5" hidden="1" x14ac:dyDescent="0.2">
      <c r="A423" t="s">
        <v>0</v>
      </c>
      <c r="B423" t="s">
        <v>1</v>
      </c>
      <c r="C423" t="s">
        <v>258</v>
      </c>
      <c r="D423" s="10" t="e">
        <f>INDEX(#REF!,MATCH(Validade!C423,#REF!,0))</f>
        <v>#REF!</v>
      </c>
      <c r="E423" s="10" t="e">
        <f>INDEX(#REF!,MATCH(Validade!C423,#REF!,0))</f>
        <v>#REF!</v>
      </c>
      <c r="F423" t="s">
        <v>259</v>
      </c>
      <c r="G423" t="s">
        <v>260</v>
      </c>
      <c r="H423" s="1">
        <v>62458</v>
      </c>
      <c r="I423" s="1"/>
      <c r="J423" s="2">
        <v>1000</v>
      </c>
      <c r="K423" t="s">
        <v>15</v>
      </c>
      <c r="L423" t="str">
        <f>INDEX(Dispodaten2!B:B,MATCH(C423,Dispodaten2!A:A,0))</f>
        <v>PD</v>
      </c>
    </row>
    <row r="424" spans="1:12" ht="13.5" hidden="1" x14ac:dyDescent="0.2">
      <c r="A424" t="s">
        <v>0</v>
      </c>
      <c r="B424" t="s">
        <v>1</v>
      </c>
      <c r="C424" t="s">
        <v>654</v>
      </c>
      <c r="D424" s="10" t="e">
        <f>INDEX(#REF!,MATCH(Validade!C424,#REF!,0))</f>
        <v>#REF!</v>
      </c>
      <c r="E424" s="10" t="e">
        <f>INDEX(#REF!,MATCH(Validade!C424,#REF!,0))</f>
        <v>#REF!</v>
      </c>
      <c r="F424" t="s">
        <v>655</v>
      </c>
      <c r="G424" t="s">
        <v>656</v>
      </c>
      <c r="H424" s="1">
        <v>62458</v>
      </c>
      <c r="I424" s="1"/>
      <c r="J424" s="2">
        <v>2500</v>
      </c>
      <c r="K424" t="s">
        <v>15</v>
      </c>
      <c r="L424" t="str">
        <f>INDEX(Dispodaten2!B:B,MATCH(C424,Dispodaten2!A:A,0))</f>
        <v>PD</v>
      </c>
    </row>
    <row r="425" spans="1:12" ht="13.5" hidden="1" x14ac:dyDescent="0.2">
      <c r="A425" t="s">
        <v>0</v>
      </c>
      <c r="B425" t="s">
        <v>1</v>
      </c>
      <c r="C425" t="s">
        <v>651</v>
      </c>
      <c r="D425" s="10" t="e">
        <f>INDEX(#REF!,MATCH(Validade!C425,#REF!,0))</f>
        <v>#REF!</v>
      </c>
      <c r="E425" s="10" t="e">
        <f>INDEX(#REF!,MATCH(Validade!C425,#REF!,0))</f>
        <v>#REF!</v>
      </c>
      <c r="F425" t="s">
        <v>652</v>
      </c>
      <c r="G425" t="s">
        <v>653</v>
      </c>
      <c r="H425" s="1">
        <v>62458</v>
      </c>
      <c r="I425" s="1"/>
      <c r="J425" s="2">
        <v>9500</v>
      </c>
      <c r="K425" t="s">
        <v>15</v>
      </c>
      <c r="L425" t="str">
        <f>INDEX(Dispodaten2!B:B,MATCH(C425,Dispodaten2!A:A,0))</f>
        <v>PD</v>
      </c>
    </row>
    <row r="426" spans="1:12" ht="13.5" hidden="1" x14ac:dyDescent="0.2">
      <c r="A426" t="s">
        <v>0</v>
      </c>
      <c r="B426" t="s">
        <v>1</v>
      </c>
      <c r="C426" t="s">
        <v>666</v>
      </c>
      <c r="D426" s="10" t="e">
        <f>INDEX(#REF!,MATCH(Validade!C426,#REF!,0))</f>
        <v>#REF!</v>
      </c>
      <c r="E426" s="10" t="e">
        <f>INDEX(#REF!,MATCH(Validade!C426,#REF!,0))</f>
        <v>#REF!</v>
      </c>
      <c r="F426" t="s">
        <v>667</v>
      </c>
      <c r="G426" t="s">
        <v>668</v>
      </c>
      <c r="H426" s="1">
        <v>62458</v>
      </c>
      <c r="I426" s="1"/>
      <c r="J426" s="2">
        <v>2000</v>
      </c>
      <c r="K426" t="s">
        <v>15</v>
      </c>
      <c r="L426" t="str">
        <f>INDEX(Dispodaten2!B:B,MATCH(C426,Dispodaten2!A:A,0))</f>
        <v>PD</v>
      </c>
    </row>
    <row r="427" spans="1:12" ht="13.5" hidden="1" x14ac:dyDescent="0.2">
      <c r="A427" t="s">
        <v>0</v>
      </c>
      <c r="B427" t="s">
        <v>1</v>
      </c>
      <c r="C427" t="s">
        <v>672</v>
      </c>
      <c r="D427" s="10" t="e">
        <f>INDEX(#REF!,MATCH(Validade!C427,#REF!,0))</f>
        <v>#REF!</v>
      </c>
      <c r="E427" s="10" t="e">
        <f>INDEX(#REF!,MATCH(Validade!C427,#REF!,0))</f>
        <v>#REF!</v>
      </c>
      <c r="F427" t="s">
        <v>673</v>
      </c>
      <c r="G427" t="s">
        <v>674</v>
      </c>
      <c r="H427" s="1">
        <v>62458</v>
      </c>
      <c r="I427" s="1"/>
      <c r="J427" s="2">
        <v>250</v>
      </c>
      <c r="K427" t="s">
        <v>15</v>
      </c>
      <c r="L427" t="str">
        <f>INDEX(Dispodaten2!B:B,MATCH(C427,Dispodaten2!A:A,0))</f>
        <v>PD</v>
      </c>
    </row>
    <row r="428" spans="1:12" ht="13.5" hidden="1" x14ac:dyDescent="0.2">
      <c r="A428" t="s">
        <v>0</v>
      </c>
      <c r="B428" t="s">
        <v>1</v>
      </c>
      <c r="C428" t="s">
        <v>225</v>
      </c>
      <c r="D428" s="10" t="e">
        <f>INDEX(#REF!,MATCH(Validade!C428,#REF!,0))</f>
        <v>#REF!</v>
      </c>
      <c r="E428" s="10" t="e">
        <f>INDEX(#REF!,MATCH(Validade!C428,#REF!,0))</f>
        <v>#REF!</v>
      </c>
      <c r="F428" t="s">
        <v>226</v>
      </c>
      <c r="G428" t="s">
        <v>227</v>
      </c>
      <c r="H428" s="1"/>
      <c r="I428" s="1"/>
      <c r="J428" s="2">
        <v>750</v>
      </c>
      <c r="K428" t="s">
        <v>15</v>
      </c>
      <c r="L428" t="str">
        <f>INDEX(Dispodaten2!B:B,MATCH(C428,Dispodaten2!A:A,0))</f>
        <v>PD</v>
      </c>
    </row>
    <row r="429" spans="1:12" ht="13.5" hidden="1" x14ac:dyDescent="0.2">
      <c r="A429" t="s">
        <v>0</v>
      </c>
      <c r="B429" t="s">
        <v>1</v>
      </c>
      <c r="C429" t="s">
        <v>669</v>
      </c>
      <c r="D429" s="10" t="e">
        <f>INDEX(#REF!,MATCH(Validade!C429,#REF!,0))</f>
        <v>#REF!</v>
      </c>
      <c r="E429" s="10" t="e">
        <f>INDEX(#REF!,MATCH(Validade!C429,#REF!,0))</f>
        <v>#REF!</v>
      </c>
      <c r="F429" t="s">
        <v>670</v>
      </c>
      <c r="G429" t="s">
        <v>671</v>
      </c>
      <c r="H429" s="1">
        <v>62458</v>
      </c>
      <c r="I429" s="1"/>
      <c r="J429" s="2">
        <v>2000</v>
      </c>
      <c r="K429" t="s">
        <v>15</v>
      </c>
      <c r="L429" t="str">
        <f>INDEX(Dispodaten2!B:B,MATCH(C429,Dispodaten2!A:A,0))</f>
        <v>PD</v>
      </c>
    </row>
    <row r="430" spans="1:12" ht="13.5" hidden="1" x14ac:dyDescent="0.2">
      <c r="A430" t="s">
        <v>0</v>
      </c>
      <c r="B430" t="s">
        <v>1</v>
      </c>
      <c r="C430" t="s">
        <v>163</v>
      </c>
      <c r="D430" s="10" t="e">
        <f>INDEX(#REF!,MATCH(Validade!C430,#REF!,0))</f>
        <v>#REF!</v>
      </c>
      <c r="E430" s="10" t="e">
        <f>INDEX(#REF!,MATCH(Validade!C430,#REF!,0))</f>
        <v>#REF!</v>
      </c>
      <c r="F430" t="s">
        <v>164</v>
      </c>
      <c r="G430" t="s">
        <v>165</v>
      </c>
      <c r="H430" s="1">
        <v>62458</v>
      </c>
      <c r="I430" s="1"/>
      <c r="J430" s="2">
        <v>800</v>
      </c>
      <c r="K430" t="s">
        <v>15</v>
      </c>
      <c r="L430" t="str">
        <f>INDEX(Dispodaten2!B:B,MATCH(C430,Dispodaten2!A:A,0))</f>
        <v>PD</v>
      </c>
    </row>
    <row r="431" spans="1:12" ht="13.5" hidden="1" x14ac:dyDescent="0.2">
      <c r="A431" t="s">
        <v>1752</v>
      </c>
      <c r="B431" t="s">
        <v>729</v>
      </c>
      <c r="C431" t="s">
        <v>1827</v>
      </c>
      <c r="D431" s="10" t="e">
        <f>INDEX(#REF!,MATCH(Validade!C431,#REF!,0))</f>
        <v>#REF!</v>
      </c>
      <c r="E431" s="10" t="e">
        <f>INDEX(#REF!,MATCH(Validade!C431,#REF!,0))</f>
        <v>#REF!</v>
      </c>
      <c r="F431" t="s">
        <v>1828</v>
      </c>
      <c r="G431" t="s">
        <v>1904</v>
      </c>
      <c r="H431" s="1">
        <v>62458</v>
      </c>
      <c r="I431" s="1">
        <v>45240</v>
      </c>
      <c r="J431" s="2">
        <v>130</v>
      </c>
      <c r="K431" t="s">
        <v>15</v>
      </c>
      <c r="L431" t="str">
        <f>INDEX(Dispodaten2!B:B,MATCH(C431,Dispodaten2!A:A,0))</f>
        <v>V1</v>
      </c>
    </row>
    <row r="432" spans="1:12" ht="13.5" hidden="1" x14ac:dyDescent="0.2">
      <c r="A432" t="s">
        <v>0</v>
      </c>
      <c r="B432" t="s">
        <v>1</v>
      </c>
      <c r="C432" t="s">
        <v>273</v>
      </c>
      <c r="D432" s="10" t="e">
        <f>INDEX(#REF!,MATCH(Validade!C432,#REF!,0))</f>
        <v>#REF!</v>
      </c>
      <c r="E432" s="10" t="e">
        <f>INDEX(#REF!,MATCH(Validade!C432,#REF!,0))</f>
        <v>#REF!</v>
      </c>
      <c r="F432" t="s">
        <v>274</v>
      </c>
      <c r="G432" t="s">
        <v>275</v>
      </c>
      <c r="H432" s="1">
        <v>62458</v>
      </c>
      <c r="I432" s="1"/>
      <c r="J432" s="2">
        <v>2000</v>
      </c>
      <c r="K432" t="s">
        <v>15</v>
      </c>
      <c r="L432" t="str">
        <f>INDEX(Dispodaten2!B:B,MATCH(C432,Dispodaten2!A:A,0))</f>
        <v>PD</v>
      </c>
    </row>
    <row r="433" spans="1:12" ht="13.5" hidden="1" x14ac:dyDescent="0.2">
      <c r="A433" t="s">
        <v>0</v>
      </c>
      <c r="B433" t="s">
        <v>1</v>
      </c>
      <c r="C433" t="s">
        <v>270</v>
      </c>
      <c r="D433" s="10" t="e">
        <f>INDEX(#REF!,MATCH(Validade!C433,#REF!,0))</f>
        <v>#REF!</v>
      </c>
      <c r="E433" s="10" t="e">
        <f>INDEX(#REF!,MATCH(Validade!C433,#REF!,0))</f>
        <v>#REF!</v>
      </c>
      <c r="F433" t="s">
        <v>271</v>
      </c>
      <c r="G433" t="s">
        <v>272</v>
      </c>
      <c r="H433" s="1">
        <v>62458</v>
      </c>
      <c r="I433" s="1"/>
      <c r="J433" s="2">
        <v>14697</v>
      </c>
      <c r="K433" t="s">
        <v>15</v>
      </c>
      <c r="L433" t="str">
        <f>INDEX(Dispodaten2!B:B,MATCH(C433,Dispodaten2!A:A,0))</f>
        <v>PD</v>
      </c>
    </row>
    <row r="434" spans="1:12" ht="13.5" hidden="1" x14ac:dyDescent="0.2">
      <c r="A434" t="s">
        <v>0</v>
      </c>
      <c r="B434" t="s">
        <v>1</v>
      </c>
      <c r="C434" t="s">
        <v>282</v>
      </c>
      <c r="D434" s="10" t="e">
        <f>INDEX(#REF!,MATCH(Validade!C434,#REF!,0))</f>
        <v>#REF!</v>
      </c>
      <c r="E434" s="10" t="e">
        <f>INDEX(#REF!,MATCH(Validade!C434,#REF!,0))</f>
        <v>#REF!</v>
      </c>
      <c r="F434" t="s">
        <v>283</v>
      </c>
      <c r="G434" t="s">
        <v>284</v>
      </c>
      <c r="H434" s="1">
        <v>62458</v>
      </c>
      <c r="I434" s="1"/>
      <c r="J434" s="2">
        <v>2998</v>
      </c>
      <c r="K434" t="s">
        <v>15</v>
      </c>
      <c r="L434" t="str">
        <f>INDEX(Dispodaten2!B:B,MATCH(C434,Dispodaten2!A:A,0))</f>
        <v>PD</v>
      </c>
    </row>
    <row r="435" spans="1:12" ht="13.5" hidden="1" x14ac:dyDescent="0.2">
      <c r="A435" t="s">
        <v>1752</v>
      </c>
      <c r="B435" t="s">
        <v>729</v>
      </c>
      <c r="C435" t="s">
        <v>1829</v>
      </c>
      <c r="D435" s="10" t="e">
        <f>INDEX(#REF!,MATCH(Validade!C435,#REF!,0))</f>
        <v>#REF!</v>
      </c>
      <c r="E435" s="10" t="e">
        <f>INDEX(#REF!,MATCH(Validade!C435,#REF!,0))</f>
        <v>#REF!</v>
      </c>
      <c r="F435" t="s">
        <v>1830</v>
      </c>
      <c r="G435" t="s">
        <v>1925</v>
      </c>
      <c r="H435" s="1">
        <v>62458</v>
      </c>
      <c r="I435" s="1">
        <v>45301</v>
      </c>
      <c r="J435" s="2">
        <v>150</v>
      </c>
      <c r="K435" t="s">
        <v>15</v>
      </c>
      <c r="L435" t="str">
        <f>INDEX(Dispodaten2!B:B,MATCH(C435,Dispodaten2!A:A,0))</f>
        <v>V1</v>
      </c>
    </row>
    <row r="436" spans="1:12" ht="13.5" hidden="1" x14ac:dyDescent="0.2">
      <c r="A436" t="s">
        <v>0</v>
      </c>
      <c r="B436" t="s">
        <v>1</v>
      </c>
      <c r="C436" t="s">
        <v>133</v>
      </c>
      <c r="D436" s="10" t="e">
        <f>INDEX(#REF!,MATCH(Validade!C436,#REF!,0))</f>
        <v>#REF!</v>
      </c>
      <c r="E436" s="10" t="e">
        <f>INDEX(#REF!,MATCH(Validade!C436,#REF!,0))</f>
        <v>#REF!</v>
      </c>
      <c r="F436" t="s">
        <v>134</v>
      </c>
      <c r="G436" t="s">
        <v>135</v>
      </c>
      <c r="H436" s="1">
        <v>62458</v>
      </c>
      <c r="I436" s="1">
        <v>44665</v>
      </c>
      <c r="J436" s="2">
        <v>11</v>
      </c>
      <c r="K436" t="s">
        <v>15</v>
      </c>
      <c r="L436" t="str">
        <f>INDEX(Dispodaten2!B:B,MATCH(C436,Dispodaten2!A:A,0))</f>
        <v>PD</v>
      </c>
    </row>
    <row r="437" spans="1:12" ht="13.5" hidden="1" x14ac:dyDescent="0.2">
      <c r="A437" t="s">
        <v>0</v>
      </c>
      <c r="B437" t="s">
        <v>1</v>
      </c>
      <c r="C437" t="s">
        <v>136</v>
      </c>
      <c r="D437" s="10" t="e">
        <f>INDEX(#REF!,MATCH(Validade!C437,#REF!,0))</f>
        <v>#REF!</v>
      </c>
      <c r="E437" s="10" t="e">
        <f>INDEX(#REF!,MATCH(Validade!C437,#REF!,0))</f>
        <v>#REF!</v>
      </c>
      <c r="F437" t="s">
        <v>137</v>
      </c>
      <c r="G437" t="s">
        <v>138</v>
      </c>
      <c r="H437" s="1">
        <v>62458</v>
      </c>
      <c r="I437" s="1"/>
      <c r="J437" s="2">
        <v>2</v>
      </c>
      <c r="K437" t="s">
        <v>15</v>
      </c>
      <c r="L437" t="str">
        <f>INDEX(Dispodaten2!B:B,MATCH(C437,Dispodaten2!A:A,0))</f>
        <v>PD</v>
      </c>
    </row>
    <row r="438" spans="1:12" ht="13.5" hidden="1" x14ac:dyDescent="0.2">
      <c r="A438" t="s">
        <v>0</v>
      </c>
      <c r="B438" t="s">
        <v>1</v>
      </c>
      <c r="C438" t="s">
        <v>219</v>
      </c>
      <c r="D438" s="10" t="e">
        <f>INDEX(#REF!,MATCH(Validade!C438,#REF!,0))</f>
        <v>#REF!</v>
      </c>
      <c r="E438" s="10" t="e">
        <f>INDEX(#REF!,MATCH(Validade!C438,#REF!,0))</f>
        <v>#REF!</v>
      </c>
      <c r="F438" t="s">
        <v>220</v>
      </c>
      <c r="G438" t="s">
        <v>221</v>
      </c>
      <c r="H438" s="1">
        <v>62458</v>
      </c>
      <c r="I438" s="1"/>
      <c r="J438" s="2">
        <v>3500</v>
      </c>
      <c r="K438" t="s">
        <v>15</v>
      </c>
      <c r="L438" t="str">
        <f>INDEX(Dispodaten2!B:B,MATCH(C438,Dispodaten2!A:A,0))</f>
        <v>PD</v>
      </c>
    </row>
    <row r="439" spans="1:12" ht="13.5" hidden="1" x14ac:dyDescent="0.2">
      <c r="A439" t="s">
        <v>0</v>
      </c>
      <c r="B439" t="s">
        <v>1</v>
      </c>
      <c r="C439" t="s">
        <v>547</v>
      </c>
      <c r="D439" s="10" t="e">
        <f>INDEX(#REF!,MATCH(Validade!C439,#REF!,0))</f>
        <v>#REF!</v>
      </c>
      <c r="E439" s="10" t="e">
        <f>INDEX(#REF!,MATCH(Validade!C439,#REF!,0))</f>
        <v>#REF!</v>
      </c>
      <c r="F439" t="s">
        <v>548</v>
      </c>
      <c r="G439" t="s">
        <v>549</v>
      </c>
      <c r="H439" s="1">
        <v>62458</v>
      </c>
      <c r="I439" s="1"/>
      <c r="J439" s="2">
        <v>1000</v>
      </c>
      <c r="K439" t="s">
        <v>15</v>
      </c>
      <c r="L439" t="str">
        <f>INDEX(Dispodaten2!B:B,MATCH(C439,Dispodaten2!A:A,0))</f>
        <v>PD</v>
      </c>
    </row>
    <row r="440" spans="1:12" ht="13.5" hidden="1" x14ac:dyDescent="0.2">
      <c r="A440" t="s">
        <v>0</v>
      </c>
      <c r="B440" t="s">
        <v>1</v>
      </c>
      <c r="C440" t="s">
        <v>626</v>
      </c>
      <c r="D440" s="10" t="e">
        <f>INDEX(#REF!,MATCH(Validade!C440,#REF!,0))</f>
        <v>#REF!</v>
      </c>
      <c r="E440" s="10" t="e">
        <f>INDEX(#REF!,MATCH(Validade!C440,#REF!,0))</f>
        <v>#REF!</v>
      </c>
      <c r="F440" t="s">
        <v>627</v>
      </c>
      <c r="G440" t="s">
        <v>628</v>
      </c>
      <c r="H440" s="1">
        <v>62458</v>
      </c>
      <c r="I440" s="1"/>
      <c r="J440" s="2">
        <v>1100</v>
      </c>
      <c r="K440" t="s">
        <v>15</v>
      </c>
      <c r="L440" t="str">
        <f>INDEX(Dispodaten2!B:B,MATCH(C440,Dispodaten2!A:A,0))</f>
        <v>PD</v>
      </c>
    </row>
    <row r="441" spans="1:12" ht="13.5" hidden="1" x14ac:dyDescent="0.2">
      <c r="A441" t="s">
        <v>0</v>
      </c>
      <c r="B441" t="s">
        <v>1</v>
      </c>
      <c r="C441" t="s">
        <v>629</v>
      </c>
      <c r="D441" s="10" t="e">
        <f>INDEX(#REF!,MATCH(Validade!C441,#REF!,0))</f>
        <v>#REF!</v>
      </c>
      <c r="E441" s="10" t="e">
        <f>INDEX(#REF!,MATCH(Validade!C441,#REF!,0))</f>
        <v>#REF!</v>
      </c>
      <c r="F441" t="s">
        <v>630</v>
      </c>
      <c r="G441" t="s">
        <v>631</v>
      </c>
      <c r="H441" s="1">
        <v>62458</v>
      </c>
      <c r="I441" s="1"/>
      <c r="J441" s="2">
        <v>1850</v>
      </c>
      <c r="K441" t="s">
        <v>15</v>
      </c>
      <c r="L441" t="str">
        <f>INDEX(Dispodaten2!B:B,MATCH(C441,Dispodaten2!A:A,0))</f>
        <v>PD</v>
      </c>
    </row>
    <row r="442" spans="1:12" ht="13.5" hidden="1" x14ac:dyDescent="0.2">
      <c r="A442" t="s">
        <v>0</v>
      </c>
      <c r="B442" t="s">
        <v>1</v>
      </c>
      <c r="C442" t="s">
        <v>609</v>
      </c>
      <c r="D442" s="10" t="e">
        <f>INDEX(#REF!,MATCH(Validade!C442,#REF!,0))</f>
        <v>#REF!</v>
      </c>
      <c r="E442" s="10" t="e">
        <f>INDEX(#REF!,MATCH(Validade!C442,#REF!,0))</f>
        <v>#REF!</v>
      </c>
      <c r="F442" t="s">
        <v>610</v>
      </c>
      <c r="G442" t="s">
        <v>611</v>
      </c>
      <c r="H442" s="1">
        <v>62458</v>
      </c>
      <c r="I442" s="1"/>
      <c r="J442" s="2">
        <v>1100</v>
      </c>
      <c r="K442" t="s">
        <v>15</v>
      </c>
      <c r="L442" t="str">
        <f>INDEX(Dispodaten2!B:B,MATCH(C442,Dispodaten2!A:A,0))</f>
        <v>PD</v>
      </c>
    </row>
    <row r="443" spans="1:12" ht="13.5" hidden="1" x14ac:dyDescent="0.2">
      <c r="A443" t="s">
        <v>0</v>
      </c>
      <c r="B443" t="s">
        <v>1</v>
      </c>
      <c r="C443" t="s">
        <v>612</v>
      </c>
      <c r="D443" s="10" t="e">
        <f>INDEX(#REF!,MATCH(Validade!C443,#REF!,0))</f>
        <v>#REF!</v>
      </c>
      <c r="E443" s="10" t="e">
        <f>INDEX(#REF!,MATCH(Validade!C443,#REF!,0))</f>
        <v>#REF!</v>
      </c>
      <c r="F443" t="s">
        <v>613</v>
      </c>
      <c r="G443" t="s">
        <v>614</v>
      </c>
      <c r="H443" s="1">
        <v>62458</v>
      </c>
      <c r="I443" s="1"/>
      <c r="J443" s="2">
        <v>2200</v>
      </c>
      <c r="K443" t="s">
        <v>15</v>
      </c>
      <c r="L443" t="str">
        <f>INDEX(Dispodaten2!B:B,MATCH(C443,Dispodaten2!A:A,0))</f>
        <v>PD</v>
      </c>
    </row>
    <row r="444" spans="1:12" ht="13.5" hidden="1" x14ac:dyDescent="0.2">
      <c r="A444" t="s">
        <v>0</v>
      </c>
      <c r="B444" t="s">
        <v>1</v>
      </c>
      <c r="C444" t="s">
        <v>640</v>
      </c>
      <c r="D444" s="10" t="e">
        <f>INDEX(#REF!,MATCH(Validade!C444,#REF!,0))</f>
        <v>#REF!</v>
      </c>
      <c r="E444" s="10" t="e">
        <f>INDEX(#REF!,MATCH(Validade!C444,#REF!,0))</f>
        <v>#REF!</v>
      </c>
      <c r="F444" t="s">
        <v>641</v>
      </c>
      <c r="G444" t="s">
        <v>642</v>
      </c>
      <c r="H444" s="1">
        <v>62458</v>
      </c>
      <c r="I444" s="1"/>
      <c r="J444" s="2">
        <v>12</v>
      </c>
      <c r="K444" t="s">
        <v>15</v>
      </c>
      <c r="L444" t="str">
        <f>INDEX(Dispodaten2!B:B,MATCH(C444,Dispodaten2!A:A,0))</f>
        <v>PD</v>
      </c>
    </row>
    <row r="445" spans="1:12" ht="13.5" hidden="1" x14ac:dyDescent="0.2">
      <c r="A445" t="s">
        <v>0</v>
      </c>
      <c r="B445" t="s">
        <v>1</v>
      </c>
      <c r="C445" t="s">
        <v>638</v>
      </c>
      <c r="D445" s="10" t="e">
        <f>INDEX(#REF!,MATCH(Validade!C445,#REF!,0))</f>
        <v>#REF!</v>
      </c>
      <c r="E445" s="10" t="e">
        <f>INDEX(#REF!,MATCH(Validade!C445,#REF!,0))</f>
        <v>#REF!</v>
      </c>
      <c r="F445" t="s">
        <v>639</v>
      </c>
      <c r="G445" t="s">
        <v>168</v>
      </c>
      <c r="H445" s="1">
        <v>62458</v>
      </c>
      <c r="I445" s="1"/>
      <c r="J445" s="2">
        <v>13</v>
      </c>
      <c r="K445" t="s">
        <v>15</v>
      </c>
      <c r="L445" t="str">
        <f>INDEX(Dispodaten2!B:B,MATCH(C445,Dispodaten2!A:A,0))</f>
        <v>PD</v>
      </c>
    </row>
    <row r="446" spans="1:12" ht="13.5" hidden="1" x14ac:dyDescent="0.2">
      <c r="A446" t="s">
        <v>0</v>
      </c>
      <c r="B446" t="s">
        <v>1</v>
      </c>
      <c r="C446" t="s">
        <v>635</v>
      </c>
      <c r="D446" s="10" t="e">
        <f>INDEX(#REF!,MATCH(Validade!C446,#REF!,0))</f>
        <v>#REF!</v>
      </c>
      <c r="E446" s="10" t="e">
        <f>INDEX(#REF!,MATCH(Validade!C446,#REF!,0))</f>
        <v>#REF!</v>
      </c>
      <c r="F446" t="s">
        <v>636</v>
      </c>
      <c r="G446" t="s">
        <v>637</v>
      </c>
      <c r="H446" s="1">
        <v>62458</v>
      </c>
      <c r="I446" s="1"/>
      <c r="J446" s="2">
        <v>30</v>
      </c>
      <c r="K446" t="s">
        <v>15</v>
      </c>
      <c r="L446" t="str">
        <f>INDEX(Dispodaten2!B:B,MATCH(C446,Dispodaten2!A:A,0))</f>
        <v>PD</v>
      </c>
    </row>
    <row r="447" spans="1:12" ht="13.5" hidden="1" x14ac:dyDescent="0.2">
      <c r="A447" t="s">
        <v>0</v>
      </c>
      <c r="B447" t="s">
        <v>1</v>
      </c>
      <c r="C447" t="s">
        <v>558</v>
      </c>
      <c r="D447" s="10" t="e">
        <f>INDEX(#REF!,MATCH(Validade!C447,#REF!,0))</f>
        <v>#REF!</v>
      </c>
      <c r="E447" s="10" t="e">
        <f>INDEX(#REF!,MATCH(Validade!C447,#REF!,0))</f>
        <v>#REF!</v>
      </c>
      <c r="F447" t="s">
        <v>559</v>
      </c>
      <c r="G447" t="s">
        <v>560</v>
      </c>
      <c r="H447" s="1">
        <v>62458</v>
      </c>
      <c r="I447" s="1"/>
      <c r="J447" s="2">
        <v>15</v>
      </c>
      <c r="K447" t="s">
        <v>15</v>
      </c>
      <c r="L447" t="str">
        <f>INDEX(Dispodaten2!B:B,MATCH(C447,Dispodaten2!A:A,0))</f>
        <v>PD</v>
      </c>
    </row>
    <row r="448" spans="1:12" ht="13.5" hidden="1" x14ac:dyDescent="0.2">
      <c r="A448" t="s">
        <v>0</v>
      </c>
      <c r="B448" t="s">
        <v>1</v>
      </c>
      <c r="C448" t="s">
        <v>632</v>
      </c>
      <c r="D448" s="10" t="e">
        <f>INDEX(#REF!,MATCH(Validade!C448,#REF!,0))</f>
        <v>#REF!</v>
      </c>
      <c r="E448" s="10" t="e">
        <f>INDEX(#REF!,MATCH(Validade!C448,#REF!,0))</f>
        <v>#REF!</v>
      </c>
      <c r="F448" t="s">
        <v>633</v>
      </c>
      <c r="G448" t="s">
        <v>634</v>
      </c>
      <c r="H448" s="1">
        <v>62458</v>
      </c>
      <c r="I448" s="1"/>
      <c r="J448" s="2">
        <v>303</v>
      </c>
      <c r="K448" t="s">
        <v>15</v>
      </c>
      <c r="L448" t="str">
        <f>INDEX(Dispodaten2!B:B,MATCH(C448,Dispodaten2!A:A,0))</f>
        <v>PD</v>
      </c>
    </row>
    <row r="449" spans="1:12" ht="13.5" hidden="1" x14ac:dyDescent="0.2">
      <c r="A449" t="s">
        <v>0</v>
      </c>
      <c r="B449" t="s">
        <v>1</v>
      </c>
      <c r="C449" t="s">
        <v>555</v>
      </c>
      <c r="D449" s="10" t="e">
        <f>INDEX(#REF!,MATCH(Validade!C449,#REF!,0))</f>
        <v>#REF!</v>
      </c>
      <c r="E449" s="10" t="e">
        <f>INDEX(#REF!,MATCH(Validade!C449,#REF!,0))</f>
        <v>#REF!</v>
      </c>
      <c r="F449" t="s">
        <v>556</v>
      </c>
      <c r="G449" t="s">
        <v>557</v>
      </c>
      <c r="H449" s="1">
        <v>62458</v>
      </c>
      <c r="I449" s="1"/>
      <c r="J449" s="2">
        <v>10</v>
      </c>
      <c r="K449" t="s">
        <v>15</v>
      </c>
      <c r="L449" t="str">
        <f>INDEX(Dispodaten2!B:B,MATCH(C449,Dispodaten2!A:A,0))</f>
        <v>PD</v>
      </c>
    </row>
    <row r="450" spans="1:12" ht="13.5" hidden="1" x14ac:dyDescent="0.2">
      <c r="A450" t="s">
        <v>0</v>
      </c>
      <c r="B450" t="s">
        <v>1</v>
      </c>
      <c r="C450" t="s">
        <v>552</v>
      </c>
      <c r="D450" s="10" t="e">
        <f>INDEX(#REF!,MATCH(Validade!C450,#REF!,0))</f>
        <v>#REF!</v>
      </c>
      <c r="E450" s="10" t="e">
        <f>INDEX(#REF!,MATCH(Validade!C450,#REF!,0))</f>
        <v>#REF!</v>
      </c>
      <c r="F450" t="s">
        <v>553</v>
      </c>
      <c r="G450" t="s">
        <v>554</v>
      </c>
      <c r="H450" s="1">
        <v>62458</v>
      </c>
      <c r="I450" s="1"/>
      <c r="J450" s="2">
        <v>57</v>
      </c>
      <c r="K450" t="s">
        <v>15</v>
      </c>
      <c r="L450" t="str">
        <f>INDEX(Dispodaten2!B:B,MATCH(C450,Dispodaten2!A:A,0))</f>
        <v>PD</v>
      </c>
    </row>
    <row r="451" spans="1:12" ht="13.5" hidden="1" x14ac:dyDescent="0.2">
      <c r="A451" t="s">
        <v>0</v>
      </c>
      <c r="B451" t="s">
        <v>1</v>
      </c>
      <c r="C451" t="s">
        <v>620</v>
      </c>
      <c r="D451" s="10" t="e">
        <f>INDEX(#REF!,MATCH(Validade!C451,#REF!,0))</f>
        <v>#REF!</v>
      </c>
      <c r="E451" s="10" t="e">
        <f>INDEX(#REF!,MATCH(Validade!C451,#REF!,0))</f>
        <v>#REF!</v>
      </c>
      <c r="F451" t="s">
        <v>621</v>
      </c>
      <c r="G451" t="s">
        <v>622</v>
      </c>
      <c r="H451" s="1">
        <v>62458</v>
      </c>
      <c r="I451" s="1"/>
      <c r="J451" s="2">
        <v>1000</v>
      </c>
      <c r="K451" t="s">
        <v>15</v>
      </c>
      <c r="L451" t="str">
        <f>INDEX(Dispodaten2!B:B,MATCH(C451,Dispodaten2!A:A,0))</f>
        <v>PD</v>
      </c>
    </row>
    <row r="452" spans="1:12" ht="13.5" hidden="1" x14ac:dyDescent="0.2">
      <c r="A452" t="s">
        <v>0</v>
      </c>
      <c r="B452" t="s">
        <v>1</v>
      </c>
      <c r="C452" t="s">
        <v>623</v>
      </c>
      <c r="D452" s="10" t="e">
        <f>INDEX(#REF!,MATCH(Validade!C452,#REF!,0))</f>
        <v>#REF!</v>
      </c>
      <c r="E452" s="10" t="e">
        <f>INDEX(#REF!,MATCH(Validade!C452,#REF!,0))</f>
        <v>#REF!</v>
      </c>
      <c r="F452" t="s">
        <v>624</v>
      </c>
      <c r="G452" t="s">
        <v>625</v>
      </c>
      <c r="H452" s="1">
        <v>62458</v>
      </c>
      <c r="I452" s="1"/>
      <c r="J452" s="2">
        <v>6738</v>
      </c>
      <c r="K452" t="s">
        <v>15</v>
      </c>
      <c r="L452" t="str">
        <f>INDEX(Dispodaten2!B:B,MATCH(C452,Dispodaten2!A:A,0))</f>
        <v>PD</v>
      </c>
    </row>
    <row r="453" spans="1:12" ht="13.5" hidden="1" x14ac:dyDescent="0.2">
      <c r="A453" t="s">
        <v>0</v>
      </c>
      <c r="B453" t="s">
        <v>1</v>
      </c>
      <c r="C453" t="s">
        <v>594</v>
      </c>
      <c r="D453" s="10" t="e">
        <f>INDEX(#REF!,MATCH(Validade!C453,#REF!,0))</f>
        <v>#REF!</v>
      </c>
      <c r="E453" s="10" t="e">
        <f>INDEX(#REF!,MATCH(Validade!C453,#REF!,0))</f>
        <v>#REF!</v>
      </c>
      <c r="F453" t="s">
        <v>595</v>
      </c>
      <c r="G453" t="s">
        <v>597</v>
      </c>
      <c r="H453" s="1">
        <v>62458</v>
      </c>
      <c r="I453" s="1"/>
      <c r="J453" s="2">
        <v>2500</v>
      </c>
      <c r="K453" t="s">
        <v>15</v>
      </c>
      <c r="L453" t="str">
        <f>INDEX(Dispodaten2!B:B,MATCH(C453,Dispodaten2!A:A,0))</f>
        <v>PD</v>
      </c>
    </row>
    <row r="454" spans="1:12" ht="13.5" hidden="1" x14ac:dyDescent="0.2">
      <c r="A454" t="s">
        <v>0</v>
      </c>
      <c r="B454" t="s">
        <v>1</v>
      </c>
      <c r="C454" t="s">
        <v>598</v>
      </c>
      <c r="D454" s="10" t="e">
        <f>INDEX(#REF!,MATCH(Validade!C454,#REF!,0))</f>
        <v>#REF!</v>
      </c>
      <c r="E454" s="10" t="e">
        <f>INDEX(#REF!,MATCH(Validade!C454,#REF!,0))</f>
        <v>#REF!</v>
      </c>
      <c r="F454" t="s">
        <v>599</v>
      </c>
      <c r="G454" t="s">
        <v>600</v>
      </c>
      <c r="H454" s="1">
        <v>62458</v>
      </c>
      <c r="I454" s="1"/>
      <c r="J454" s="2">
        <v>1000</v>
      </c>
      <c r="K454" t="s">
        <v>15</v>
      </c>
      <c r="L454" t="str">
        <f>INDEX(Dispodaten2!B:B,MATCH(C454,Dispodaten2!A:A,0))</f>
        <v>PD</v>
      </c>
    </row>
    <row r="455" spans="1:12" ht="13.5" hidden="1" x14ac:dyDescent="0.2">
      <c r="A455" t="s">
        <v>0</v>
      </c>
      <c r="B455" t="s">
        <v>1</v>
      </c>
      <c r="C455" t="s">
        <v>601</v>
      </c>
      <c r="D455" s="10" t="e">
        <f>INDEX(#REF!,MATCH(Validade!C455,#REF!,0))</f>
        <v>#REF!</v>
      </c>
      <c r="E455" s="10" t="e">
        <f>INDEX(#REF!,MATCH(Validade!C455,#REF!,0))</f>
        <v>#REF!</v>
      </c>
      <c r="F455" t="s">
        <v>602</v>
      </c>
      <c r="G455" t="s">
        <v>543</v>
      </c>
      <c r="H455" s="1">
        <v>62458</v>
      </c>
      <c r="I455" s="1"/>
      <c r="J455" s="2">
        <v>500</v>
      </c>
      <c r="K455" t="s">
        <v>15</v>
      </c>
      <c r="L455" t="str">
        <f>INDEX(Dispodaten2!B:B,MATCH(C455,Dispodaten2!A:A,0))</f>
        <v>PD</v>
      </c>
    </row>
    <row r="456" spans="1:12" ht="13.5" hidden="1" x14ac:dyDescent="0.2">
      <c r="A456" t="s">
        <v>0</v>
      </c>
      <c r="B456" t="s">
        <v>1</v>
      </c>
      <c r="C456" t="s">
        <v>603</v>
      </c>
      <c r="D456" s="10" t="e">
        <f>INDEX(#REF!,MATCH(Validade!C456,#REF!,0))</f>
        <v>#REF!</v>
      </c>
      <c r="E456" s="10" t="e">
        <f>INDEX(#REF!,MATCH(Validade!C456,#REF!,0))</f>
        <v>#REF!</v>
      </c>
      <c r="F456" t="s">
        <v>604</v>
      </c>
      <c r="G456" t="s">
        <v>605</v>
      </c>
      <c r="H456" s="1">
        <v>62458</v>
      </c>
      <c r="I456" s="1"/>
      <c r="J456" s="2">
        <v>200</v>
      </c>
      <c r="K456" t="s">
        <v>15</v>
      </c>
      <c r="L456" t="str">
        <f>INDEX(Dispodaten2!B:B,MATCH(C456,Dispodaten2!A:A,0))</f>
        <v>PD</v>
      </c>
    </row>
    <row r="457" spans="1:12" ht="13.5" hidden="1" x14ac:dyDescent="0.2">
      <c r="A457" t="s">
        <v>0</v>
      </c>
      <c r="B457" t="s">
        <v>1</v>
      </c>
      <c r="C457" t="s">
        <v>606</v>
      </c>
      <c r="D457" s="10" t="e">
        <f>INDEX(#REF!,MATCH(Validade!C457,#REF!,0))</f>
        <v>#REF!</v>
      </c>
      <c r="E457" s="10" t="e">
        <f>INDEX(#REF!,MATCH(Validade!C457,#REF!,0))</f>
        <v>#REF!</v>
      </c>
      <c r="F457" t="s">
        <v>607</v>
      </c>
      <c r="G457" t="s">
        <v>608</v>
      </c>
      <c r="H457" s="1">
        <v>62458</v>
      </c>
      <c r="I457" s="1"/>
      <c r="J457" s="2">
        <v>400</v>
      </c>
      <c r="K457" t="s">
        <v>15</v>
      </c>
      <c r="L457" t="str">
        <f>INDEX(Dispodaten2!B:B,MATCH(C457,Dispodaten2!A:A,0))</f>
        <v>PD</v>
      </c>
    </row>
    <row r="458" spans="1:12" ht="13.5" hidden="1" x14ac:dyDescent="0.2">
      <c r="A458" t="s">
        <v>0</v>
      </c>
      <c r="B458" t="s">
        <v>1</v>
      </c>
      <c r="C458" t="s">
        <v>615</v>
      </c>
      <c r="D458" s="10" t="e">
        <f>INDEX(#REF!,MATCH(Validade!C458,#REF!,0))</f>
        <v>#REF!</v>
      </c>
      <c r="E458" s="10" t="e">
        <f>INDEX(#REF!,MATCH(Validade!C458,#REF!,0))</f>
        <v>#REF!</v>
      </c>
      <c r="F458" t="s">
        <v>616</v>
      </c>
      <c r="G458" t="s">
        <v>617</v>
      </c>
      <c r="H458" s="1">
        <v>62458</v>
      </c>
      <c r="I458" s="1"/>
      <c r="J458" s="2">
        <v>2000</v>
      </c>
      <c r="K458" t="s">
        <v>15</v>
      </c>
      <c r="L458" t="str">
        <f>INDEX(Dispodaten2!B:B,MATCH(C458,Dispodaten2!A:A,0))</f>
        <v>PD</v>
      </c>
    </row>
    <row r="459" spans="1:12" ht="13.5" hidden="1" x14ac:dyDescent="0.2">
      <c r="A459" t="s">
        <v>0</v>
      </c>
      <c r="B459" t="s">
        <v>1</v>
      </c>
      <c r="C459" t="s">
        <v>207</v>
      </c>
      <c r="D459" s="10" t="e">
        <f>INDEX(#REF!,MATCH(Validade!C459,#REF!,0))</f>
        <v>#REF!</v>
      </c>
      <c r="E459" s="10" t="e">
        <f>INDEX(#REF!,MATCH(Validade!C459,#REF!,0))</f>
        <v>#REF!</v>
      </c>
      <c r="F459" t="s">
        <v>208</v>
      </c>
      <c r="G459" t="s">
        <v>209</v>
      </c>
      <c r="H459" s="1">
        <v>62458</v>
      </c>
      <c r="I459" s="1"/>
      <c r="J459" s="2">
        <v>500</v>
      </c>
      <c r="K459" t="s">
        <v>15</v>
      </c>
      <c r="L459" t="str">
        <f>INDEX(Dispodaten2!B:B,MATCH(C459,Dispodaten2!A:A,0))</f>
        <v>PD</v>
      </c>
    </row>
    <row r="460" spans="1:12" ht="13.5" hidden="1" x14ac:dyDescent="0.2">
      <c r="A460" t="s">
        <v>0</v>
      </c>
      <c r="B460" t="s">
        <v>1</v>
      </c>
      <c r="C460" t="s">
        <v>33</v>
      </c>
      <c r="D460" s="10" t="e">
        <f>INDEX(#REF!,MATCH(Validade!C460,#REF!,0))</f>
        <v>#REF!</v>
      </c>
      <c r="E460" s="10" t="e">
        <f>INDEX(#REF!,MATCH(Validade!C460,#REF!,0))</f>
        <v>#REF!</v>
      </c>
      <c r="F460" t="s">
        <v>34</v>
      </c>
      <c r="G460" t="s">
        <v>35</v>
      </c>
      <c r="H460" s="1">
        <v>62458</v>
      </c>
      <c r="I460" s="1"/>
      <c r="J460" s="2">
        <v>18800</v>
      </c>
      <c r="K460" t="s">
        <v>15</v>
      </c>
      <c r="L460" t="str">
        <f>INDEX(Dispodaten2!B:B,MATCH(C460,Dispodaten2!A:A,0))</f>
        <v>V1</v>
      </c>
    </row>
    <row r="461" spans="1:12" ht="13.5" hidden="1" x14ac:dyDescent="0.2">
      <c r="A461" t="s">
        <v>0</v>
      </c>
      <c r="B461" t="s">
        <v>1</v>
      </c>
      <c r="C461" t="s">
        <v>232</v>
      </c>
      <c r="D461" s="10" t="e">
        <f>INDEX(#REF!,MATCH(Validade!C461,#REF!,0))</f>
        <v>#REF!</v>
      </c>
      <c r="E461" s="10" t="e">
        <f>INDEX(#REF!,MATCH(Validade!C461,#REF!,0))</f>
        <v>#REF!</v>
      </c>
      <c r="F461" t="s">
        <v>233</v>
      </c>
      <c r="G461">
        <v>71280</v>
      </c>
      <c r="H461" s="1">
        <v>45932</v>
      </c>
      <c r="I461" s="1">
        <v>45567</v>
      </c>
      <c r="J461" s="2">
        <v>88</v>
      </c>
      <c r="K461" t="s">
        <v>231</v>
      </c>
      <c r="L461" t="str">
        <f>INDEX(Dispodaten2!B:B,MATCH(C461,Dispodaten2!A:A,0))</f>
        <v>PD</v>
      </c>
    </row>
    <row r="462" spans="1:12" ht="13.5" hidden="1" x14ac:dyDescent="0.2">
      <c r="A462" t="s">
        <v>0</v>
      </c>
      <c r="B462" t="s">
        <v>1</v>
      </c>
      <c r="C462" t="s">
        <v>182</v>
      </c>
      <c r="D462" s="10" t="e">
        <f>INDEX(#REF!,MATCH(Validade!C462,#REF!,0))</f>
        <v>#REF!</v>
      </c>
      <c r="E462" s="10" t="e">
        <f>INDEX(#REF!,MATCH(Validade!C462,#REF!,0))</f>
        <v>#REF!</v>
      </c>
      <c r="F462" t="s">
        <v>183</v>
      </c>
      <c r="G462" t="s">
        <v>185</v>
      </c>
      <c r="H462" s="1"/>
      <c r="I462" s="1"/>
      <c r="J462" s="2">
        <v>100</v>
      </c>
      <c r="K462" t="s">
        <v>184</v>
      </c>
      <c r="L462" t="str">
        <f>INDEX(Dispodaten2!B:B,MATCH(C462,Dispodaten2!A:A,0))</f>
        <v>PD</v>
      </c>
    </row>
    <row r="463" spans="1:12" ht="13.5" hidden="1" x14ac:dyDescent="0.2">
      <c r="A463" t="s">
        <v>1752</v>
      </c>
      <c r="B463" t="s">
        <v>729</v>
      </c>
      <c r="C463" t="s">
        <v>1403</v>
      </c>
      <c r="D463" s="10" t="e">
        <f>INDEX(#REF!,MATCH(Validade!C463,#REF!,0))</f>
        <v>#REF!</v>
      </c>
      <c r="E463" s="10" t="e">
        <f>INDEX(#REF!,MATCH(Validade!C463,#REF!,0))</f>
        <v>#REF!</v>
      </c>
      <c r="F463" t="s">
        <v>1404</v>
      </c>
      <c r="G463" t="s">
        <v>1969</v>
      </c>
      <c r="H463" s="1">
        <v>46798</v>
      </c>
      <c r="I463" s="1">
        <v>45225</v>
      </c>
      <c r="J463" s="2">
        <v>11300</v>
      </c>
      <c r="K463" t="s">
        <v>1405</v>
      </c>
      <c r="L463" t="str">
        <f>INDEX(Dispodaten2!B:B,MATCH(C463,Dispodaten2!A:A,0))</f>
        <v>PD</v>
      </c>
    </row>
    <row r="464" spans="1:12" ht="13.5" hidden="1" x14ac:dyDescent="0.2">
      <c r="A464" t="s">
        <v>0</v>
      </c>
      <c r="B464" t="s">
        <v>729</v>
      </c>
      <c r="C464" t="s">
        <v>1119</v>
      </c>
      <c r="D464" s="10" t="e">
        <f>INDEX(#REF!,MATCH(Validade!C464,#REF!,0))</f>
        <v>#REF!</v>
      </c>
      <c r="E464" s="10" t="e">
        <f>INDEX(#REF!,MATCH(Validade!C464,#REF!,0))</f>
        <v>#REF!</v>
      </c>
      <c r="F464" t="s">
        <v>1120</v>
      </c>
      <c r="G464" t="s">
        <v>1122</v>
      </c>
      <c r="H464" s="1"/>
      <c r="I464" s="1"/>
      <c r="J464" s="2">
        <v>336</v>
      </c>
      <c r="K464" t="s">
        <v>1121</v>
      </c>
      <c r="L464" t="str">
        <f>INDEX(Dispodaten2!B:B,MATCH(C464,Dispodaten2!A:A,0))</f>
        <v>PD</v>
      </c>
    </row>
    <row r="465" spans="1:12" ht="13.5" hidden="1" x14ac:dyDescent="0.2">
      <c r="A465" t="s">
        <v>0</v>
      </c>
      <c r="B465" t="s">
        <v>1</v>
      </c>
      <c r="C465" t="s">
        <v>90</v>
      </c>
      <c r="D465" s="10" t="e">
        <f>INDEX(#REF!,MATCH(Validade!C465,#REF!,0))</f>
        <v>#REF!</v>
      </c>
      <c r="E465" s="10" t="e">
        <f>INDEX(#REF!,MATCH(Validade!C465,#REF!,0))</f>
        <v>#REF!</v>
      </c>
      <c r="F465" t="s">
        <v>91</v>
      </c>
      <c r="G465" t="s">
        <v>93</v>
      </c>
      <c r="H465" s="1">
        <v>46138</v>
      </c>
      <c r="I465" s="1">
        <v>45408</v>
      </c>
      <c r="J465" s="2">
        <v>600</v>
      </c>
      <c r="K465" t="s">
        <v>92</v>
      </c>
      <c r="L465" t="str">
        <f>INDEX(Dispodaten2!B:B,MATCH(C465,Dispodaten2!A:A,0))</f>
        <v>PD</v>
      </c>
    </row>
    <row r="466" spans="1:12" ht="13.5" hidden="1" x14ac:dyDescent="0.2">
      <c r="A466" t="s">
        <v>0</v>
      </c>
      <c r="B466" t="s">
        <v>729</v>
      </c>
      <c r="C466" t="s">
        <v>411</v>
      </c>
      <c r="D466" s="10" t="e">
        <f>INDEX(#REF!,MATCH(Validade!C466,#REF!,0))</f>
        <v>#REF!</v>
      </c>
      <c r="E466" s="10" t="e">
        <f>INDEX(#REF!,MATCH(Validade!C466,#REF!,0))</f>
        <v>#REF!</v>
      </c>
      <c r="F466" t="s">
        <v>412</v>
      </c>
      <c r="G466" t="s">
        <v>413</v>
      </c>
      <c r="H466" s="1">
        <v>45785</v>
      </c>
      <c r="I466" s="1">
        <v>45420</v>
      </c>
      <c r="J466" s="2">
        <v>700</v>
      </c>
      <c r="K466" t="s">
        <v>92</v>
      </c>
      <c r="L466" t="str">
        <f>INDEX(Dispodaten2!B:B,MATCH(C466,Dispodaten2!A:A,0))</f>
        <v>PD</v>
      </c>
    </row>
    <row r="467" spans="1:12" ht="13.5" hidden="1" x14ac:dyDescent="0.2">
      <c r="A467" t="s">
        <v>0</v>
      </c>
      <c r="B467" t="s">
        <v>729</v>
      </c>
      <c r="C467" t="s">
        <v>747</v>
      </c>
      <c r="D467" s="10" t="e">
        <f>INDEX(#REF!,MATCH(Validade!C467,#REF!,0))</f>
        <v>#REF!</v>
      </c>
      <c r="E467" s="10" t="e">
        <f>INDEX(#REF!,MATCH(Validade!C467,#REF!,0))</f>
        <v>#REF!</v>
      </c>
      <c r="F467" t="s">
        <v>748</v>
      </c>
      <c r="G467" t="s">
        <v>750</v>
      </c>
      <c r="H467" s="1"/>
      <c r="I467" s="1">
        <v>45553</v>
      </c>
      <c r="J467" s="2">
        <v>538</v>
      </c>
      <c r="K467" t="s">
        <v>749</v>
      </c>
      <c r="L467" t="str">
        <f>INDEX(Dispodaten2!B:B,MATCH(C467,Dispodaten2!A:A,0))</f>
        <v>PD</v>
      </c>
    </row>
    <row r="468" spans="1:12" ht="13.5" hidden="1" x14ac:dyDescent="0.2">
      <c r="A468" t="s">
        <v>0</v>
      </c>
      <c r="B468" t="s">
        <v>729</v>
      </c>
      <c r="C468" t="s">
        <v>751</v>
      </c>
      <c r="D468" s="10" t="e">
        <f>INDEX(#REF!,MATCH(Validade!C468,#REF!,0))</f>
        <v>#REF!</v>
      </c>
      <c r="E468" s="10" t="e">
        <f>INDEX(#REF!,MATCH(Validade!C468,#REF!,0))</f>
        <v>#REF!</v>
      </c>
      <c r="F468" t="s">
        <v>752</v>
      </c>
      <c r="G468" t="s">
        <v>753</v>
      </c>
      <c r="H468" s="1"/>
      <c r="I468" s="1"/>
      <c r="J468" s="2">
        <v>1024</v>
      </c>
      <c r="K468" t="s">
        <v>749</v>
      </c>
      <c r="L468" t="str">
        <f>INDEX(Dispodaten2!B:B,MATCH(C468,Dispodaten2!A:A,0))</f>
        <v>PD</v>
      </c>
    </row>
    <row r="469" spans="1:12" ht="13.5" hidden="1" x14ac:dyDescent="0.2">
      <c r="A469" t="s">
        <v>0</v>
      </c>
      <c r="B469" t="s">
        <v>729</v>
      </c>
      <c r="C469" t="s">
        <v>841</v>
      </c>
      <c r="D469" s="10" t="e">
        <f>INDEX(#REF!,MATCH(Validade!C469,#REF!,0))</f>
        <v>#REF!</v>
      </c>
      <c r="E469" s="10" t="e">
        <f>INDEX(#REF!,MATCH(Validade!C469,#REF!,0))</f>
        <v>#REF!</v>
      </c>
      <c r="F469" t="s">
        <v>842</v>
      </c>
      <c r="G469" t="s">
        <v>843</v>
      </c>
      <c r="H469" s="1"/>
      <c r="I469" s="1">
        <v>45490</v>
      </c>
      <c r="J469" s="2">
        <v>550</v>
      </c>
      <c r="K469" t="s">
        <v>749</v>
      </c>
      <c r="L469" t="str">
        <f>INDEX(Dispodaten2!B:B,MATCH(C469,Dispodaten2!A:A,0))</f>
        <v>PD</v>
      </c>
    </row>
    <row r="470" spans="1:12" ht="13.5" hidden="1" x14ac:dyDescent="0.2">
      <c r="A470" t="s">
        <v>0</v>
      </c>
      <c r="B470" t="s">
        <v>729</v>
      </c>
      <c r="C470" t="s">
        <v>844</v>
      </c>
      <c r="D470" s="10" t="e">
        <f>INDEX(#REF!,MATCH(Validade!C470,#REF!,0))</f>
        <v>#REF!</v>
      </c>
      <c r="E470" s="10" t="e">
        <f>INDEX(#REF!,MATCH(Validade!C470,#REF!,0))</f>
        <v>#REF!</v>
      </c>
      <c r="F470" t="s">
        <v>845</v>
      </c>
      <c r="G470" t="s">
        <v>846</v>
      </c>
      <c r="H470" s="1"/>
      <c r="I470" s="1">
        <v>45484</v>
      </c>
      <c r="J470" s="2">
        <v>564</v>
      </c>
      <c r="K470" t="s">
        <v>749</v>
      </c>
      <c r="L470" t="str">
        <f>INDEX(Dispodaten2!B:B,MATCH(C470,Dispodaten2!A:A,0))</f>
        <v>PD</v>
      </c>
    </row>
    <row r="471" spans="1:12" ht="13.5" hidden="1" x14ac:dyDescent="0.2">
      <c r="A471" t="s">
        <v>0</v>
      </c>
      <c r="B471" t="s">
        <v>729</v>
      </c>
      <c r="C471" t="s">
        <v>847</v>
      </c>
      <c r="D471" s="10" t="e">
        <f>INDEX(#REF!,MATCH(Validade!C471,#REF!,0))</f>
        <v>#REF!</v>
      </c>
      <c r="E471" s="10" t="e">
        <f>INDEX(#REF!,MATCH(Validade!C471,#REF!,0))</f>
        <v>#REF!</v>
      </c>
      <c r="F471" t="s">
        <v>848</v>
      </c>
      <c r="G471" t="s">
        <v>849</v>
      </c>
      <c r="H471" s="1"/>
      <c r="I471" s="1">
        <v>45425</v>
      </c>
      <c r="J471" s="2">
        <v>522</v>
      </c>
      <c r="K471" t="s">
        <v>749</v>
      </c>
      <c r="L471" t="str">
        <f>INDEX(Dispodaten2!B:B,MATCH(C471,Dispodaten2!A:A,0))</f>
        <v>PD</v>
      </c>
    </row>
    <row r="472" spans="1:12" ht="13.5" hidden="1" x14ac:dyDescent="0.2">
      <c r="A472" t="s">
        <v>0</v>
      </c>
      <c r="B472" t="s">
        <v>729</v>
      </c>
      <c r="C472" t="s">
        <v>790</v>
      </c>
      <c r="D472" s="10" t="e">
        <f>INDEX(#REF!,MATCH(Validade!C472,#REF!,0))</f>
        <v>#REF!</v>
      </c>
      <c r="E472" s="10" t="e">
        <f>INDEX(#REF!,MATCH(Validade!C472,#REF!,0))</f>
        <v>#REF!</v>
      </c>
      <c r="F472" t="s">
        <v>791</v>
      </c>
      <c r="G472" t="s">
        <v>792</v>
      </c>
      <c r="H472" s="1"/>
      <c r="I472" s="1">
        <v>44784</v>
      </c>
      <c r="J472" s="2">
        <v>500</v>
      </c>
      <c r="K472" t="s">
        <v>749</v>
      </c>
      <c r="L472" t="str">
        <f>INDEX(Dispodaten2!B:B,MATCH(C472,Dispodaten2!A:A,0))</f>
        <v>PD</v>
      </c>
    </row>
    <row r="473" spans="1:12" ht="13.5" hidden="1" x14ac:dyDescent="0.2">
      <c r="A473" t="s">
        <v>0</v>
      </c>
      <c r="B473" t="s">
        <v>729</v>
      </c>
      <c r="C473" t="s">
        <v>793</v>
      </c>
      <c r="D473" s="10" t="e">
        <f>INDEX(#REF!,MATCH(Validade!C473,#REF!,0))</f>
        <v>#REF!</v>
      </c>
      <c r="E473" s="10" t="e">
        <f>INDEX(#REF!,MATCH(Validade!C473,#REF!,0))</f>
        <v>#REF!</v>
      </c>
      <c r="F473" t="s">
        <v>794</v>
      </c>
      <c r="G473" t="s">
        <v>795</v>
      </c>
      <c r="H473" s="1"/>
      <c r="I473" s="1">
        <v>44791</v>
      </c>
      <c r="J473" s="2">
        <v>457</v>
      </c>
      <c r="K473" t="s">
        <v>749</v>
      </c>
      <c r="L473" t="str">
        <f>INDEX(Dispodaten2!B:B,MATCH(C473,Dispodaten2!A:A,0))</f>
        <v>PD</v>
      </c>
    </row>
    <row r="474" spans="1:12" ht="13.5" hidden="1" x14ac:dyDescent="0.2">
      <c r="A474" t="s">
        <v>0</v>
      </c>
      <c r="B474" t="s">
        <v>729</v>
      </c>
      <c r="C474" t="s">
        <v>754</v>
      </c>
      <c r="D474" s="10" t="e">
        <f>INDEX(#REF!,MATCH(Validade!C474,#REF!,0))</f>
        <v>#REF!</v>
      </c>
      <c r="E474" s="10" t="e">
        <f>INDEX(#REF!,MATCH(Validade!C474,#REF!,0))</f>
        <v>#REF!</v>
      </c>
      <c r="F474" t="s">
        <v>755</v>
      </c>
      <c r="G474" t="s">
        <v>756</v>
      </c>
      <c r="H474" s="1"/>
      <c r="I474" s="1"/>
      <c r="J474" s="2">
        <v>967</v>
      </c>
      <c r="K474" t="s">
        <v>749</v>
      </c>
      <c r="L474" t="str">
        <f>INDEX(Dispodaten2!B:B,MATCH(C474,Dispodaten2!A:A,0))</f>
        <v>PD</v>
      </c>
    </row>
    <row r="475" spans="1:12" ht="13.5" hidden="1" x14ac:dyDescent="0.2">
      <c r="A475" t="s">
        <v>0</v>
      </c>
      <c r="B475" t="s">
        <v>729</v>
      </c>
      <c r="C475" t="s">
        <v>757</v>
      </c>
      <c r="D475" s="10" t="e">
        <f>INDEX(#REF!,MATCH(Validade!C475,#REF!,0))</f>
        <v>#REF!</v>
      </c>
      <c r="E475" s="10" t="e">
        <f>INDEX(#REF!,MATCH(Validade!C475,#REF!,0))</f>
        <v>#REF!</v>
      </c>
      <c r="F475" t="s">
        <v>758</v>
      </c>
      <c r="G475" t="s">
        <v>759</v>
      </c>
      <c r="H475" s="1"/>
      <c r="I475" s="1"/>
      <c r="J475" s="2">
        <v>512</v>
      </c>
      <c r="K475" t="s">
        <v>749</v>
      </c>
      <c r="L475" t="str">
        <f>INDEX(Dispodaten2!B:B,MATCH(C475,Dispodaten2!A:A,0))</f>
        <v>PD</v>
      </c>
    </row>
    <row r="476" spans="1:12" ht="13.5" hidden="1" x14ac:dyDescent="0.2">
      <c r="A476" t="s">
        <v>0</v>
      </c>
      <c r="B476" t="s">
        <v>729</v>
      </c>
      <c r="C476" t="s">
        <v>829</v>
      </c>
      <c r="D476" s="10" t="e">
        <f>INDEX(#REF!,MATCH(Validade!C476,#REF!,0))</f>
        <v>#REF!</v>
      </c>
      <c r="E476" s="10" t="e">
        <f>INDEX(#REF!,MATCH(Validade!C476,#REF!,0))</f>
        <v>#REF!</v>
      </c>
      <c r="F476" t="s">
        <v>830</v>
      </c>
      <c r="G476" t="s">
        <v>831</v>
      </c>
      <c r="H476" s="1"/>
      <c r="I476" s="1">
        <v>45078</v>
      </c>
      <c r="J476" s="2">
        <v>472</v>
      </c>
      <c r="K476" t="s">
        <v>749</v>
      </c>
      <c r="L476" t="str">
        <f>INDEX(Dispodaten2!B:B,MATCH(C476,Dispodaten2!A:A,0))</f>
        <v>PD</v>
      </c>
    </row>
    <row r="477" spans="1:12" ht="13.5" hidden="1" x14ac:dyDescent="0.2">
      <c r="A477" t="s">
        <v>0</v>
      </c>
      <c r="B477" t="s">
        <v>729</v>
      </c>
      <c r="C477" t="s">
        <v>832</v>
      </c>
      <c r="D477" s="10" t="e">
        <f>INDEX(#REF!,MATCH(Validade!C477,#REF!,0))</f>
        <v>#REF!</v>
      </c>
      <c r="E477" s="10" t="e">
        <f>INDEX(#REF!,MATCH(Validade!C477,#REF!,0))</f>
        <v>#REF!</v>
      </c>
      <c r="F477" t="s">
        <v>833</v>
      </c>
      <c r="G477" t="s">
        <v>834</v>
      </c>
      <c r="H477" s="1"/>
      <c r="I477" s="1">
        <v>45138</v>
      </c>
      <c r="J477" s="2">
        <v>500</v>
      </c>
      <c r="K477" t="s">
        <v>749</v>
      </c>
      <c r="L477" t="str">
        <f>INDEX(Dispodaten2!B:B,MATCH(C477,Dispodaten2!A:A,0))</f>
        <v>PD</v>
      </c>
    </row>
    <row r="478" spans="1:12" ht="13.5" hidden="1" x14ac:dyDescent="0.2">
      <c r="A478" t="s">
        <v>0</v>
      </c>
      <c r="B478" t="s">
        <v>729</v>
      </c>
      <c r="C478" t="s">
        <v>760</v>
      </c>
      <c r="D478" s="10" t="e">
        <f>INDEX(#REF!,MATCH(Validade!C478,#REF!,0))</f>
        <v>#REF!</v>
      </c>
      <c r="E478" s="10" t="e">
        <f>INDEX(#REF!,MATCH(Validade!C478,#REF!,0))</f>
        <v>#REF!</v>
      </c>
      <c r="F478" t="s">
        <v>761</v>
      </c>
      <c r="G478" t="s">
        <v>762</v>
      </c>
      <c r="H478" s="1"/>
      <c r="I478" s="1"/>
      <c r="J478" s="2">
        <v>816</v>
      </c>
      <c r="K478" t="s">
        <v>749</v>
      </c>
      <c r="L478" t="str">
        <f>INDEX(Dispodaten2!B:B,MATCH(C478,Dispodaten2!A:A,0))</f>
        <v>PD</v>
      </c>
    </row>
    <row r="479" spans="1:12" ht="13.5" hidden="1" x14ac:dyDescent="0.2">
      <c r="A479" t="s">
        <v>0</v>
      </c>
      <c r="B479" t="s">
        <v>729</v>
      </c>
      <c r="C479" t="s">
        <v>763</v>
      </c>
      <c r="D479" s="10" t="e">
        <f>INDEX(#REF!,MATCH(Validade!C479,#REF!,0))</f>
        <v>#REF!</v>
      </c>
      <c r="E479" s="10" t="e">
        <f>INDEX(#REF!,MATCH(Validade!C479,#REF!,0))</f>
        <v>#REF!</v>
      </c>
      <c r="F479" t="s">
        <v>764</v>
      </c>
      <c r="G479" t="s">
        <v>765</v>
      </c>
      <c r="H479" s="1"/>
      <c r="I479" s="1">
        <v>45076</v>
      </c>
      <c r="J479" s="2">
        <v>498</v>
      </c>
      <c r="K479" t="s">
        <v>749</v>
      </c>
      <c r="L479" t="str">
        <f>INDEX(Dispodaten2!B:B,MATCH(C479,Dispodaten2!A:A,0))</f>
        <v>PD</v>
      </c>
    </row>
    <row r="480" spans="1:12" ht="13.5" hidden="1" x14ac:dyDescent="0.2">
      <c r="A480" t="s">
        <v>0</v>
      </c>
      <c r="B480" t="s">
        <v>729</v>
      </c>
      <c r="C480" t="s">
        <v>835</v>
      </c>
      <c r="D480" s="10" t="e">
        <f>INDEX(#REF!,MATCH(Validade!C480,#REF!,0))</f>
        <v>#REF!</v>
      </c>
      <c r="E480" s="10" t="e">
        <f>INDEX(#REF!,MATCH(Validade!C480,#REF!,0))</f>
        <v>#REF!</v>
      </c>
      <c r="F480" t="s">
        <v>836</v>
      </c>
      <c r="G480" t="s">
        <v>837</v>
      </c>
      <c r="H480" s="1"/>
      <c r="I480" s="1">
        <v>45463</v>
      </c>
      <c r="J480" s="2">
        <v>507</v>
      </c>
      <c r="K480" t="s">
        <v>749</v>
      </c>
      <c r="L480" t="str">
        <f>INDEX(Dispodaten2!B:B,MATCH(C480,Dispodaten2!A:A,0))</f>
        <v>PD</v>
      </c>
    </row>
    <row r="481" spans="1:12" ht="13.5" hidden="1" x14ac:dyDescent="0.2">
      <c r="A481" t="s">
        <v>0</v>
      </c>
      <c r="B481" t="s">
        <v>729</v>
      </c>
      <c r="C481" t="s">
        <v>838</v>
      </c>
      <c r="D481" s="10" t="e">
        <f>INDEX(#REF!,MATCH(Validade!C481,#REF!,0))</f>
        <v>#REF!</v>
      </c>
      <c r="E481" s="10" t="e">
        <f>INDEX(#REF!,MATCH(Validade!C481,#REF!,0))</f>
        <v>#REF!</v>
      </c>
      <c r="F481" t="s">
        <v>839</v>
      </c>
      <c r="G481" t="s">
        <v>840</v>
      </c>
      <c r="H481" s="1"/>
      <c r="I481" s="1">
        <v>45378</v>
      </c>
      <c r="J481" s="2">
        <v>503</v>
      </c>
      <c r="K481" t="s">
        <v>749</v>
      </c>
      <c r="L481" t="str">
        <f>INDEX(Dispodaten2!B:B,MATCH(C481,Dispodaten2!A:A,0))</f>
        <v>PD</v>
      </c>
    </row>
    <row r="482" spans="1:12" ht="13.5" hidden="1" x14ac:dyDescent="0.2">
      <c r="A482" t="s">
        <v>0</v>
      </c>
      <c r="B482" t="s">
        <v>729</v>
      </c>
      <c r="C482" t="s">
        <v>778</v>
      </c>
      <c r="D482" s="10" t="e">
        <f>INDEX(#REF!,MATCH(Validade!C482,#REF!,0))</f>
        <v>#REF!</v>
      </c>
      <c r="E482" s="10" t="e">
        <f>INDEX(#REF!,MATCH(Validade!C482,#REF!,0))</f>
        <v>#REF!</v>
      </c>
      <c r="F482" t="s">
        <v>779</v>
      </c>
      <c r="G482" t="s">
        <v>780</v>
      </c>
      <c r="H482" s="1"/>
      <c r="I482" s="1"/>
      <c r="J482" s="2">
        <v>543</v>
      </c>
      <c r="K482" t="s">
        <v>749</v>
      </c>
      <c r="L482" t="str">
        <f>INDEX(Dispodaten2!B:B,MATCH(C482,Dispodaten2!A:A,0))</f>
        <v>PD</v>
      </c>
    </row>
    <row r="483" spans="1:12" ht="13.5" hidden="1" x14ac:dyDescent="0.2">
      <c r="A483" t="s">
        <v>0</v>
      </c>
      <c r="B483" t="s">
        <v>729</v>
      </c>
      <c r="C483" t="s">
        <v>781</v>
      </c>
      <c r="D483" s="10" t="e">
        <f>INDEX(#REF!,MATCH(Validade!C483,#REF!,0))</f>
        <v>#REF!</v>
      </c>
      <c r="E483" s="10" t="e">
        <f>INDEX(#REF!,MATCH(Validade!C483,#REF!,0))</f>
        <v>#REF!</v>
      </c>
      <c r="F483" t="s">
        <v>782</v>
      </c>
      <c r="G483" t="s">
        <v>783</v>
      </c>
      <c r="H483" s="1"/>
      <c r="I483" s="1"/>
      <c r="J483" s="2">
        <v>534</v>
      </c>
      <c r="K483" t="s">
        <v>749</v>
      </c>
      <c r="L483" t="str">
        <f>INDEX(Dispodaten2!B:B,MATCH(C483,Dispodaten2!A:A,0))</f>
        <v>PD</v>
      </c>
    </row>
    <row r="484" spans="1:12" ht="13.5" hidden="1" x14ac:dyDescent="0.2">
      <c r="A484" t="s">
        <v>0</v>
      </c>
      <c r="B484" t="s">
        <v>729</v>
      </c>
      <c r="C484" t="s">
        <v>784</v>
      </c>
      <c r="D484" s="10" t="e">
        <f>INDEX(#REF!,MATCH(Validade!C484,#REF!,0))</f>
        <v>#REF!</v>
      </c>
      <c r="E484" s="10" t="e">
        <f>INDEX(#REF!,MATCH(Validade!C484,#REF!,0))</f>
        <v>#REF!</v>
      </c>
      <c r="F484" t="s">
        <v>785</v>
      </c>
      <c r="G484" t="s">
        <v>786</v>
      </c>
      <c r="H484" s="1"/>
      <c r="I484" s="1"/>
      <c r="J484" s="2">
        <v>521</v>
      </c>
      <c r="K484" t="s">
        <v>749</v>
      </c>
      <c r="L484" t="str">
        <f>INDEX(Dispodaten2!B:B,MATCH(C484,Dispodaten2!A:A,0))</f>
        <v>PD</v>
      </c>
    </row>
    <row r="485" spans="1:12" ht="13.5" hidden="1" x14ac:dyDescent="0.2">
      <c r="A485" t="s">
        <v>0</v>
      </c>
      <c r="B485" t="s">
        <v>729</v>
      </c>
      <c r="C485" t="s">
        <v>787</v>
      </c>
      <c r="D485" s="10" t="e">
        <f>INDEX(#REF!,MATCH(Validade!C485,#REF!,0))</f>
        <v>#REF!</v>
      </c>
      <c r="E485" s="10" t="e">
        <f>INDEX(#REF!,MATCH(Validade!C485,#REF!,0))</f>
        <v>#REF!</v>
      </c>
      <c r="F485" t="s">
        <v>788</v>
      </c>
      <c r="G485" t="s">
        <v>789</v>
      </c>
      <c r="H485" s="1"/>
      <c r="I485" s="1"/>
      <c r="J485" s="2">
        <v>510</v>
      </c>
      <c r="K485" t="s">
        <v>749</v>
      </c>
      <c r="L485" t="str">
        <f>INDEX(Dispodaten2!B:B,MATCH(C485,Dispodaten2!A:A,0))</f>
        <v>PD</v>
      </c>
    </row>
    <row r="486" spans="1:12" ht="13.5" hidden="1" x14ac:dyDescent="0.2">
      <c r="A486" t="s">
        <v>0</v>
      </c>
      <c r="B486" t="s">
        <v>729</v>
      </c>
      <c r="C486" t="s">
        <v>867</v>
      </c>
      <c r="D486" s="10" t="e">
        <f>INDEX(#REF!,MATCH(Validade!C486,#REF!,0))</f>
        <v>#REF!</v>
      </c>
      <c r="E486" s="10" t="e">
        <f>INDEX(#REF!,MATCH(Validade!C486,#REF!,0))</f>
        <v>#REF!</v>
      </c>
      <c r="F486" t="s">
        <v>868</v>
      </c>
      <c r="G486" t="s">
        <v>869</v>
      </c>
      <c r="H486" s="1"/>
      <c r="I486" s="1"/>
      <c r="J486" s="2">
        <v>529</v>
      </c>
      <c r="K486" t="s">
        <v>749</v>
      </c>
      <c r="L486" t="str">
        <f>INDEX(Dispodaten2!B:B,MATCH(C486,Dispodaten2!A:A,0))</f>
        <v>PD</v>
      </c>
    </row>
    <row r="487" spans="1:12" ht="13.5" hidden="1" x14ac:dyDescent="0.2">
      <c r="A487" t="s">
        <v>0</v>
      </c>
      <c r="B487" t="s">
        <v>729</v>
      </c>
      <c r="C487" t="s">
        <v>766</v>
      </c>
      <c r="D487" s="10" t="e">
        <f>INDEX(#REF!,MATCH(Validade!C487,#REF!,0))</f>
        <v>#REF!</v>
      </c>
      <c r="E487" s="10" t="e">
        <f>INDEX(#REF!,MATCH(Validade!C487,#REF!,0))</f>
        <v>#REF!</v>
      </c>
      <c r="F487" t="s">
        <v>767</v>
      </c>
      <c r="G487" t="s">
        <v>768</v>
      </c>
      <c r="H487" s="1"/>
      <c r="I487" s="1"/>
      <c r="J487" s="2">
        <v>557</v>
      </c>
      <c r="K487" t="s">
        <v>749</v>
      </c>
      <c r="L487" t="str">
        <f>INDEX(Dispodaten2!B:B,MATCH(C487,Dispodaten2!A:A,0))</f>
        <v>PD</v>
      </c>
    </row>
    <row r="488" spans="1:12" ht="13.5" hidden="1" x14ac:dyDescent="0.2">
      <c r="A488" t="s">
        <v>0</v>
      </c>
      <c r="B488" t="s">
        <v>729</v>
      </c>
      <c r="C488" t="s">
        <v>769</v>
      </c>
      <c r="D488" s="10" t="e">
        <f>INDEX(#REF!,MATCH(Validade!C488,#REF!,0))</f>
        <v>#REF!</v>
      </c>
      <c r="E488" s="10" t="e">
        <f>INDEX(#REF!,MATCH(Validade!C488,#REF!,0))</f>
        <v>#REF!</v>
      </c>
      <c r="F488" t="s">
        <v>770</v>
      </c>
      <c r="G488" t="s">
        <v>771</v>
      </c>
      <c r="H488" s="1"/>
      <c r="I488" s="1"/>
      <c r="J488" s="2">
        <v>556</v>
      </c>
      <c r="K488" t="s">
        <v>749</v>
      </c>
      <c r="L488" t="str">
        <f>INDEX(Dispodaten2!B:B,MATCH(C488,Dispodaten2!A:A,0))</f>
        <v>PD</v>
      </c>
    </row>
    <row r="489" spans="1:12" ht="13.5" hidden="1" x14ac:dyDescent="0.2">
      <c r="A489" t="s">
        <v>0</v>
      </c>
      <c r="B489" t="s">
        <v>729</v>
      </c>
      <c r="C489" t="s">
        <v>858</v>
      </c>
      <c r="D489" s="10" t="e">
        <f>INDEX(#REF!,MATCH(Validade!C489,#REF!,0))</f>
        <v>#REF!</v>
      </c>
      <c r="E489" s="10" t="e">
        <f>INDEX(#REF!,MATCH(Validade!C489,#REF!,0))</f>
        <v>#REF!</v>
      </c>
      <c r="F489" t="s">
        <v>859</v>
      </c>
      <c r="G489" t="s">
        <v>860</v>
      </c>
      <c r="H489" s="1"/>
      <c r="I489" s="1">
        <v>45468</v>
      </c>
      <c r="J489" s="2">
        <v>544</v>
      </c>
      <c r="K489" t="s">
        <v>749</v>
      </c>
      <c r="L489" t="str">
        <f>INDEX(Dispodaten2!B:B,MATCH(C489,Dispodaten2!A:A,0))</f>
        <v>PD</v>
      </c>
    </row>
    <row r="490" spans="1:12" ht="13.5" hidden="1" x14ac:dyDescent="0.2">
      <c r="A490" t="s">
        <v>0</v>
      </c>
      <c r="B490" t="s">
        <v>729</v>
      </c>
      <c r="C490" t="s">
        <v>861</v>
      </c>
      <c r="D490" s="10" t="e">
        <f>INDEX(#REF!,MATCH(Validade!C490,#REF!,0))</f>
        <v>#REF!</v>
      </c>
      <c r="E490" s="10" t="e">
        <f>INDEX(#REF!,MATCH(Validade!C490,#REF!,0))</f>
        <v>#REF!</v>
      </c>
      <c r="F490" t="s">
        <v>862</v>
      </c>
      <c r="G490" t="s">
        <v>863</v>
      </c>
      <c r="H490" s="1"/>
      <c r="I490" s="1">
        <v>45573</v>
      </c>
      <c r="J490" s="2">
        <v>544</v>
      </c>
      <c r="K490" t="s">
        <v>749</v>
      </c>
      <c r="L490" t="str">
        <f>INDEX(Dispodaten2!B:B,MATCH(C490,Dispodaten2!A:A,0))</f>
        <v>PD</v>
      </c>
    </row>
    <row r="491" spans="1:12" ht="13.5" hidden="1" x14ac:dyDescent="0.2">
      <c r="A491" t="s">
        <v>0</v>
      </c>
      <c r="B491" t="s">
        <v>729</v>
      </c>
      <c r="C491" t="s">
        <v>772</v>
      </c>
      <c r="D491" s="10" t="e">
        <f>INDEX(#REF!,MATCH(Validade!C491,#REF!,0))</f>
        <v>#REF!</v>
      </c>
      <c r="E491" s="10" t="e">
        <f>INDEX(#REF!,MATCH(Validade!C491,#REF!,0))</f>
        <v>#REF!</v>
      </c>
      <c r="F491" t="s">
        <v>773</v>
      </c>
      <c r="G491" t="s">
        <v>774</v>
      </c>
      <c r="H491" s="1"/>
      <c r="I491" s="1"/>
      <c r="J491" s="2">
        <v>568</v>
      </c>
      <c r="K491" t="s">
        <v>749</v>
      </c>
      <c r="L491" t="str">
        <f>INDEX(Dispodaten2!B:B,MATCH(C491,Dispodaten2!A:A,0))</f>
        <v>PD</v>
      </c>
    </row>
    <row r="492" spans="1:12" ht="13.5" hidden="1" x14ac:dyDescent="0.2">
      <c r="A492" t="s">
        <v>0</v>
      </c>
      <c r="B492" t="s">
        <v>729</v>
      </c>
      <c r="C492" t="s">
        <v>775</v>
      </c>
      <c r="D492" s="10" t="e">
        <f>INDEX(#REF!,MATCH(Validade!C492,#REF!,0))</f>
        <v>#REF!</v>
      </c>
      <c r="E492" s="10" t="e">
        <f>INDEX(#REF!,MATCH(Validade!C492,#REF!,0))</f>
        <v>#REF!</v>
      </c>
      <c r="F492" t="s">
        <v>776</v>
      </c>
      <c r="G492" t="s">
        <v>777</v>
      </c>
      <c r="H492" s="1"/>
      <c r="I492" s="1"/>
      <c r="J492" s="2">
        <v>522</v>
      </c>
      <c r="K492" t="s">
        <v>749</v>
      </c>
      <c r="L492" t="str">
        <f>INDEX(Dispodaten2!B:B,MATCH(C492,Dispodaten2!A:A,0))</f>
        <v>PD</v>
      </c>
    </row>
    <row r="493" spans="1:12" ht="13.5" hidden="1" x14ac:dyDescent="0.2">
      <c r="A493" t="s">
        <v>0</v>
      </c>
      <c r="B493" t="s">
        <v>729</v>
      </c>
      <c r="C493" t="s">
        <v>864</v>
      </c>
      <c r="D493" s="10" t="e">
        <f>INDEX(#REF!,MATCH(Validade!C493,#REF!,0))</f>
        <v>#REF!</v>
      </c>
      <c r="E493" s="10" t="e">
        <f>INDEX(#REF!,MATCH(Validade!C493,#REF!,0))</f>
        <v>#REF!</v>
      </c>
      <c r="F493" t="s">
        <v>865</v>
      </c>
      <c r="G493" t="s">
        <v>866</v>
      </c>
      <c r="H493" s="1"/>
      <c r="I493" s="1">
        <v>45408</v>
      </c>
      <c r="J493" s="2">
        <v>554</v>
      </c>
      <c r="K493" t="s">
        <v>749</v>
      </c>
      <c r="L493" t="str">
        <f>INDEX(Dispodaten2!B:B,MATCH(C493,Dispodaten2!A:A,0))</f>
        <v>PD</v>
      </c>
    </row>
    <row r="494" spans="1:12" ht="13.5" hidden="1" x14ac:dyDescent="0.2">
      <c r="A494" t="s">
        <v>0</v>
      </c>
      <c r="B494" t="s">
        <v>729</v>
      </c>
      <c r="C494" t="s">
        <v>796</v>
      </c>
      <c r="D494" s="10" t="e">
        <f>INDEX(#REF!,MATCH(Validade!C494,#REF!,0))</f>
        <v>#REF!</v>
      </c>
      <c r="E494" s="10" t="e">
        <f>INDEX(#REF!,MATCH(Validade!C494,#REF!,0))</f>
        <v>#REF!</v>
      </c>
      <c r="F494" t="s">
        <v>797</v>
      </c>
      <c r="G494" t="s">
        <v>798</v>
      </c>
      <c r="H494" s="1"/>
      <c r="I494" s="1"/>
      <c r="J494" s="2">
        <v>2072</v>
      </c>
      <c r="K494" t="s">
        <v>749</v>
      </c>
      <c r="L494" t="str">
        <f>INDEX(Dispodaten2!B:B,MATCH(C494,Dispodaten2!A:A,0))</f>
        <v>PD</v>
      </c>
    </row>
    <row r="495" spans="1:12" ht="13.5" hidden="1" x14ac:dyDescent="0.2">
      <c r="A495" t="s">
        <v>0</v>
      </c>
      <c r="B495" t="s">
        <v>1</v>
      </c>
      <c r="C495" t="s">
        <v>84</v>
      </c>
      <c r="D495" s="10" t="e">
        <f>INDEX(#REF!,MATCH(Validade!C495,#REF!,0))</f>
        <v>#REF!</v>
      </c>
      <c r="E495" s="10" t="e">
        <f>INDEX(#REF!,MATCH(Validade!C495,#REF!,0))</f>
        <v>#REF!</v>
      </c>
      <c r="F495" t="s">
        <v>85</v>
      </c>
      <c r="G495" t="s">
        <v>87</v>
      </c>
      <c r="H495" s="1"/>
      <c r="I495" s="1"/>
      <c r="J495" s="2">
        <v>1</v>
      </c>
      <c r="K495" t="s">
        <v>86</v>
      </c>
      <c r="L495" t="str">
        <f>INDEX(Dispodaten2!B:B,MATCH(C495,Dispodaten2!A:A,0))</f>
        <v>V1</v>
      </c>
    </row>
    <row r="496" spans="1:12" ht="13.5" hidden="1" x14ac:dyDescent="0.2">
      <c r="A496" t="s">
        <v>0</v>
      </c>
      <c r="B496" t="s">
        <v>729</v>
      </c>
      <c r="C496" t="s">
        <v>1307</v>
      </c>
      <c r="D496" s="10" t="e">
        <f>INDEX(#REF!,MATCH(Validade!C496,#REF!,0))</f>
        <v>#REF!</v>
      </c>
      <c r="E496" s="10" t="e">
        <f>INDEX(#REF!,MATCH(Validade!C496,#REF!,0))</f>
        <v>#REF!</v>
      </c>
      <c r="F496" t="s">
        <v>1308</v>
      </c>
      <c r="G496" t="s">
        <v>1309</v>
      </c>
      <c r="H496" s="1"/>
      <c r="I496" s="1"/>
      <c r="J496" s="2">
        <v>1892990</v>
      </c>
      <c r="K496" t="s">
        <v>1305</v>
      </c>
      <c r="L496" t="str">
        <f>INDEX(Dispodaten2!B:B,MATCH(C496,Dispodaten2!A:A,0))</f>
        <v>PD</v>
      </c>
    </row>
    <row r="497" spans="1:12" ht="13.5" hidden="1" x14ac:dyDescent="0.2">
      <c r="A497" t="s">
        <v>0</v>
      </c>
      <c r="B497" t="s">
        <v>729</v>
      </c>
      <c r="C497" t="s">
        <v>1303</v>
      </c>
      <c r="D497" s="10" t="e">
        <f>INDEX(#REF!,MATCH(Validade!C497,#REF!,0))</f>
        <v>#REF!</v>
      </c>
      <c r="E497" s="10" t="e">
        <f>INDEX(#REF!,MATCH(Validade!C497,#REF!,0))</f>
        <v>#REF!</v>
      </c>
      <c r="F497" t="s">
        <v>1304</v>
      </c>
      <c r="G497" t="s">
        <v>1306</v>
      </c>
      <c r="H497" s="1"/>
      <c r="I497" s="1"/>
      <c r="J497" s="2">
        <v>921000</v>
      </c>
      <c r="K497" t="s">
        <v>1305</v>
      </c>
      <c r="L497" t="str">
        <f>INDEX(Dispodaten2!B:B,MATCH(C497,Dispodaten2!A:A,0))</f>
        <v>PD</v>
      </c>
    </row>
    <row r="498" spans="1:12" ht="13.5" hidden="1" x14ac:dyDescent="0.2">
      <c r="A498" t="s">
        <v>0</v>
      </c>
      <c r="B498" t="s">
        <v>729</v>
      </c>
      <c r="C498" t="s">
        <v>1116</v>
      </c>
      <c r="D498" s="10" t="e">
        <f>INDEX(#REF!,MATCH(Validade!C498,#REF!,0))</f>
        <v>#REF!</v>
      </c>
      <c r="E498" s="10" t="e">
        <f>INDEX(#REF!,MATCH(Validade!C498,#REF!,0))</f>
        <v>#REF!</v>
      </c>
      <c r="F498" t="s">
        <v>1117</v>
      </c>
      <c r="G498" t="s">
        <v>1118</v>
      </c>
      <c r="H498" s="1"/>
      <c r="I498" s="1"/>
      <c r="J498" s="2">
        <v>149</v>
      </c>
      <c r="K498" t="s">
        <v>1063</v>
      </c>
      <c r="L498" t="str">
        <f>INDEX(Dispodaten2!B:B,MATCH(C498,Dispodaten2!A:A,0))</f>
        <v>PD</v>
      </c>
    </row>
    <row r="499" spans="1:12" ht="13.5" hidden="1" x14ac:dyDescent="0.2">
      <c r="A499" t="s">
        <v>0</v>
      </c>
      <c r="B499" t="s">
        <v>729</v>
      </c>
      <c r="C499" t="s">
        <v>1061</v>
      </c>
      <c r="D499" s="10" t="e">
        <f>INDEX(#REF!,MATCH(Validade!C499,#REF!,0))</f>
        <v>#REF!</v>
      </c>
      <c r="E499" s="10" t="e">
        <f>INDEX(#REF!,MATCH(Validade!C499,#REF!,0))</f>
        <v>#REF!</v>
      </c>
      <c r="F499" t="s">
        <v>1062</v>
      </c>
      <c r="G499" t="s">
        <v>1064</v>
      </c>
      <c r="H499" s="1"/>
      <c r="I499" s="1"/>
      <c r="J499" s="2">
        <v>199</v>
      </c>
      <c r="K499" t="s">
        <v>1063</v>
      </c>
      <c r="L499" t="str">
        <f>INDEX(Dispodaten2!B:B,MATCH(C499,Dispodaten2!A:A,0))</f>
        <v>PD</v>
      </c>
    </row>
    <row r="500" spans="1:12" ht="13.5" hidden="1" x14ac:dyDescent="0.2">
      <c r="A500" t="s">
        <v>0</v>
      </c>
      <c r="B500" t="s">
        <v>729</v>
      </c>
      <c r="C500" t="s">
        <v>1291</v>
      </c>
      <c r="D500" s="10" t="e">
        <f>INDEX(#REF!,MATCH(Validade!C500,#REF!,0))</f>
        <v>#REF!</v>
      </c>
      <c r="E500" s="10" t="e">
        <f>INDEX(#REF!,MATCH(Validade!C500,#REF!,0))</f>
        <v>#REF!</v>
      </c>
      <c r="F500" t="s">
        <v>1292</v>
      </c>
      <c r="G500" t="s">
        <v>1293</v>
      </c>
      <c r="H500" s="1">
        <v>62458</v>
      </c>
      <c r="I500" s="1"/>
      <c r="J500" s="2">
        <v>50798</v>
      </c>
      <c r="K500" t="s">
        <v>933</v>
      </c>
      <c r="L500" t="str">
        <f>INDEX(Dispodaten2!B:B,MATCH(C500,Dispodaten2!A:A,0))</f>
        <v>PD</v>
      </c>
    </row>
    <row r="501" spans="1:12" ht="13.5" hidden="1" x14ac:dyDescent="0.2">
      <c r="A501" t="s">
        <v>0</v>
      </c>
      <c r="B501" t="s">
        <v>729</v>
      </c>
      <c r="C501" t="s">
        <v>1508</v>
      </c>
      <c r="D501" s="10" t="e">
        <f>INDEX(#REF!,MATCH(Validade!C501,#REF!,0))</f>
        <v>#REF!</v>
      </c>
      <c r="E501" s="10" t="e">
        <f>INDEX(#REF!,MATCH(Validade!C501,#REF!,0))</f>
        <v>#REF!</v>
      </c>
      <c r="F501" t="s">
        <v>1509</v>
      </c>
      <c r="G501" t="s">
        <v>1510</v>
      </c>
      <c r="H501" s="1"/>
      <c r="I501" s="1"/>
      <c r="J501" s="2">
        <v>1430</v>
      </c>
      <c r="K501" t="s">
        <v>933</v>
      </c>
      <c r="L501" t="str">
        <f>INDEX(Dispodaten2!B:B,MATCH(C501,Dispodaten2!A:A,0))</f>
        <v>PD</v>
      </c>
    </row>
    <row r="502" spans="1:12" ht="13.5" hidden="1" x14ac:dyDescent="0.2">
      <c r="A502" t="s">
        <v>0</v>
      </c>
      <c r="B502" t="s">
        <v>729</v>
      </c>
      <c r="C502" t="s">
        <v>931</v>
      </c>
      <c r="D502" s="10" t="e">
        <f>INDEX(#REF!,MATCH(Validade!C502,#REF!,0))</f>
        <v>#REF!</v>
      </c>
      <c r="E502" s="10" t="e">
        <f>INDEX(#REF!,MATCH(Validade!C502,#REF!,0))</f>
        <v>#REF!</v>
      </c>
      <c r="F502" t="s">
        <v>932</v>
      </c>
      <c r="G502" t="s">
        <v>934</v>
      </c>
      <c r="H502" s="1"/>
      <c r="I502" s="1"/>
      <c r="J502" s="2">
        <v>6000</v>
      </c>
      <c r="K502" t="s">
        <v>933</v>
      </c>
      <c r="L502" t="str">
        <f>INDEX(Dispodaten2!B:B,MATCH(C502,Dispodaten2!A:A,0))</f>
        <v>PD</v>
      </c>
    </row>
    <row r="503" spans="1:12" ht="13.5" hidden="1" x14ac:dyDescent="0.2">
      <c r="A503" t="s">
        <v>0</v>
      </c>
      <c r="B503" t="s">
        <v>729</v>
      </c>
      <c r="C503" t="s">
        <v>935</v>
      </c>
      <c r="D503" s="10" t="e">
        <f>INDEX(#REF!,MATCH(Validade!C503,#REF!,0))</f>
        <v>#REF!</v>
      </c>
      <c r="E503" s="10" t="e">
        <f>INDEX(#REF!,MATCH(Validade!C503,#REF!,0))</f>
        <v>#REF!</v>
      </c>
      <c r="F503" t="s">
        <v>936</v>
      </c>
      <c r="G503" t="s">
        <v>937</v>
      </c>
      <c r="H503" s="1"/>
      <c r="I503" s="1"/>
      <c r="J503" s="2">
        <v>8825</v>
      </c>
      <c r="K503" t="s">
        <v>933</v>
      </c>
      <c r="L503" t="str">
        <f>INDEX(Dispodaten2!B:B,MATCH(C503,Dispodaten2!A:A,0))</f>
        <v>PD</v>
      </c>
    </row>
    <row r="504" spans="1:12" ht="13.5" hidden="1" x14ac:dyDescent="0.2">
      <c r="A504" t="s">
        <v>0</v>
      </c>
      <c r="B504" t="s">
        <v>729</v>
      </c>
      <c r="C504" t="s">
        <v>1514</v>
      </c>
      <c r="D504" s="10" t="e">
        <f>INDEX(#REF!,MATCH(Validade!C504,#REF!,0))</f>
        <v>#REF!</v>
      </c>
      <c r="E504" s="10" t="e">
        <f>INDEX(#REF!,MATCH(Validade!C504,#REF!,0))</f>
        <v>#REF!</v>
      </c>
      <c r="F504" t="s">
        <v>1515</v>
      </c>
      <c r="G504" t="s">
        <v>1516</v>
      </c>
      <c r="H504" s="1"/>
      <c r="I504" s="1"/>
      <c r="J504" s="2">
        <v>10000</v>
      </c>
      <c r="K504" t="s">
        <v>933</v>
      </c>
      <c r="L504" t="str">
        <f>INDEX(Dispodaten2!B:B,MATCH(C504,Dispodaten2!A:A,0))</f>
        <v>PD</v>
      </c>
    </row>
    <row r="505" spans="1:12" ht="13.5" hidden="1" x14ac:dyDescent="0.2">
      <c r="A505" t="s">
        <v>0</v>
      </c>
      <c r="B505" t="s">
        <v>729</v>
      </c>
      <c r="C505" t="s">
        <v>1511</v>
      </c>
      <c r="D505" s="10" t="e">
        <f>INDEX(#REF!,MATCH(Validade!C505,#REF!,0))</f>
        <v>#REF!</v>
      </c>
      <c r="E505" s="10" t="e">
        <f>INDEX(#REF!,MATCH(Validade!C505,#REF!,0))</f>
        <v>#REF!</v>
      </c>
      <c r="F505" t="s">
        <v>1512</v>
      </c>
      <c r="G505" t="s">
        <v>1513</v>
      </c>
      <c r="H505" s="1"/>
      <c r="I505" s="1"/>
      <c r="J505" s="2">
        <v>1000</v>
      </c>
      <c r="K505" t="s">
        <v>933</v>
      </c>
      <c r="L505" t="str">
        <f>INDEX(Dispodaten2!B:B,MATCH(C505,Dispodaten2!A:A,0))</f>
        <v>PD</v>
      </c>
    </row>
    <row r="506" spans="1:12" ht="13.5" hidden="1" x14ac:dyDescent="0.2">
      <c r="A506" t="s">
        <v>0</v>
      </c>
      <c r="B506" t="s">
        <v>729</v>
      </c>
      <c r="C506" t="s">
        <v>1113</v>
      </c>
      <c r="D506" s="10" t="e">
        <f>INDEX(#REF!,MATCH(Validade!C506,#REF!,0))</f>
        <v>#REF!</v>
      </c>
      <c r="E506" s="10" t="e">
        <f>INDEX(#REF!,MATCH(Validade!C506,#REF!,0))</f>
        <v>#REF!</v>
      </c>
      <c r="F506" t="s">
        <v>1114</v>
      </c>
      <c r="G506" t="s">
        <v>1115</v>
      </c>
      <c r="H506" s="1"/>
      <c r="I506" s="1"/>
      <c r="J506" s="2">
        <v>1000</v>
      </c>
      <c r="K506" t="s">
        <v>933</v>
      </c>
      <c r="L506" t="str">
        <f>INDEX(Dispodaten2!B:B,MATCH(C506,Dispodaten2!A:A,0))</f>
        <v>PD</v>
      </c>
    </row>
    <row r="507" spans="1:12" ht="13.5" hidden="1" x14ac:dyDescent="0.2">
      <c r="A507" t="s">
        <v>0</v>
      </c>
      <c r="B507" t="s">
        <v>729</v>
      </c>
      <c r="C507" t="s">
        <v>1033</v>
      </c>
      <c r="D507" s="10" t="e">
        <f>INDEX(#REF!,MATCH(Validade!C507,#REF!,0))</f>
        <v>#REF!</v>
      </c>
      <c r="E507" s="10" t="e">
        <f>INDEX(#REF!,MATCH(Validade!C507,#REF!,0))</f>
        <v>#REF!</v>
      </c>
      <c r="F507" t="s">
        <v>1034</v>
      </c>
      <c r="G507" t="s">
        <v>1035</v>
      </c>
      <c r="H507" s="1"/>
      <c r="I507" s="1"/>
      <c r="J507" s="2">
        <v>4</v>
      </c>
      <c r="K507" t="s">
        <v>1036</v>
      </c>
      <c r="L507" t="str">
        <f>INDEX(Dispodaten2!B:B,MATCH(C507,Dispodaten2!A:A,0))</f>
        <v>ND</v>
      </c>
    </row>
    <row r="508" spans="1:12" ht="13.5" hidden="1" x14ac:dyDescent="0.2">
      <c r="A508" t="s">
        <v>0</v>
      </c>
      <c r="B508" t="s">
        <v>1</v>
      </c>
      <c r="C508" t="s">
        <v>210</v>
      </c>
      <c r="D508" s="10" t="e">
        <f>INDEX(#REF!,MATCH(Validade!C508,#REF!,0))</f>
        <v>#REF!</v>
      </c>
      <c r="E508" s="10" t="e">
        <f>INDEX(#REF!,MATCH(Validade!C508,#REF!,0))</f>
        <v>#REF!</v>
      </c>
      <c r="F508" t="s">
        <v>211</v>
      </c>
      <c r="G508" t="s">
        <v>212</v>
      </c>
      <c r="H508" s="1"/>
      <c r="I508" s="1"/>
      <c r="J508" s="2">
        <v>220</v>
      </c>
      <c r="K508" t="s">
        <v>213</v>
      </c>
      <c r="L508" t="str">
        <f>INDEX(Dispodaten2!B:B,MATCH(C508,Dispodaten2!A:A,0))</f>
        <v>PD</v>
      </c>
    </row>
    <row r="509" spans="1:12" ht="13.5" hidden="1" x14ac:dyDescent="0.2">
      <c r="A509" t="s">
        <v>0</v>
      </c>
      <c r="B509" t="s">
        <v>729</v>
      </c>
      <c r="C509" t="s">
        <v>1666</v>
      </c>
      <c r="D509" s="10" t="e">
        <f>INDEX(#REF!,MATCH(Validade!C509,#REF!,0))</f>
        <v>#REF!</v>
      </c>
      <c r="E509" s="10" t="e">
        <f>INDEX(#REF!,MATCH(Validade!C509,#REF!,0))</f>
        <v>#REF!</v>
      </c>
      <c r="F509" t="s">
        <v>1667</v>
      </c>
      <c r="G509" t="s">
        <v>1668</v>
      </c>
      <c r="H509" s="1">
        <v>45933</v>
      </c>
      <c r="I509" s="1">
        <v>45202</v>
      </c>
      <c r="J509" s="2">
        <v>3400</v>
      </c>
      <c r="K509" t="s">
        <v>1664</v>
      </c>
      <c r="L509" t="str">
        <f>INDEX(Dispodaten2!B:B,MATCH(C509,Dispodaten2!A:A,0))</f>
        <v>V1</v>
      </c>
    </row>
    <row r="510" spans="1:12" ht="13.5" hidden="1" x14ac:dyDescent="0.2">
      <c r="A510" t="s">
        <v>0</v>
      </c>
      <c r="B510" t="s">
        <v>729</v>
      </c>
      <c r="C510" t="s">
        <v>1662</v>
      </c>
      <c r="D510" s="10" t="e">
        <f>INDEX(#REF!,MATCH(Validade!C510,#REF!,0))</f>
        <v>#REF!</v>
      </c>
      <c r="E510" s="10" t="e">
        <f>INDEX(#REF!,MATCH(Validade!C510,#REF!,0))</f>
        <v>#REF!</v>
      </c>
      <c r="F510" t="s">
        <v>1663</v>
      </c>
      <c r="G510" t="s">
        <v>1665</v>
      </c>
      <c r="H510" s="1">
        <v>45842</v>
      </c>
      <c r="I510" s="1">
        <v>45111</v>
      </c>
      <c r="J510" s="2">
        <v>400</v>
      </c>
      <c r="K510" t="s">
        <v>1664</v>
      </c>
      <c r="L510" t="str">
        <f>INDEX(Dispodaten2!B:B,MATCH(C510,Dispodaten2!A:A,0))</f>
        <v>V1</v>
      </c>
    </row>
    <row r="511" spans="1:12" ht="13.5" hidden="1" x14ac:dyDescent="0.2">
      <c r="A511" t="s">
        <v>1752</v>
      </c>
      <c r="B511" t="s">
        <v>729</v>
      </c>
      <c r="C511" t="s">
        <v>1848</v>
      </c>
      <c r="D511" s="10" t="e">
        <f>INDEX(#REF!,MATCH(Validade!C511,#REF!,0))</f>
        <v>#REF!</v>
      </c>
      <c r="E511" s="10" t="e">
        <f>INDEX(#REF!,MATCH(Validade!C511,#REF!,0))</f>
        <v>#REF!</v>
      </c>
      <c r="F511" t="s">
        <v>1849</v>
      </c>
      <c r="G511" t="s">
        <v>1850</v>
      </c>
      <c r="H511" s="1"/>
      <c r="I511" s="1"/>
      <c r="J511" s="2">
        <v>68400</v>
      </c>
      <c r="K511" t="s">
        <v>1839</v>
      </c>
      <c r="L511" t="str">
        <f>INDEX(Dispodaten2!B:B,MATCH(C511,Dispodaten2!A:A,0))</f>
        <v>V1</v>
      </c>
    </row>
    <row r="512" spans="1:12" ht="13.5" hidden="1" x14ac:dyDescent="0.2">
      <c r="A512" t="s">
        <v>1752</v>
      </c>
      <c r="B512" t="s">
        <v>729</v>
      </c>
      <c r="C512" t="s">
        <v>1756</v>
      </c>
      <c r="D512" s="10" t="e">
        <f>INDEX(#REF!,MATCH(Validade!C512,#REF!,0))</f>
        <v>#REF!</v>
      </c>
      <c r="E512" s="10" t="e">
        <f>INDEX(#REF!,MATCH(Validade!C512,#REF!,0))</f>
        <v>#REF!</v>
      </c>
      <c r="F512" t="s">
        <v>1757</v>
      </c>
      <c r="G512" t="s">
        <v>1846</v>
      </c>
      <c r="H512" s="1"/>
      <c r="I512" s="1"/>
      <c r="J512" s="2">
        <v>4000</v>
      </c>
      <c r="K512" t="s">
        <v>1839</v>
      </c>
      <c r="L512" t="str">
        <f>INDEX(Dispodaten2!B:B,MATCH(C512,Dispodaten2!A:A,0))</f>
        <v>V1</v>
      </c>
    </row>
    <row r="513" spans="1:12" ht="13.5" hidden="1" x14ac:dyDescent="0.2">
      <c r="A513" t="s">
        <v>1752</v>
      </c>
      <c r="B513" t="s">
        <v>729</v>
      </c>
      <c r="C513" t="s">
        <v>1836</v>
      </c>
      <c r="D513" s="10" t="e">
        <f>INDEX(#REF!,MATCH(Validade!C513,#REF!,0))</f>
        <v>#REF!</v>
      </c>
      <c r="E513" s="10" t="e">
        <f>INDEX(#REF!,MATCH(Validade!C513,#REF!,0))</f>
        <v>#REF!</v>
      </c>
      <c r="F513" t="s">
        <v>1837</v>
      </c>
      <c r="G513" t="s">
        <v>1838</v>
      </c>
      <c r="H513" s="1">
        <v>62458</v>
      </c>
      <c r="I513" s="1">
        <v>45187</v>
      </c>
      <c r="J513" s="2">
        <v>936</v>
      </c>
      <c r="K513" t="s">
        <v>1839</v>
      </c>
      <c r="L513" t="str">
        <f>INDEX(Dispodaten2!B:B,MATCH(C513,Dispodaten2!A:A,0))</f>
        <v>V1</v>
      </c>
    </row>
    <row r="514" spans="1:12" ht="13.5" hidden="1" x14ac:dyDescent="0.2">
      <c r="A514" t="s">
        <v>1752</v>
      </c>
      <c r="B514" t="s">
        <v>729</v>
      </c>
      <c r="C514" t="s">
        <v>1761</v>
      </c>
      <c r="D514" s="10" t="e">
        <f>INDEX(#REF!,MATCH(Validade!C514,#REF!,0))</f>
        <v>#REF!</v>
      </c>
      <c r="E514" s="10" t="e">
        <f>INDEX(#REF!,MATCH(Validade!C514,#REF!,0))</f>
        <v>#REF!</v>
      </c>
      <c r="F514" t="s">
        <v>1762</v>
      </c>
      <c r="G514" t="s">
        <v>1851</v>
      </c>
      <c r="H514" s="1"/>
      <c r="I514" s="1"/>
      <c r="J514" s="2">
        <v>1196</v>
      </c>
      <c r="K514" t="s">
        <v>1763</v>
      </c>
      <c r="L514" t="str">
        <f>INDEX(Dispodaten2!B:B,MATCH(C514,Dispodaten2!A:A,0))</f>
        <v>V1</v>
      </c>
    </row>
    <row r="515" spans="1:12" ht="13.5" hidden="1" x14ac:dyDescent="0.2">
      <c r="A515" t="s">
        <v>0</v>
      </c>
      <c r="B515" t="s">
        <v>1</v>
      </c>
      <c r="C515" t="s">
        <v>334</v>
      </c>
      <c r="D515" s="10" t="e">
        <f>INDEX(#REF!,MATCH(Validade!C515,#REF!,0))</f>
        <v>#REF!</v>
      </c>
      <c r="E515" s="10" t="e">
        <f>INDEX(#REF!,MATCH(Validade!C515,#REF!,0))</f>
        <v>#REF!</v>
      </c>
      <c r="F515" t="s">
        <v>335</v>
      </c>
      <c r="G515" t="s">
        <v>336</v>
      </c>
      <c r="H515" s="1"/>
      <c r="I515" s="1"/>
      <c r="J515" s="2">
        <v>26</v>
      </c>
      <c r="K515" t="s">
        <v>310</v>
      </c>
      <c r="L515" t="str">
        <f>INDEX(Dispodaten2!B:B,MATCH(C515,Dispodaten2!A:A,0))</f>
        <v>PD</v>
      </c>
    </row>
    <row r="516" spans="1:12" ht="13.5" hidden="1" x14ac:dyDescent="0.2">
      <c r="A516" t="s">
        <v>0</v>
      </c>
      <c r="B516" t="s">
        <v>729</v>
      </c>
      <c r="C516" t="s">
        <v>873</v>
      </c>
      <c r="D516" s="10" t="e">
        <f>INDEX(#REF!,MATCH(Validade!C516,#REF!,0))</f>
        <v>#REF!</v>
      </c>
      <c r="E516" s="10" t="e">
        <f>INDEX(#REF!,MATCH(Validade!C516,#REF!,0))</f>
        <v>#REF!</v>
      </c>
      <c r="F516" t="s">
        <v>874</v>
      </c>
      <c r="G516" t="s">
        <v>876</v>
      </c>
      <c r="H516" s="1"/>
      <c r="I516" s="1"/>
      <c r="J516" s="2">
        <v>375</v>
      </c>
      <c r="K516" t="s">
        <v>875</v>
      </c>
      <c r="L516" t="str">
        <f>INDEX(Dispodaten2!B:B,MATCH(C516,Dispodaten2!A:A,0))</f>
        <v>PD</v>
      </c>
    </row>
    <row r="517" spans="1:12" ht="13.5" hidden="1" x14ac:dyDescent="0.2">
      <c r="A517" t="s">
        <v>0</v>
      </c>
      <c r="B517" t="s">
        <v>729</v>
      </c>
      <c r="C517" t="s">
        <v>699</v>
      </c>
      <c r="D517" s="10" t="e">
        <f>INDEX(#REF!,MATCH(Validade!C517,#REF!,0))</f>
        <v>#REF!</v>
      </c>
      <c r="E517" s="10" t="e">
        <f>INDEX(#REF!,MATCH(Validade!C517,#REF!,0))</f>
        <v>#REF!</v>
      </c>
      <c r="F517" t="s">
        <v>700</v>
      </c>
      <c r="G517" t="s">
        <v>701</v>
      </c>
      <c r="H517" s="1">
        <v>45714</v>
      </c>
      <c r="I517" s="1">
        <v>45348</v>
      </c>
      <c r="J517" s="2">
        <v>29162.400000000001</v>
      </c>
      <c r="K517" t="s">
        <v>702</v>
      </c>
      <c r="L517" t="str">
        <f>INDEX(Dispodaten2!B:B,MATCH(C517,Dispodaten2!A:A,0))</f>
        <v>V1</v>
      </c>
    </row>
    <row r="518" spans="1:12" ht="13.5" hidden="1" x14ac:dyDescent="0.2">
      <c r="A518" t="s">
        <v>0</v>
      </c>
      <c r="B518" t="s">
        <v>729</v>
      </c>
      <c r="C518" t="s">
        <v>1350</v>
      </c>
      <c r="D518" s="10" t="e">
        <f>INDEX(#REF!,MATCH(Validade!C518,#REF!,0))</f>
        <v>#REF!</v>
      </c>
      <c r="E518" s="10" t="e">
        <f>INDEX(#REF!,MATCH(Validade!C518,#REF!,0))</f>
        <v>#REF!</v>
      </c>
      <c r="F518" t="s">
        <v>1351</v>
      </c>
      <c r="G518" t="s">
        <v>1352</v>
      </c>
      <c r="H518" s="1">
        <v>62458</v>
      </c>
      <c r="I518" s="1"/>
      <c r="J518" s="2">
        <v>6000</v>
      </c>
      <c r="K518" t="s">
        <v>1312</v>
      </c>
      <c r="L518" t="str">
        <f>INDEX(Dispodaten2!B:B,MATCH(C518,Dispodaten2!A:A,0))</f>
        <v>PD</v>
      </c>
    </row>
    <row r="519" spans="1:12" ht="13.5" hidden="1" x14ac:dyDescent="0.2">
      <c r="A519" t="s">
        <v>0</v>
      </c>
      <c r="B519" t="s">
        <v>729</v>
      </c>
      <c r="C519" t="s">
        <v>1343</v>
      </c>
      <c r="D519" s="10" t="e">
        <f>INDEX(#REF!,MATCH(Validade!C519,#REF!,0))</f>
        <v>#REF!</v>
      </c>
      <c r="E519" s="10" t="e">
        <f>INDEX(#REF!,MATCH(Validade!C519,#REF!,0))</f>
        <v>#REF!</v>
      </c>
      <c r="F519" t="s">
        <v>1344</v>
      </c>
      <c r="G519" t="s">
        <v>1346</v>
      </c>
      <c r="H519" s="1"/>
      <c r="I519" s="1"/>
      <c r="J519" s="2">
        <v>2000</v>
      </c>
      <c r="K519" t="s">
        <v>1312</v>
      </c>
      <c r="L519" t="str">
        <f>INDEX(Dispodaten2!B:B,MATCH(C519,Dispodaten2!A:A,0))</f>
        <v>V1</v>
      </c>
    </row>
    <row r="520" spans="1:12" ht="13.5" hidden="1" x14ac:dyDescent="0.2">
      <c r="A520" t="s">
        <v>0</v>
      </c>
      <c r="B520" t="s">
        <v>729</v>
      </c>
      <c r="C520" t="s">
        <v>1353</v>
      </c>
      <c r="D520" s="10" t="e">
        <f>INDEX(#REF!,MATCH(Validade!C520,#REF!,0))</f>
        <v>#REF!</v>
      </c>
      <c r="E520" s="10" t="e">
        <f>INDEX(#REF!,MATCH(Validade!C520,#REF!,0))</f>
        <v>#REF!</v>
      </c>
      <c r="F520" t="s">
        <v>1354</v>
      </c>
      <c r="G520" t="s">
        <v>1345</v>
      </c>
      <c r="H520" s="1">
        <v>62458</v>
      </c>
      <c r="I520" s="1"/>
      <c r="J520" s="2">
        <v>2000</v>
      </c>
      <c r="K520" t="s">
        <v>1312</v>
      </c>
      <c r="L520" t="str">
        <f>INDEX(Dispodaten2!B:B,MATCH(C520,Dispodaten2!A:A,0))</f>
        <v>PD</v>
      </c>
    </row>
    <row r="521" spans="1:12" ht="13.5" hidden="1" x14ac:dyDescent="0.2">
      <c r="A521" t="s">
        <v>0</v>
      </c>
      <c r="B521" t="s">
        <v>729</v>
      </c>
      <c r="C521" t="s">
        <v>1385</v>
      </c>
      <c r="D521" s="10" t="e">
        <f>INDEX(#REF!,MATCH(Validade!C521,#REF!,0))</f>
        <v>#REF!</v>
      </c>
      <c r="E521" s="10" t="e">
        <f>INDEX(#REF!,MATCH(Validade!C521,#REF!,0))</f>
        <v>#REF!</v>
      </c>
      <c r="F521" t="s">
        <v>1386</v>
      </c>
      <c r="G521" t="s">
        <v>1387</v>
      </c>
      <c r="H521" s="1"/>
      <c r="I521" s="1"/>
      <c r="J521" s="2">
        <v>6000</v>
      </c>
      <c r="K521" t="s">
        <v>1312</v>
      </c>
      <c r="L521" t="str">
        <f>INDEX(Dispodaten2!B:B,MATCH(C521,Dispodaten2!A:A,0))</f>
        <v>PD</v>
      </c>
    </row>
    <row r="522" spans="1:12" ht="13.5" hidden="1" x14ac:dyDescent="0.2">
      <c r="A522" t="s">
        <v>0</v>
      </c>
      <c r="B522" t="s">
        <v>729</v>
      </c>
      <c r="C522" t="s">
        <v>1473</v>
      </c>
      <c r="D522" s="10" t="e">
        <f>INDEX(#REF!,MATCH(Validade!C522,#REF!,0))</f>
        <v>#REF!</v>
      </c>
      <c r="E522" s="10" t="e">
        <f>INDEX(#REF!,MATCH(Validade!C522,#REF!,0))</f>
        <v>#REF!</v>
      </c>
      <c r="F522" t="s">
        <v>1474</v>
      </c>
      <c r="G522" t="s">
        <v>1475</v>
      </c>
      <c r="H522" s="1">
        <v>62458</v>
      </c>
      <c r="I522" s="1"/>
      <c r="J522" s="2">
        <v>249168</v>
      </c>
      <c r="K522" t="s">
        <v>1141</v>
      </c>
      <c r="L522" t="str">
        <f>INDEX(Dispodaten2!B:B,MATCH(C522,Dispodaten2!A:A,0))</f>
        <v>PD</v>
      </c>
    </row>
    <row r="523" spans="1:12" ht="13.5" hidden="1" x14ac:dyDescent="0.2">
      <c r="A523" t="s">
        <v>0</v>
      </c>
      <c r="B523" t="s">
        <v>729</v>
      </c>
      <c r="C523" t="s">
        <v>1476</v>
      </c>
      <c r="D523" s="10" t="e">
        <f>INDEX(#REF!,MATCH(Validade!C523,#REF!,0))</f>
        <v>#REF!</v>
      </c>
      <c r="E523" s="10" t="e">
        <f>INDEX(#REF!,MATCH(Validade!C523,#REF!,0))</f>
        <v>#REF!</v>
      </c>
      <c r="F523" t="s">
        <v>1477</v>
      </c>
      <c r="G523" t="s">
        <v>1478</v>
      </c>
      <c r="H523" s="1">
        <v>62458</v>
      </c>
      <c r="I523" s="1"/>
      <c r="J523" s="2">
        <v>9390</v>
      </c>
      <c r="K523" t="s">
        <v>1141</v>
      </c>
      <c r="L523" t="str">
        <f>INDEX(Dispodaten2!B:B,MATCH(C523,Dispodaten2!A:A,0))</f>
        <v>PD</v>
      </c>
    </row>
    <row r="524" spans="1:12" ht="13.5" hidden="1" x14ac:dyDescent="0.2">
      <c r="A524" t="s">
        <v>0</v>
      </c>
      <c r="B524" t="s">
        <v>729</v>
      </c>
      <c r="C524" t="s">
        <v>1153</v>
      </c>
      <c r="D524" s="10" t="e">
        <f>INDEX(#REF!,MATCH(Validade!C524,#REF!,0))</f>
        <v>#REF!</v>
      </c>
      <c r="E524" s="10" t="e">
        <f>INDEX(#REF!,MATCH(Validade!C524,#REF!,0))</f>
        <v>#REF!</v>
      </c>
      <c r="F524" t="s">
        <v>1154</v>
      </c>
      <c r="G524" t="s">
        <v>1155</v>
      </c>
      <c r="H524" s="1"/>
      <c r="I524" s="1">
        <v>45414</v>
      </c>
      <c r="J524" s="2">
        <v>90</v>
      </c>
      <c r="K524" t="s">
        <v>1141</v>
      </c>
      <c r="L524" t="str">
        <f>INDEX(Dispodaten2!B:B,MATCH(C524,Dispodaten2!A:A,0))</f>
        <v>PD</v>
      </c>
    </row>
    <row r="525" spans="1:12" ht="13.5" hidden="1" x14ac:dyDescent="0.2">
      <c r="A525" t="s">
        <v>0</v>
      </c>
      <c r="B525" t="s">
        <v>729</v>
      </c>
      <c r="C525" t="s">
        <v>1138</v>
      </c>
      <c r="D525" s="10" t="e">
        <f>INDEX(#REF!,MATCH(Validade!C525,#REF!,0))</f>
        <v>#REF!</v>
      </c>
      <c r="E525" s="10" t="e">
        <f>INDEX(#REF!,MATCH(Validade!C525,#REF!,0))</f>
        <v>#REF!</v>
      </c>
      <c r="F525" t="s">
        <v>1139</v>
      </c>
      <c r="G525" t="s">
        <v>1140</v>
      </c>
      <c r="H525" s="1"/>
      <c r="I525" s="1">
        <v>45414</v>
      </c>
      <c r="J525" s="2">
        <v>3000</v>
      </c>
      <c r="K525" t="s">
        <v>1141</v>
      </c>
      <c r="L525" t="str">
        <f>INDEX(Dispodaten2!B:B,MATCH(C525,Dispodaten2!A:A,0))</f>
        <v>PD</v>
      </c>
    </row>
    <row r="526" spans="1:12" ht="13.5" hidden="1" x14ac:dyDescent="0.2">
      <c r="A526" t="s">
        <v>0</v>
      </c>
      <c r="B526" t="s">
        <v>729</v>
      </c>
      <c r="C526" t="s">
        <v>1156</v>
      </c>
      <c r="D526" s="10" t="e">
        <f>INDEX(#REF!,MATCH(Validade!C526,#REF!,0))</f>
        <v>#REF!</v>
      </c>
      <c r="E526" s="10" t="e">
        <f>INDEX(#REF!,MATCH(Validade!C526,#REF!,0))</f>
        <v>#REF!</v>
      </c>
      <c r="F526" t="s">
        <v>1157</v>
      </c>
      <c r="G526" t="s">
        <v>1158</v>
      </c>
      <c r="H526" s="1"/>
      <c r="I526" s="1"/>
      <c r="J526" s="2">
        <v>900</v>
      </c>
      <c r="K526" t="s">
        <v>1141</v>
      </c>
      <c r="L526" t="str">
        <f>INDEX(Dispodaten2!B:B,MATCH(C526,Dispodaten2!A:A,0))</f>
        <v>PD</v>
      </c>
    </row>
    <row r="527" spans="1:12" ht="13.5" hidden="1" x14ac:dyDescent="0.2">
      <c r="A527" t="s">
        <v>0</v>
      </c>
      <c r="B527" t="s">
        <v>729</v>
      </c>
      <c r="C527" t="s">
        <v>1159</v>
      </c>
      <c r="D527" s="10" t="e">
        <f>INDEX(#REF!,MATCH(Validade!C527,#REF!,0))</f>
        <v>#REF!</v>
      </c>
      <c r="E527" s="10" t="e">
        <f>INDEX(#REF!,MATCH(Validade!C527,#REF!,0))</f>
        <v>#REF!</v>
      </c>
      <c r="F527" t="s">
        <v>1160</v>
      </c>
      <c r="G527" t="s">
        <v>1161</v>
      </c>
      <c r="H527" s="1"/>
      <c r="I527" s="1"/>
      <c r="J527" s="2">
        <v>3600</v>
      </c>
      <c r="K527" t="s">
        <v>1141</v>
      </c>
      <c r="L527" t="str">
        <f>INDEX(Dispodaten2!B:B,MATCH(C527,Dispodaten2!A:A,0))</f>
        <v>PD</v>
      </c>
    </row>
    <row r="528" spans="1:12" ht="13.5" hidden="1" x14ac:dyDescent="0.2">
      <c r="A528" t="s">
        <v>0</v>
      </c>
      <c r="B528" t="s">
        <v>729</v>
      </c>
      <c r="C528" t="s">
        <v>1142</v>
      </c>
      <c r="D528" s="10" t="e">
        <f>INDEX(#REF!,MATCH(Validade!C528,#REF!,0))</f>
        <v>#REF!</v>
      </c>
      <c r="E528" s="10" t="e">
        <f>INDEX(#REF!,MATCH(Validade!C528,#REF!,0))</f>
        <v>#REF!</v>
      </c>
      <c r="F528" t="s">
        <v>1143</v>
      </c>
      <c r="G528" t="s">
        <v>1144</v>
      </c>
      <c r="H528" s="1"/>
      <c r="I528" s="1">
        <v>45412</v>
      </c>
      <c r="J528" s="2">
        <v>5000</v>
      </c>
      <c r="K528" t="s">
        <v>1141</v>
      </c>
      <c r="L528" t="str">
        <f>INDEX(Dispodaten2!B:B,MATCH(C528,Dispodaten2!A:A,0))</f>
        <v>PD</v>
      </c>
    </row>
    <row r="529" spans="1:12" ht="13.5" hidden="1" x14ac:dyDescent="0.2">
      <c r="A529" t="s">
        <v>0</v>
      </c>
      <c r="B529" t="s">
        <v>729</v>
      </c>
      <c r="C529" t="s">
        <v>1181</v>
      </c>
      <c r="D529" s="10" t="e">
        <f>INDEX(#REF!,MATCH(Validade!C529,#REF!,0))</f>
        <v>#REF!</v>
      </c>
      <c r="E529" s="10" t="e">
        <f>INDEX(#REF!,MATCH(Validade!C529,#REF!,0))</f>
        <v>#REF!</v>
      </c>
      <c r="F529" t="s">
        <v>1182</v>
      </c>
      <c r="G529" t="s">
        <v>1183</v>
      </c>
      <c r="H529" s="1"/>
      <c r="I529" s="1"/>
      <c r="J529" s="2">
        <v>29173710</v>
      </c>
      <c r="K529" t="s">
        <v>963</v>
      </c>
      <c r="L529" t="str">
        <f>INDEX(Dispodaten2!B:B,MATCH(C529,Dispodaten2!A:A,0))</f>
        <v>PD</v>
      </c>
    </row>
    <row r="530" spans="1:12" ht="13.5" hidden="1" x14ac:dyDescent="0.2">
      <c r="A530" t="s">
        <v>0</v>
      </c>
      <c r="B530" t="s">
        <v>1</v>
      </c>
      <c r="C530" t="s">
        <v>397</v>
      </c>
      <c r="D530" s="10" t="e">
        <f>INDEX(#REF!,MATCH(Validade!C530,#REF!,0))</f>
        <v>#REF!</v>
      </c>
      <c r="E530" s="10" t="e">
        <f>INDEX(#REF!,MATCH(Validade!C530,#REF!,0))</f>
        <v>#REF!</v>
      </c>
      <c r="F530" t="s">
        <v>398</v>
      </c>
      <c r="G530" t="s">
        <v>400</v>
      </c>
      <c r="H530" s="1">
        <v>49188</v>
      </c>
      <c r="I530" s="1">
        <v>45538</v>
      </c>
      <c r="J530" s="2">
        <v>200</v>
      </c>
      <c r="K530" t="s">
        <v>399</v>
      </c>
      <c r="L530" t="str">
        <f>INDEX(Dispodaten2!B:B,MATCH(C530,Dispodaten2!A:A,0))</f>
        <v>PD</v>
      </c>
    </row>
    <row r="531" spans="1:12" ht="13.5" hidden="1" x14ac:dyDescent="0.2">
      <c r="A531" t="s">
        <v>0</v>
      </c>
      <c r="B531" t="s">
        <v>729</v>
      </c>
      <c r="C531" t="s">
        <v>1648</v>
      </c>
      <c r="D531" s="10" t="e">
        <f>INDEX(#REF!,MATCH(Validade!C531,#REF!,0))</f>
        <v>#REF!</v>
      </c>
      <c r="E531" s="10" t="e">
        <f>INDEX(#REF!,MATCH(Validade!C531,#REF!,0))</f>
        <v>#REF!</v>
      </c>
      <c r="F531" t="s">
        <v>1649</v>
      </c>
      <c r="G531" t="s">
        <v>1651</v>
      </c>
      <c r="H531" s="1"/>
      <c r="I531" s="1"/>
      <c r="J531" s="2">
        <v>104</v>
      </c>
      <c r="K531" t="s">
        <v>1650</v>
      </c>
      <c r="L531" t="str">
        <f>INDEX(Dispodaten2!B:B,MATCH(C531,Dispodaten2!A:A,0))</f>
        <v>PD</v>
      </c>
    </row>
    <row r="532" spans="1:12" ht="13.5" hidden="1" x14ac:dyDescent="0.2">
      <c r="A532" t="s">
        <v>0</v>
      </c>
      <c r="B532" t="s">
        <v>729</v>
      </c>
      <c r="C532" t="s">
        <v>1721</v>
      </c>
      <c r="D532" s="10" t="e">
        <f>INDEX(#REF!,MATCH(Validade!C532,#REF!,0))</f>
        <v>#REF!</v>
      </c>
      <c r="E532" s="10" t="e">
        <f>INDEX(#REF!,MATCH(Validade!C532,#REF!,0))</f>
        <v>#REF!</v>
      </c>
      <c r="F532" t="s">
        <v>1722</v>
      </c>
      <c r="G532" t="s">
        <v>1724</v>
      </c>
      <c r="H532" s="1">
        <v>46507</v>
      </c>
      <c r="I532" s="1"/>
      <c r="J532" s="2">
        <v>3</v>
      </c>
      <c r="K532" t="s">
        <v>1723</v>
      </c>
      <c r="L532" t="str">
        <f>INDEX(Dispodaten2!B:B,MATCH(C532,Dispodaten2!A:A,0))</f>
        <v>V1</v>
      </c>
    </row>
    <row r="533" spans="1:12" ht="13.5" hidden="1" x14ac:dyDescent="0.2">
      <c r="A533" t="s">
        <v>0</v>
      </c>
      <c r="B533" t="s">
        <v>729</v>
      </c>
      <c r="C533" t="s">
        <v>1533</v>
      </c>
      <c r="D533" s="10" t="e">
        <f>INDEX(#REF!,MATCH(Validade!C533,#REF!,0))</f>
        <v>#REF!</v>
      </c>
      <c r="E533" s="10" t="e">
        <f>INDEX(#REF!,MATCH(Validade!C533,#REF!,0))</f>
        <v>#REF!</v>
      </c>
      <c r="F533" t="s">
        <v>1534</v>
      </c>
      <c r="G533" t="s">
        <v>1536</v>
      </c>
      <c r="H533" s="1"/>
      <c r="I533" s="1"/>
      <c r="J533" s="2">
        <v>75980</v>
      </c>
      <c r="K533" t="s">
        <v>1535</v>
      </c>
      <c r="L533" t="str">
        <f>INDEX(Dispodaten2!B:B,MATCH(C533,Dispodaten2!A:A,0))</f>
        <v>PD</v>
      </c>
    </row>
    <row r="534" spans="1:12" ht="13.5" hidden="1" x14ac:dyDescent="0.2">
      <c r="A534" t="s">
        <v>1752</v>
      </c>
      <c r="B534" t="s">
        <v>729</v>
      </c>
      <c r="C534" t="s">
        <v>1857</v>
      </c>
      <c r="D534" s="10" t="e">
        <f>INDEX(#REF!,MATCH(Validade!C534,#REF!,0))</f>
        <v>#REF!</v>
      </c>
      <c r="E534" s="10" t="e">
        <f>INDEX(#REF!,MATCH(Validade!C534,#REF!,0))</f>
        <v>#REF!</v>
      </c>
      <c r="F534" t="s">
        <v>1858</v>
      </c>
      <c r="G534" t="s">
        <v>1860</v>
      </c>
      <c r="H534" s="1"/>
      <c r="I534" s="1"/>
      <c r="J534" s="2">
        <v>5</v>
      </c>
      <c r="K534" t="s">
        <v>1859</v>
      </c>
      <c r="L534" t="str">
        <f>INDEX(Dispodaten2!B:B,MATCH(C534,Dispodaten2!A:A,0))</f>
        <v>V1</v>
      </c>
    </row>
    <row r="535" spans="1:12" ht="13.5" hidden="1" x14ac:dyDescent="0.2">
      <c r="A535" t="s">
        <v>1752</v>
      </c>
      <c r="B535" t="s">
        <v>729</v>
      </c>
      <c r="C535" t="s">
        <v>1864</v>
      </c>
      <c r="D535" s="10" t="e">
        <f>INDEX(#REF!,MATCH(Validade!C535,#REF!,0))</f>
        <v>#REF!</v>
      </c>
      <c r="E535" s="10" t="e">
        <f>INDEX(#REF!,MATCH(Validade!C535,#REF!,0))</f>
        <v>#REF!</v>
      </c>
      <c r="F535" t="s">
        <v>1865</v>
      </c>
      <c r="G535" t="s">
        <v>1866</v>
      </c>
      <c r="H535" s="1"/>
      <c r="I535" s="1"/>
      <c r="J535" s="2">
        <v>3</v>
      </c>
      <c r="K535" t="s">
        <v>1859</v>
      </c>
      <c r="L535" t="str">
        <f>INDEX(Dispodaten2!B:B,MATCH(C535,Dispodaten2!A:A,0))</f>
        <v>V1</v>
      </c>
    </row>
    <row r="536" spans="1:12" ht="13.5" hidden="1" x14ac:dyDescent="0.2">
      <c r="A536" t="s">
        <v>1752</v>
      </c>
      <c r="B536" t="s">
        <v>729</v>
      </c>
      <c r="C536" t="s">
        <v>1861</v>
      </c>
      <c r="D536" s="10" t="e">
        <f>INDEX(#REF!,MATCH(Validade!C536,#REF!,0))</f>
        <v>#REF!</v>
      </c>
      <c r="E536" s="10" t="e">
        <f>INDEX(#REF!,MATCH(Validade!C536,#REF!,0))</f>
        <v>#REF!</v>
      </c>
      <c r="F536" t="s">
        <v>1862</v>
      </c>
      <c r="G536" t="s">
        <v>1863</v>
      </c>
      <c r="H536" s="1"/>
      <c r="I536" s="1"/>
      <c r="J536" s="2">
        <v>21</v>
      </c>
      <c r="K536" t="s">
        <v>1859</v>
      </c>
      <c r="L536" t="str">
        <f>INDEX(Dispodaten2!B:B,MATCH(C536,Dispodaten2!A:A,0))</f>
        <v>V1</v>
      </c>
    </row>
    <row r="537" spans="1:12" ht="13.5" hidden="1" x14ac:dyDescent="0.2">
      <c r="A537" t="s">
        <v>1752</v>
      </c>
      <c r="B537" t="s">
        <v>729</v>
      </c>
      <c r="C537" t="s">
        <v>2</v>
      </c>
      <c r="D537" s="10" t="e">
        <f>INDEX(#REF!,MATCH(Validade!C537,#REF!,0))</f>
        <v>#REF!</v>
      </c>
      <c r="E537" s="10" t="e">
        <f>INDEX(#REF!,MATCH(Validade!C537,#REF!,0))</f>
        <v>#REF!</v>
      </c>
      <c r="F537" t="s">
        <v>3</v>
      </c>
      <c r="G537" t="s">
        <v>1840</v>
      </c>
      <c r="H537" s="1"/>
      <c r="I537" s="1"/>
      <c r="J537" s="2">
        <v>5</v>
      </c>
      <c r="K537" t="s">
        <v>1753</v>
      </c>
      <c r="L537" t="str">
        <f>INDEX(Dispodaten2!B:B,MATCH(C537,Dispodaten2!A:A,0))</f>
        <v>V1</v>
      </c>
    </row>
    <row r="538" spans="1:12" ht="13.5" hidden="1" x14ac:dyDescent="0.2">
      <c r="A538" t="s">
        <v>0</v>
      </c>
      <c r="B538" t="s">
        <v>729</v>
      </c>
      <c r="C538" t="s">
        <v>1561</v>
      </c>
      <c r="D538" s="10" t="e">
        <f>INDEX(#REF!,MATCH(Validade!C538,#REF!,0))</f>
        <v>#REF!</v>
      </c>
      <c r="E538" s="10" t="e">
        <f>INDEX(#REF!,MATCH(Validade!C538,#REF!,0))</f>
        <v>#REF!</v>
      </c>
      <c r="F538" t="s">
        <v>1562</v>
      </c>
      <c r="G538" t="s">
        <v>1563</v>
      </c>
      <c r="H538" s="1"/>
      <c r="I538" s="1"/>
      <c r="J538" s="2">
        <v>448</v>
      </c>
      <c r="K538" t="s">
        <v>1471</v>
      </c>
      <c r="L538" t="str">
        <f>INDEX(Dispodaten2!B:B,MATCH(C538,Dispodaten2!A:A,0))</f>
        <v>PD</v>
      </c>
    </row>
    <row r="539" spans="1:12" ht="13.5" hidden="1" x14ac:dyDescent="0.2">
      <c r="A539" t="s">
        <v>0</v>
      </c>
      <c r="B539" t="s">
        <v>729</v>
      </c>
      <c r="C539" t="s">
        <v>1631</v>
      </c>
      <c r="D539" s="10" t="e">
        <f>INDEX(#REF!,MATCH(Validade!C539,#REF!,0))</f>
        <v>#REF!</v>
      </c>
      <c r="E539" s="10" t="e">
        <f>INDEX(#REF!,MATCH(Validade!C539,#REF!,0))</f>
        <v>#REF!</v>
      </c>
      <c r="F539" t="s">
        <v>1632</v>
      </c>
      <c r="G539" t="s">
        <v>1564</v>
      </c>
      <c r="H539" s="1"/>
      <c r="I539" s="1"/>
      <c r="J539" s="2">
        <v>700</v>
      </c>
      <c r="K539" t="s">
        <v>1471</v>
      </c>
      <c r="L539" t="str">
        <f>INDEX(Dispodaten2!B:B,MATCH(C539,Dispodaten2!A:A,0))</f>
        <v>PD</v>
      </c>
    </row>
    <row r="540" spans="1:12" ht="13.5" hidden="1" x14ac:dyDescent="0.2">
      <c r="A540" t="s">
        <v>0</v>
      </c>
      <c r="B540" t="s">
        <v>729</v>
      </c>
      <c r="C540" t="s">
        <v>1482</v>
      </c>
      <c r="D540" s="10" t="e">
        <f>INDEX(#REF!,MATCH(Validade!C540,#REF!,0))</f>
        <v>#REF!</v>
      </c>
      <c r="E540" s="10" t="e">
        <f>INDEX(#REF!,MATCH(Validade!C540,#REF!,0))</f>
        <v>#REF!</v>
      </c>
      <c r="F540" t="s">
        <v>1483</v>
      </c>
      <c r="G540" t="s">
        <v>1484</v>
      </c>
      <c r="H540" s="1"/>
      <c r="I540" s="1"/>
      <c r="J540" s="2">
        <v>5500</v>
      </c>
      <c r="K540" t="s">
        <v>1471</v>
      </c>
      <c r="L540" t="str">
        <f>INDEX(Dispodaten2!B:B,MATCH(C540,Dispodaten2!A:A,0))</f>
        <v>PD</v>
      </c>
    </row>
    <row r="541" spans="1:12" ht="13.5" hidden="1" x14ac:dyDescent="0.2">
      <c r="A541" t="s">
        <v>0</v>
      </c>
      <c r="B541" t="s">
        <v>729</v>
      </c>
      <c r="C541" t="s">
        <v>1469</v>
      </c>
      <c r="D541" s="10" t="e">
        <f>INDEX(#REF!,MATCH(Validade!C541,#REF!,0))</f>
        <v>#REF!</v>
      </c>
      <c r="E541" s="10" t="e">
        <f>INDEX(#REF!,MATCH(Validade!C541,#REF!,0))</f>
        <v>#REF!</v>
      </c>
      <c r="F541" t="s">
        <v>1470</v>
      </c>
      <c r="G541" t="s">
        <v>1472</v>
      </c>
      <c r="H541" s="1"/>
      <c r="I541" s="1"/>
      <c r="J541" s="2">
        <v>11000</v>
      </c>
      <c r="K541" t="s">
        <v>1471</v>
      </c>
      <c r="L541" t="str">
        <f>INDEX(Dispodaten2!B:B,MATCH(C541,Dispodaten2!A:A,0))</f>
        <v>PD</v>
      </c>
    </row>
    <row r="542" spans="1:12" ht="13.5" hidden="1" x14ac:dyDescent="0.2">
      <c r="A542" t="s">
        <v>0</v>
      </c>
      <c r="B542" t="s">
        <v>729</v>
      </c>
      <c r="C542" t="s">
        <v>1558</v>
      </c>
      <c r="D542" s="10" t="e">
        <f>INDEX(#REF!,MATCH(Validade!C542,#REF!,0))</f>
        <v>#REF!</v>
      </c>
      <c r="E542" s="10" t="e">
        <f>INDEX(#REF!,MATCH(Validade!C542,#REF!,0))</f>
        <v>#REF!</v>
      </c>
      <c r="F542" t="s">
        <v>1559</v>
      </c>
      <c r="G542" t="s">
        <v>1560</v>
      </c>
      <c r="H542" s="1"/>
      <c r="I542" s="1"/>
      <c r="J542" s="2">
        <v>2000</v>
      </c>
      <c r="K542" t="s">
        <v>1471</v>
      </c>
      <c r="L542" t="str">
        <f>INDEX(Dispodaten2!B:B,MATCH(C542,Dispodaten2!A:A,0))</f>
        <v>PD</v>
      </c>
    </row>
    <row r="543" spans="1:12" ht="13.5" hidden="1" x14ac:dyDescent="0.2">
      <c r="A543" t="s">
        <v>0</v>
      </c>
      <c r="B543" t="s">
        <v>729</v>
      </c>
      <c r="C543" t="s">
        <v>1527</v>
      </c>
      <c r="D543" s="10" t="e">
        <f>INDEX(#REF!,MATCH(Validade!C543,#REF!,0))</f>
        <v>#REF!</v>
      </c>
      <c r="E543" s="10" t="e">
        <f>INDEX(#REF!,MATCH(Validade!C543,#REF!,0))</f>
        <v>#REF!</v>
      </c>
      <c r="F543" t="s">
        <v>1528</v>
      </c>
      <c r="G543" t="s">
        <v>1529</v>
      </c>
      <c r="H543" s="1"/>
      <c r="I543" s="1"/>
      <c r="J543" s="2">
        <v>20500</v>
      </c>
      <c r="K543" t="s">
        <v>1471</v>
      </c>
      <c r="L543" t="str">
        <f>INDEX(Dispodaten2!B:B,MATCH(C543,Dispodaten2!A:A,0))</f>
        <v>PD</v>
      </c>
    </row>
    <row r="544" spans="1:12" ht="13.5" hidden="1" x14ac:dyDescent="0.2">
      <c r="A544" t="s">
        <v>0</v>
      </c>
      <c r="B544" t="s">
        <v>729</v>
      </c>
      <c r="C544" t="s">
        <v>1548</v>
      </c>
      <c r="D544" s="10" t="e">
        <f>INDEX(#REF!,MATCH(Validade!C544,#REF!,0))</f>
        <v>#REF!</v>
      </c>
      <c r="E544" s="10" t="e">
        <f>INDEX(#REF!,MATCH(Validade!C544,#REF!,0))</f>
        <v>#REF!</v>
      </c>
      <c r="F544" t="s">
        <v>1549</v>
      </c>
      <c r="G544" t="s">
        <v>1550</v>
      </c>
      <c r="H544" s="1"/>
      <c r="I544" s="1"/>
      <c r="J544" s="2">
        <v>495</v>
      </c>
      <c r="K544" t="s">
        <v>1471</v>
      </c>
      <c r="L544" t="str">
        <f>INDEX(Dispodaten2!B:B,MATCH(C544,Dispodaten2!A:A,0))</f>
        <v>PD</v>
      </c>
    </row>
    <row r="545" spans="1:12" ht="13.5" hidden="1" x14ac:dyDescent="0.2">
      <c r="A545" t="s">
        <v>0</v>
      </c>
      <c r="B545" t="s">
        <v>729</v>
      </c>
      <c r="C545" t="s">
        <v>1555</v>
      </c>
      <c r="D545" s="10" t="e">
        <f>INDEX(#REF!,MATCH(Validade!C545,#REF!,0))</f>
        <v>#REF!</v>
      </c>
      <c r="E545" s="10" t="e">
        <f>INDEX(#REF!,MATCH(Validade!C545,#REF!,0))</f>
        <v>#REF!</v>
      </c>
      <c r="F545" t="s">
        <v>1556</v>
      </c>
      <c r="G545" t="s">
        <v>1557</v>
      </c>
      <c r="H545" s="1"/>
      <c r="I545" s="1"/>
      <c r="J545" s="2">
        <v>498</v>
      </c>
      <c r="K545" t="s">
        <v>1471</v>
      </c>
      <c r="L545" t="str">
        <f>INDEX(Dispodaten2!B:B,MATCH(C545,Dispodaten2!A:A,0))</f>
        <v>PD</v>
      </c>
    </row>
    <row r="546" spans="1:12" ht="13.5" hidden="1" x14ac:dyDescent="0.2">
      <c r="A546" t="s">
        <v>1752</v>
      </c>
      <c r="B546" t="s">
        <v>729</v>
      </c>
      <c r="C546" t="s">
        <v>10</v>
      </c>
      <c r="D546" s="10" t="e">
        <f>INDEX(#REF!,MATCH(Validade!C546,#REF!,0))</f>
        <v>#REF!</v>
      </c>
      <c r="E546" s="10" t="e">
        <f>INDEX(#REF!,MATCH(Validade!C546,#REF!,0))</f>
        <v>#REF!</v>
      </c>
      <c r="F546" t="s">
        <v>11</v>
      </c>
      <c r="G546" t="s">
        <v>1867</v>
      </c>
      <c r="H546" s="1">
        <v>46033</v>
      </c>
      <c r="I546" s="1">
        <v>45484</v>
      </c>
      <c r="J546" s="2">
        <v>175</v>
      </c>
      <c r="K546" t="s">
        <v>12</v>
      </c>
      <c r="L546" t="str">
        <f>INDEX(Dispodaten2!B:B,MATCH(C546,Dispodaten2!A:A,0))</f>
        <v>V1</v>
      </c>
    </row>
    <row r="547" spans="1:12" ht="13.5" hidden="1" x14ac:dyDescent="0.2">
      <c r="A547" t="s">
        <v>0</v>
      </c>
      <c r="B547" t="s">
        <v>729</v>
      </c>
      <c r="C547" t="s">
        <v>733</v>
      </c>
      <c r="D547" s="10" t="e">
        <f>INDEX(#REF!,MATCH(Validade!C547,#REF!,0))</f>
        <v>#REF!</v>
      </c>
      <c r="E547" s="10" t="e">
        <f>INDEX(#REF!,MATCH(Validade!C547,#REF!,0))</f>
        <v>#REF!</v>
      </c>
      <c r="F547" t="s">
        <v>734</v>
      </c>
      <c r="G547" t="s">
        <v>736</v>
      </c>
      <c r="H547" s="1"/>
      <c r="I547" s="1"/>
      <c r="J547" s="2">
        <v>3341</v>
      </c>
      <c r="K547" t="s">
        <v>735</v>
      </c>
      <c r="L547" t="str">
        <f>INDEX(Dispodaten2!B:B,MATCH(C547,Dispodaten2!A:A,0))</f>
        <v>PD</v>
      </c>
    </row>
    <row r="548" spans="1:12" ht="13.5" hidden="1" x14ac:dyDescent="0.2">
      <c r="A548" t="s">
        <v>0</v>
      </c>
      <c r="B548" t="s">
        <v>729</v>
      </c>
      <c r="C548" t="s">
        <v>1274</v>
      </c>
      <c r="D548" s="10" t="e">
        <f>INDEX(#REF!,MATCH(Validade!C548,#REF!,0))</f>
        <v>#REF!</v>
      </c>
      <c r="E548" s="10" t="e">
        <f>INDEX(#REF!,MATCH(Validade!C548,#REF!,0))</f>
        <v>#REF!</v>
      </c>
      <c r="F548" t="s">
        <v>1275</v>
      </c>
      <c r="G548" t="s">
        <v>1276</v>
      </c>
      <c r="H548" s="1">
        <v>62458</v>
      </c>
      <c r="I548" s="1"/>
      <c r="J548" s="2">
        <v>5.0410000000000004</v>
      </c>
      <c r="K548" t="s">
        <v>1215</v>
      </c>
      <c r="L548" t="str">
        <f>INDEX(Dispodaten2!B:B,MATCH(C548,Dispodaten2!A:A,0))</f>
        <v>PD</v>
      </c>
    </row>
    <row r="549" spans="1:12" ht="13.5" hidden="1" x14ac:dyDescent="0.2">
      <c r="A549" t="s">
        <v>0</v>
      </c>
      <c r="B549" t="s">
        <v>729</v>
      </c>
      <c r="C549" t="s">
        <v>1262</v>
      </c>
      <c r="D549" s="10" t="e">
        <f>INDEX(#REF!,MATCH(Validade!C549,#REF!,0))</f>
        <v>#REF!</v>
      </c>
      <c r="E549" s="10" t="e">
        <f>INDEX(#REF!,MATCH(Validade!C549,#REF!,0))</f>
        <v>#REF!</v>
      </c>
      <c r="F549" t="s">
        <v>1263</v>
      </c>
      <c r="G549" t="s">
        <v>1264</v>
      </c>
      <c r="H549" s="1"/>
      <c r="I549" s="1"/>
      <c r="J549" s="2">
        <v>3</v>
      </c>
      <c r="K549" t="s">
        <v>1215</v>
      </c>
      <c r="L549" t="str">
        <f>INDEX(Dispodaten2!B:B,MATCH(C549,Dispodaten2!A:A,0))</f>
        <v>PD</v>
      </c>
    </row>
    <row r="550" spans="1:12" ht="13.5" hidden="1" x14ac:dyDescent="0.2">
      <c r="A550" t="s">
        <v>0</v>
      </c>
      <c r="B550" t="s">
        <v>729</v>
      </c>
      <c r="C550" t="s">
        <v>1235</v>
      </c>
      <c r="D550" s="10" t="e">
        <f>INDEX(#REF!,MATCH(Validade!C550,#REF!,0))</f>
        <v>#REF!</v>
      </c>
      <c r="E550" s="10" t="e">
        <f>INDEX(#REF!,MATCH(Validade!C550,#REF!,0))</f>
        <v>#REF!</v>
      </c>
      <c r="F550" t="s">
        <v>1236</v>
      </c>
      <c r="G550" t="s">
        <v>1237</v>
      </c>
      <c r="H550" s="1">
        <v>62458</v>
      </c>
      <c r="I550" s="1"/>
      <c r="J550" s="2">
        <v>72990</v>
      </c>
      <c r="K550" t="s">
        <v>1215</v>
      </c>
      <c r="L550" t="str">
        <f>INDEX(Dispodaten2!B:B,MATCH(C550,Dispodaten2!A:A,0))</f>
        <v>PD</v>
      </c>
    </row>
    <row r="551" spans="1:12" ht="13.5" hidden="1" x14ac:dyDescent="0.2">
      <c r="A551" t="s">
        <v>0</v>
      </c>
      <c r="B551" t="s">
        <v>729</v>
      </c>
      <c r="C551" t="s">
        <v>1238</v>
      </c>
      <c r="D551" s="10" t="e">
        <f>INDEX(#REF!,MATCH(Validade!C551,#REF!,0))</f>
        <v>#REF!</v>
      </c>
      <c r="E551" s="10" t="e">
        <f>INDEX(#REF!,MATCH(Validade!C551,#REF!,0))</f>
        <v>#REF!</v>
      </c>
      <c r="F551" t="s">
        <v>1239</v>
      </c>
      <c r="G551" t="s">
        <v>1240</v>
      </c>
      <c r="H551" s="1">
        <v>62458</v>
      </c>
      <c r="I551" s="1"/>
      <c r="J551" s="2">
        <v>37140</v>
      </c>
      <c r="K551" t="s">
        <v>1215</v>
      </c>
      <c r="L551" t="str">
        <f>INDEX(Dispodaten2!B:B,MATCH(C551,Dispodaten2!A:A,0))</f>
        <v>PD</v>
      </c>
    </row>
    <row r="552" spans="1:12" ht="13.5" hidden="1" x14ac:dyDescent="0.2">
      <c r="A552" t="s">
        <v>0</v>
      </c>
      <c r="B552" t="s">
        <v>729</v>
      </c>
      <c r="C552" t="s">
        <v>1241</v>
      </c>
      <c r="D552" s="10" t="e">
        <f>INDEX(#REF!,MATCH(Validade!C552,#REF!,0))</f>
        <v>#REF!</v>
      </c>
      <c r="E552" s="10" t="e">
        <f>INDEX(#REF!,MATCH(Validade!C552,#REF!,0))</f>
        <v>#REF!</v>
      </c>
      <c r="F552" t="s">
        <v>1242</v>
      </c>
      <c r="G552" t="s">
        <v>1243</v>
      </c>
      <c r="H552" s="1">
        <v>62458</v>
      </c>
      <c r="I552" s="1"/>
      <c r="J552" s="2">
        <v>141379.79999999999</v>
      </c>
      <c r="K552" t="s">
        <v>1215</v>
      </c>
      <c r="L552" t="str">
        <f>INDEX(Dispodaten2!B:B,MATCH(C552,Dispodaten2!A:A,0))</f>
        <v>PD</v>
      </c>
    </row>
    <row r="553" spans="1:12" ht="13.5" hidden="1" x14ac:dyDescent="0.2">
      <c r="A553" t="s">
        <v>0</v>
      </c>
      <c r="B553" t="s">
        <v>729</v>
      </c>
      <c r="C553" t="s">
        <v>1244</v>
      </c>
      <c r="D553" s="10" t="e">
        <f>INDEX(#REF!,MATCH(Validade!C553,#REF!,0))</f>
        <v>#REF!</v>
      </c>
      <c r="E553" s="10" t="e">
        <f>INDEX(#REF!,MATCH(Validade!C553,#REF!,0))</f>
        <v>#REF!</v>
      </c>
      <c r="F553" t="s">
        <v>1245</v>
      </c>
      <c r="G553" t="s">
        <v>1246</v>
      </c>
      <c r="H553" s="1">
        <v>62458</v>
      </c>
      <c r="I553" s="1"/>
      <c r="J553" s="2">
        <v>140508.405</v>
      </c>
      <c r="K553" t="s">
        <v>1215</v>
      </c>
      <c r="L553" t="str">
        <f>INDEX(Dispodaten2!B:B,MATCH(C553,Dispodaten2!A:A,0))</f>
        <v>PD</v>
      </c>
    </row>
    <row r="554" spans="1:12" ht="13.5" hidden="1" x14ac:dyDescent="0.2">
      <c r="A554" t="s">
        <v>0</v>
      </c>
      <c r="B554" t="s">
        <v>729</v>
      </c>
      <c r="C554" t="s">
        <v>1213</v>
      </c>
      <c r="D554" s="10" t="e">
        <f>INDEX(#REF!,MATCH(Validade!C554,#REF!,0))</f>
        <v>#REF!</v>
      </c>
      <c r="E554" s="10" t="e">
        <f>INDEX(#REF!,MATCH(Validade!C554,#REF!,0))</f>
        <v>#REF!</v>
      </c>
      <c r="F554" t="s">
        <v>1214</v>
      </c>
      <c r="G554" t="s">
        <v>1216</v>
      </c>
      <c r="H554" s="1">
        <v>62458</v>
      </c>
      <c r="I554" s="1"/>
      <c r="J554" s="2">
        <v>157560</v>
      </c>
      <c r="K554" t="s">
        <v>1215</v>
      </c>
      <c r="L554" t="str">
        <f>INDEX(Dispodaten2!B:B,MATCH(C554,Dispodaten2!A:A,0))</f>
        <v>PD</v>
      </c>
    </row>
    <row r="555" spans="1:12" ht="13.5" hidden="1" x14ac:dyDescent="0.2">
      <c r="A555" t="s">
        <v>0</v>
      </c>
      <c r="B555" t="s">
        <v>729</v>
      </c>
      <c r="C555" t="s">
        <v>1217</v>
      </c>
      <c r="D555" s="10" t="e">
        <f>INDEX(#REF!,MATCH(Validade!C555,#REF!,0))</f>
        <v>#REF!</v>
      </c>
      <c r="E555" s="10" t="e">
        <f>INDEX(#REF!,MATCH(Validade!C555,#REF!,0))</f>
        <v>#REF!</v>
      </c>
      <c r="F555" t="s">
        <v>1218</v>
      </c>
      <c r="G555" t="s">
        <v>1219</v>
      </c>
      <c r="H555" s="1">
        <v>62458</v>
      </c>
      <c r="I555" s="1">
        <v>43432</v>
      </c>
      <c r="J555" s="2">
        <v>726750</v>
      </c>
      <c r="K555" t="s">
        <v>1215</v>
      </c>
      <c r="L555" t="str">
        <f>INDEX(Dispodaten2!B:B,MATCH(C555,Dispodaten2!A:A,0))</f>
        <v>PD</v>
      </c>
    </row>
    <row r="556" spans="1:12" ht="13.5" hidden="1" x14ac:dyDescent="0.2">
      <c r="A556" t="s">
        <v>0</v>
      </c>
      <c r="B556" t="s">
        <v>729</v>
      </c>
      <c r="C556" t="s">
        <v>1247</v>
      </c>
      <c r="D556" s="10" t="e">
        <f>INDEX(#REF!,MATCH(Validade!C556,#REF!,0))</f>
        <v>#REF!</v>
      </c>
      <c r="E556" s="10" t="e">
        <f>INDEX(#REF!,MATCH(Validade!C556,#REF!,0))</f>
        <v>#REF!</v>
      </c>
      <c r="F556" t="s">
        <v>1248</v>
      </c>
      <c r="G556" t="s">
        <v>1249</v>
      </c>
      <c r="H556" s="1">
        <v>62458</v>
      </c>
      <c r="I556" s="1"/>
      <c r="J556" s="2">
        <v>72900</v>
      </c>
      <c r="K556" t="s">
        <v>1215</v>
      </c>
      <c r="L556" t="str">
        <f>INDEX(Dispodaten2!B:B,MATCH(C556,Dispodaten2!A:A,0))</f>
        <v>PD</v>
      </c>
    </row>
    <row r="557" spans="1:12" ht="13.5" hidden="1" x14ac:dyDescent="0.2">
      <c r="A557" t="s">
        <v>0</v>
      </c>
      <c r="B557" t="s">
        <v>729</v>
      </c>
      <c r="C557" t="s">
        <v>1250</v>
      </c>
      <c r="D557" s="10" t="e">
        <f>INDEX(#REF!,MATCH(Validade!C557,#REF!,0))</f>
        <v>#REF!</v>
      </c>
      <c r="E557" s="10" t="e">
        <f>INDEX(#REF!,MATCH(Validade!C557,#REF!,0))</f>
        <v>#REF!</v>
      </c>
      <c r="F557" t="s">
        <v>1251</v>
      </c>
      <c r="G557" t="s">
        <v>1252</v>
      </c>
      <c r="H557" s="1">
        <v>62458</v>
      </c>
      <c r="I557" s="1"/>
      <c r="J557" s="2">
        <v>23800</v>
      </c>
      <c r="K557" t="s">
        <v>1215</v>
      </c>
      <c r="L557" t="str">
        <f>INDEX(Dispodaten2!B:B,MATCH(C557,Dispodaten2!A:A,0))</f>
        <v>PD</v>
      </c>
    </row>
    <row r="558" spans="1:12" ht="13.5" hidden="1" x14ac:dyDescent="0.2">
      <c r="A558" t="s">
        <v>0</v>
      </c>
      <c r="B558" t="s">
        <v>729</v>
      </c>
      <c r="C558" t="s">
        <v>1281</v>
      </c>
      <c r="D558" s="10" t="e">
        <f>INDEX(#REF!,MATCH(Validade!C558,#REF!,0))</f>
        <v>#REF!</v>
      </c>
      <c r="E558" s="10" t="e">
        <f>INDEX(#REF!,MATCH(Validade!C558,#REF!,0))</f>
        <v>#REF!</v>
      </c>
      <c r="F558" t="s">
        <v>1282</v>
      </c>
      <c r="G558" t="s">
        <v>1283</v>
      </c>
      <c r="H558" s="1">
        <v>62458</v>
      </c>
      <c r="I558" s="1"/>
      <c r="J558" s="2">
        <v>71640</v>
      </c>
      <c r="K558" t="s">
        <v>1215</v>
      </c>
      <c r="L558" t="str">
        <f>INDEX(Dispodaten2!B:B,MATCH(C558,Dispodaten2!A:A,0))</f>
        <v>PD</v>
      </c>
    </row>
    <row r="559" spans="1:12" ht="13.5" hidden="1" x14ac:dyDescent="0.2">
      <c r="A559" t="s">
        <v>0</v>
      </c>
      <c r="B559" t="s">
        <v>729</v>
      </c>
      <c r="C559" t="s">
        <v>1223</v>
      </c>
      <c r="D559" s="10" t="e">
        <f>INDEX(#REF!,MATCH(Validade!C559,#REF!,0))</f>
        <v>#REF!</v>
      </c>
      <c r="E559" s="10" t="e">
        <f>INDEX(#REF!,MATCH(Validade!C559,#REF!,0))</f>
        <v>#REF!</v>
      </c>
      <c r="F559" t="s">
        <v>1224</v>
      </c>
      <c r="G559" t="s">
        <v>1225</v>
      </c>
      <c r="H559" s="1">
        <v>62458</v>
      </c>
      <c r="I559" s="1"/>
      <c r="J559" s="2">
        <v>244040</v>
      </c>
      <c r="K559" t="s">
        <v>1215</v>
      </c>
      <c r="L559" t="str">
        <f>INDEX(Dispodaten2!B:B,MATCH(C559,Dispodaten2!A:A,0))</f>
        <v>PD</v>
      </c>
    </row>
    <row r="560" spans="1:12" ht="13.5" hidden="1" x14ac:dyDescent="0.2">
      <c r="A560" t="s">
        <v>0</v>
      </c>
      <c r="B560" t="s">
        <v>729</v>
      </c>
      <c r="C560" t="s">
        <v>1226</v>
      </c>
      <c r="D560" s="10" t="e">
        <f>INDEX(#REF!,MATCH(Validade!C560,#REF!,0))</f>
        <v>#REF!</v>
      </c>
      <c r="E560" s="10" t="e">
        <f>INDEX(#REF!,MATCH(Validade!C560,#REF!,0))</f>
        <v>#REF!</v>
      </c>
      <c r="F560" t="s">
        <v>1227</v>
      </c>
      <c r="G560" t="s">
        <v>1228</v>
      </c>
      <c r="H560" s="1">
        <v>62458</v>
      </c>
      <c r="I560" s="1"/>
      <c r="J560" s="2">
        <v>2526860</v>
      </c>
      <c r="K560" t="s">
        <v>1215</v>
      </c>
      <c r="L560" t="str">
        <f>INDEX(Dispodaten2!B:B,MATCH(C560,Dispodaten2!A:A,0))</f>
        <v>PD</v>
      </c>
    </row>
    <row r="561" spans="1:12" ht="13.5" hidden="1" x14ac:dyDescent="0.2">
      <c r="A561" t="s">
        <v>0</v>
      </c>
      <c r="B561" t="s">
        <v>729</v>
      </c>
      <c r="C561" t="s">
        <v>1229</v>
      </c>
      <c r="D561" s="10" t="e">
        <f>INDEX(#REF!,MATCH(Validade!C561,#REF!,0))</f>
        <v>#REF!</v>
      </c>
      <c r="E561" s="10" t="e">
        <f>INDEX(#REF!,MATCH(Validade!C561,#REF!,0))</f>
        <v>#REF!</v>
      </c>
      <c r="F561" t="s">
        <v>1230</v>
      </c>
      <c r="G561" t="s">
        <v>1231</v>
      </c>
      <c r="H561" s="1">
        <v>62458</v>
      </c>
      <c r="I561" s="1"/>
      <c r="J561" s="2">
        <v>355780</v>
      </c>
      <c r="K561" t="s">
        <v>1215</v>
      </c>
      <c r="L561" t="str">
        <f>INDEX(Dispodaten2!B:B,MATCH(C561,Dispodaten2!A:A,0))</f>
        <v>PD</v>
      </c>
    </row>
    <row r="562" spans="1:12" ht="13.5" hidden="1" x14ac:dyDescent="0.2">
      <c r="A562" t="s">
        <v>0</v>
      </c>
      <c r="B562" t="s">
        <v>729</v>
      </c>
      <c r="C562" t="s">
        <v>1406</v>
      </c>
      <c r="D562" s="10" t="e">
        <f>INDEX(#REF!,MATCH(Validade!C562,#REF!,0))</f>
        <v>#REF!</v>
      </c>
      <c r="E562" s="10" t="e">
        <f>INDEX(#REF!,MATCH(Validade!C562,#REF!,0))</f>
        <v>#REF!</v>
      </c>
      <c r="F562" t="s">
        <v>1407</v>
      </c>
      <c r="G562" t="s">
        <v>1408</v>
      </c>
      <c r="H562" s="1">
        <v>62458</v>
      </c>
      <c r="I562" s="1">
        <v>43439</v>
      </c>
      <c r="J562" s="2">
        <v>11560</v>
      </c>
      <c r="K562" t="s">
        <v>1215</v>
      </c>
      <c r="L562" t="str">
        <f>INDEX(Dispodaten2!B:B,MATCH(C562,Dispodaten2!A:A,0))</f>
        <v>PD</v>
      </c>
    </row>
    <row r="563" spans="1:12" ht="13.5" hidden="1" x14ac:dyDescent="0.2">
      <c r="A563" t="s">
        <v>0</v>
      </c>
      <c r="B563" t="s">
        <v>729</v>
      </c>
      <c r="C563" t="s">
        <v>1415</v>
      </c>
      <c r="D563" s="10" t="e">
        <f>INDEX(#REF!,MATCH(Validade!C563,#REF!,0))</f>
        <v>#REF!</v>
      </c>
      <c r="E563" s="10" t="e">
        <f>INDEX(#REF!,MATCH(Validade!C563,#REF!,0))</f>
        <v>#REF!</v>
      </c>
      <c r="F563" t="s">
        <v>1416</v>
      </c>
      <c r="G563" t="s">
        <v>1417</v>
      </c>
      <c r="H563" s="1">
        <v>62458</v>
      </c>
      <c r="I563" s="1"/>
      <c r="J563" s="2">
        <v>39000</v>
      </c>
      <c r="K563" t="s">
        <v>1215</v>
      </c>
      <c r="L563" t="str">
        <f>INDEX(Dispodaten2!B:B,MATCH(C563,Dispodaten2!A:A,0))</f>
        <v>PD</v>
      </c>
    </row>
    <row r="564" spans="1:12" ht="13.5" hidden="1" x14ac:dyDescent="0.2">
      <c r="A564" t="s">
        <v>0</v>
      </c>
      <c r="B564" t="s">
        <v>729</v>
      </c>
      <c r="C564" t="s">
        <v>1421</v>
      </c>
      <c r="D564" s="10" t="e">
        <f>INDEX(#REF!,MATCH(Validade!C564,#REF!,0))</f>
        <v>#REF!</v>
      </c>
      <c r="E564" s="10" t="e">
        <f>INDEX(#REF!,MATCH(Validade!C564,#REF!,0))</f>
        <v>#REF!</v>
      </c>
      <c r="F564" t="s">
        <v>1422</v>
      </c>
      <c r="G564" t="s">
        <v>1423</v>
      </c>
      <c r="H564" s="1">
        <v>62458</v>
      </c>
      <c r="I564" s="1"/>
      <c r="J564" s="2">
        <v>96750</v>
      </c>
      <c r="K564" t="s">
        <v>1215</v>
      </c>
      <c r="L564" t="str">
        <f>INDEX(Dispodaten2!B:B,MATCH(C564,Dispodaten2!A:A,0))</f>
        <v>PD</v>
      </c>
    </row>
    <row r="565" spans="1:12" ht="13.5" hidden="1" x14ac:dyDescent="0.2">
      <c r="A565" t="s">
        <v>1752</v>
      </c>
      <c r="B565" t="s">
        <v>729</v>
      </c>
      <c r="C565" t="s">
        <v>1086</v>
      </c>
      <c r="D565" s="10" t="e">
        <f>INDEX(#REF!,MATCH(Validade!C565,#REF!,0))</f>
        <v>#REF!</v>
      </c>
      <c r="E565" s="10" t="e">
        <f>INDEX(#REF!,MATCH(Validade!C565,#REF!,0))</f>
        <v>#REF!</v>
      </c>
      <c r="F565" t="s">
        <v>1087</v>
      </c>
      <c r="G565" t="s">
        <v>1932</v>
      </c>
      <c r="H565" s="1"/>
      <c r="I565" s="1"/>
      <c r="J565" s="2">
        <v>8150</v>
      </c>
      <c r="K565" t="s">
        <v>929</v>
      </c>
      <c r="L565" t="str">
        <f>INDEX(Dispodaten2!B:B,MATCH(C565,Dispodaten2!A:A,0))</f>
        <v>V1</v>
      </c>
    </row>
    <row r="566" spans="1:12" ht="13.5" hidden="1" x14ac:dyDescent="0.2">
      <c r="A566" t="s">
        <v>1752</v>
      </c>
      <c r="B566" t="s">
        <v>1984</v>
      </c>
      <c r="C566" t="s">
        <v>1747</v>
      </c>
      <c r="D566" s="10" t="e">
        <f>INDEX(#REF!,MATCH(Validade!C566,#REF!,0))</f>
        <v>#REF!</v>
      </c>
      <c r="E566" s="10" t="e">
        <f>INDEX(#REF!,MATCH(Validade!C566,#REF!,0))</f>
        <v>#REF!</v>
      </c>
      <c r="F566" t="s">
        <v>1748</v>
      </c>
      <c r="G566" t="s">
        <v>1812</v>
      </c>
      <c r="H566" s="1">
        <v>46053</v>
      </c>
      <c r="I566" s="1">
        <v>45033</v>
      </c>
      <c r="J566" s="2">
        <v>200</v>
      </c>
      <c r="K566" t="s">
        <v>1813</v>
      </c>
      <c r="L566" t="str">
        <f>INDEX(Dispodaten2!B:B,MATCH(C566,Dispodaten2!A:A,0))</f>
        <v>PD</v>
      </c>
    </row>
    <row r="567" spans="1:12" ht="13.5" hidden="1" x14ac:dyDescent="0.2">
      <c r="A567" t="s">
        <v>1752</v>
      </c>
      <c r="B567" t="s">
        <v>729</v>
      </c>
      <c r="C567" t="s">
        <v>1959</v>
      </c>
      <c r="D567" s="10" t="e">
        <f>INDEX(#REF!,MATCH(Validade!C567,#REF!,0))</f>
        <v>#REF!</v>
      </c>
      <c r="E567" s="10" t="e">
        <f>INDEX(#REF!,MATCH(Validade!C567,#REF!,0))</f>
        <v>#REF!</v>
      </c>
      <c r="F567" t="s">
        <v>1960</v>
      </c>
      <c r="G567" t="s">
        <v>1952</v>
      </c>
      <c r="H567" s="1"/>
      <c r="I567" s="1"/>
      <c r="J567" s="2">
        <v>3370</v>
      </c>
      <c r="K567" t="s">
        <v>1946</v>
      </c>
      <c r="L567" t="str">
        <f>INDEX(Dispodaten2!B:B,MATCH(C567,Dispodaten2!A:A,0))</f>
        <v>PD</v>
      </c>
    </row>
    <row r="568" spans="1:12" ht="13.5" hidden="1" x14ac:dyDescent="0.2">
      <c r="A568" t="s">
        <v>0</v>
      </c>
      <c r="B568" t="s">
        <v>1</v>
      </c>
      <c r="C568" t="s">
        <v>318</v>
      </c>
      <c r="D568" s="10" t="e">
        <f>INDEX(#REF!,MATCH(Validade!C568,#REF!,0))</f>
        <v>#REF!</v>
      </c>
      <c r="E568" s="10" t="e">
        <f>INDEX(#REF!,MATCH(Validade!C568,#REF!,0))</f>
        <v>#REF!</v>
      </c>
      <c r="F568" t="s">
        <v>319</v>
      </c>
      <c r="G568" t="s">
        <v>316</v>
      </c>
      <c r="H568" s="1">
        <v>62458</v>
      </c>
      <c r="I568" s="1">
        <v>43166</v>
      </c>
      <c r="J568" s="2">
        <v>8</v>
      </c>
      <c r="K568" t="s">
        <v>308</v>
      </c>
      <c r="L568" t="str">
        <f>INDEX(Dispodaten2!B:B,MATCH(C568,Dispodaten2!A:A,0))</f>
        <v>PD</v>
      </c>
    </row>
    <row r="569" spans="1:12" ht="13.5" hidden="1" x14ac:dyDescent="0.2">
      <c r="A569" t="s">
        <v>0</v>
      </c>
      <c r="B569" t="s">
        <v>729</v>
      </c>
      <c r="C569" t="s">
        <v>904</v>
      </c>
      <c r="D569" s="10" t="e">
        <f>INDEX(#REF!,MATCH(Validade!C569,#REF!,0))</f>
        <v>#REF!</v>
      </c>
      <c r="E569" s="10" t="e">
        <f>INDEX(#REF!,MATCH(Validade!C569,#REF!,0))</f>
        <v>#REF!</v>
      </c>
      <c r="F569" t="s">
        <v>905</v>
      </c>
      <c r="G569" t="s">
        <v>906</v>
      </c>
      <c r="H569" s="1"/>
      <c r="I569" s="1"/>
      <c r="J569" s="2">
        <v>150</v>
      </c>
      <c r="K569" t="s">
        <v>896</v>
      </c>
      <c r="L569" t="str">
        <f>INDEX(Dispodaten2!B:B,MATCH(C569,Dispodaten2!A:A,0))</f>
        <v>PD</v>
      </c>
    </row>
    <row r="570" spans="1:12" ht="13.5" hidden="1" x14ac:dyDescent="0.2">
      <c r="A570" t="s">
        <v>0</v>
      </c>
      <c r="B570" t="s">
        <v>729</v>
      </c>
      <c r="C570" t="s">
        <v>893</v>
      </c>
      <c r="D570" s="10" t="e">
        <f>INDEX(#REF!,MATCH(Validade!C570,#REF!,0))</f>
        <v>#REF!</v>
      </c>
      <c r="E570" s="10" t="e">
        <f>INDEX(#REF!,MATCH(Validade!C570,#REF!,0))</f>
        <v>#REF!</v>
      </c>
      <c r="F570" t="s">
        <v>894</v>
      </c>
      <c r="G570" t="s">
        <v>895</v>
      </c>
      <c r="H570" s="1"/>
      <c r="I570" s="1"/>
      <c r="J570" s="2">
        <v>200</v>
      </c>
      <c r="K570" t="s">
        <v>896</v>
      </c>
      <c r="L570" t="str">
        <f>INDEX(Dispodaten2!B:B,MATCH(C570,Dispodaten2!A:A,0))</f>
        <v>PD</v>
      </c>
    </row>
    <row r="571" spans="1:12" ht="13.5" hidden="1" x14ac:dyDescent="0.2">
      <c r="A571" t="s">
        <v>0</v>
      </c>
      <c r="B571" t="s">
        <v>729</v>
      </c>
      <c r="C571" t="s">
        <v>814</v>
      </c>
      <c r="D571" s="10" t="e">
        <f>INDEX(#REF!,MATCH(Validade!C571,#REF!,0))</f>
        <v>#REF!</v>
      </c>
      <c r="E571" s="10" t="e">
        <f>INDEX(#REF!,MATCH(Validade!C571,#REF!,0))</f>
        <v>#REF!</v>
      </c>
      <c r="F571" t="s">
        <v>815</v>
      </c>
      <c r="G571" t="s">
        <v>816</v>
      </c>
      <c r="H571" s="1"/>
      <c r="I571" s="1">
        <v>45461</v>
      </c>
      <c r="J571" s="2">
        <v>217</v>
      </c>
      <c r="K571" t="s">
        <v>737</v>
      </c>
      <c r="L571" t="str">
        <f>INDEX(Dispodaten2!B:B,MATCH(C571,Dispodaten2!A:A,0))</f>
        <v>PD</v>
      </c>
    </row>
    <row r="572" spans="1:12" ht="13.5" hidden="1" x14ac:dyDescent="0.2">
      <c r="A572" t="s">
        <v>0</v>
      </c>
      <c r="B572" t="s">
        <v>729</v>
      </c>
      <c r="C572" t="s">
        <v>799</v>
      </c>
      <c r="D572" s="10" t="e">
        <f>INDEX(#REF!,MATCH(Validade!C572,#REF!,0))</f>
        <v>#REF!</v>
      </c>
      <c r="E572" s="10" t="e">
        <f>INDEX(#REF!,MATCH(Validade!C572,#REF!,0))</f>
        <v>#REF!</v>
      </c>
      <c r="F572" t="s">
        <v>800</v>
      </c>
      <c r="G572" t="s">
        <v>801</v>
      </c>
      <c r="H572" s="1"/>
      <c r="I572" s="1">
        <v>45532</v>
      </c>
      <c r="J572" s="2">
        <v>472</v>
      </c>
      <c r="K572" t="s">
        <v>737</v>
      </c>
      <c r="L572" t="str">
        <f>INDEX(Dispodaten2!B:B,MATCH(C572,Dispodaten2!A:A,0))</f>
        <v>PD</v>
      </c>
    </row>
    <row r="573" spans="1:12" ht="13.5" hidden="1" x14ac:dyDescent="0.2">
      <c r="A573" t="s">
        <v>0</v>
      </c>
      <c r="B573" t="s">
        <v>729</v>
      </c>
      <c r="C573" t="s">
        <v>802</v>
      </c>
      <c r="D573" s="10" t="e">
        <f>INDEX(#REF!,MATCH(Validade!C573,#REF!,0))</f>
        <v>#REF!</v>
      </c>
      <c r="E573" s="10" t="e">
        <f>INDEX(#REF!,MATCH(Validade!C573,#REF!,0))</f>
        <v>#REF!</v>
      </c>
      <c r="F573" t="s">
        <v>803</v>
      </c>
      <c r="G573" t="s">
        <v>804</v>
      </c>
      <c r="H573" s="1"/>
      <c r="I573" s="1">
        <v>45517</v>
      </c>
      <c r="J573" s="2">
        <v>473</v>
      </c>
      <c r="K573" t="s">
        <v>737</v>
      </c>
      <c r="L573" t="str">
        <f>INDEX(Dispodaten2!B:B,MATCH(C573,Dispodaten2!A:A,0))</f>
        <v>PD</v>
      </c>
    </row>
    <row r="574" spans="1:12" ht="13.5" hidden="1" x14ac:dyDescent="0.2">
      <c r="A574" t="s">
        <v>0</v>
      </c>
      <c r="B574" t="s">
        <v>729</v>
      </c>
      <c r="C574" t="s">
        <v>805</v>
      </c>
      <c r="D574" s="10" t="e">
        <f>INDEX(#REF!,MATCH(Validade!C574,#REF!,0))</f>
        <v>#REF!</v>
      </c>
      <c r="E574" s="10" t="e">
        <f>INDEX(#REF!,MATCH(Validade!C574,#REF!,0))</f>
        <v>#REF!</v>
      </c>
      <c r="F574" t="s">
        <v>806</v>
      </c>
      <c r="G574" t="s">
        <v>807</v>
      </c>
      <c r="H574" s="1"/>
      <c r="I574" s="1">
        <v>44916</v>
      </c>
      <c r="J574" s="2">
        <v>499</v>
      </c>
      <c r="K574" t="s">
        <v>737</v>
      </c>
      <c r="L574" t="str">
        <f>INDEX(Dispodaten2!B:B,MATCH(C574,Dispodaten2!A:A,0))</f>
        <v>PD</v>
      </c>
    </row>
    <row r="575" spans="1:12" ht="13.5" hidden="1" x14ac:dyDescent="0.2">
      <c r="A575" t="s">
        <v>0</v>
      </c>
      <c r="B575" t="s">
        <v>729</v>
      </c>
      <c r="C575" t="s">
        <v>738</v>
      </c>
      <c r="D575" s="10" t="e">
        <f>INDEX(#REF!,MATCH(Validade!C575,#REF!,0))</f>
        <v>#REF!</v>
      </c>
      <c r="E575" s="10" t="e">
        <f>INDEX(#REF!,MATCH(Validade!C575,#REF!,0))</f>
        <v>#REF!</v>
      </c>
      <c r="F575" t="s">
        <v>739</v>
      </c>
      <c r="G575" t="s">
        <v>740</v>
      </c>
      <c r="H575" s="1"/>
      <c r="I575" s="1">
        <v>45530</v>
      </c>
      <c r="J575" s="2">
        <v>476</v>
      </c>
      <c r="K575" t="s">
        <v>737</v>
      </c>
      <c r="L575" t="str">
        <f>INDEX(Dispodaten2!B:B,MATCH(C575,Dispodaten2!A:A,0))</f>
        <v>PD</v>
      </c>
    </row>
    <row r="576" spans="1:12" ht="13.5" hidden="1" x14ac:dyDescent="0.2">
      <c r="A576" t="s">
        <v>0</v>
      </c>
      <c r="B576" t="s">
        <v>729</v>
      </c>
      <c r="C576" t="s">
        <v>741</v>
      </c>
      <c r="D576" s="10" t="e">
        <f>INDEX(#REF!,MATCH(Validade!C576,#REF!,0))</f>
        <v>#REF!</v>
      </c>
      <c r="E576" s="10" t="e">
        <f>INDEX(#REF!,MATCH(Validade!C576,#REF!,0))</f>
        <v>#REF!</v>
      </c>
      <c r="F576" t="s">
        <v>742</v>
      </c>
      <c r="G576" t="s">
        <v>743</v>
      </c>
      <c r="H576" s="1"/>
      <c r="I576" s="1"/>
      <c r="J576" s="2">
        <v>1001</v>
      </c>
      <c r="K576" t="s">
        <v>737</v>
      </c>
      <c r="L576" t="str">
        <f>INDEX(Dispodaten2!B:B,MATCH(C576,Dispodaten2!A:A,0))</f>
        <v>PD</v>
      </c>
    </row>
    <row r="577" spans="1:12" ht="13.5" hidden="1" x14ac:dyDescent="0.2">
      <c r="A577" t="s">
        <v>0</v>
      </c>
      <c r="B577" t="s">
        <v>729</v>
      </c>
      <c r="C577" t="s">
        <v>744</v>
      </c>
      <c r="D577" s="10" t="e">
        <f>INDEX(#REF!,MATCH(Validade!C577,#REF!,0))</f>
        <v>#REF!</v>
      </c>
      <c r="E577" s="10" t="e">
        <f>INDEX(#REF!,MATCH(Validade!C577,#REF!,0))</f>
        <v>#REF!</v>
      </c>
      <c r="F577" t="s">
        <v>745</v>
      </c>
      <c r="G577" t="s">
        <v>746</v>
      </c>
      <c r="H577" s="1"/>
      <c r="I577" s="1">
        <v>44932</v>
      </c>
      <c r="J577" s="2">
        <v>563</v>
      </c>
      <c r="K577" t="s">
        <v>737</v>
      </c>
      <c r="L577" t="str">
        <f>INDEX(Dispodaten2!B:B,MATCH(C577,Dispodaten2!A:A,0))</f>
        <v>PD</v>
      </c>
    </row>
    <row r="578" spans="1:12" ht="13.5" hidden="1" x14ac:dyDescent="0.2">
      <c r="A578" t="s">
        <v>0</v>
      </c>
      <c r="B578" t="s">
        <v>729</v>
      </c>
      <c r="C578" t="s">
        <v>808</v>
      </c>
      <c r="D578" s="10" t="e">
        <f>INDEX(#REF!,MATCH(Validade!C578,#REF!,0))</f>
        <v>#REF!</v>
      </c>
      <c r="E578" s="10" t="e">
        <f>INDEX(#REF!,MATCH(Validade!C578,#REF!,0))</f>
        <v>#REF!</v>
      </c>
      <c r="F578" t="s">
        <v>809</v>
      </c>
      <c r="G578" t="s">
        <v>810</v>
      </c>
      <c r="H578" s="1"/>
      <c r="I578" s="1">
        <v>45565</v>
      </c>
      <c r="J578" s="2">
        <v>2606</v>
      </c>
      <c r="K578" t="s">
        <v>737</v>
      </c>
      <c r="L578" t="str">
        <f>INDEX(Dispodaten2!B:B,MATCH(C578,Dispodaten2!A:A,0))</f>
        <v>PD</v>
      </c>
    </row>
    <row r="579" spans="1:12" ht="13.5" hidden="1" x14ac:dyDescent="0.2">
      <c r="A579" t="s">
        <v>0</v>
      </c>
      <c r="B579" t="s">
        <v>729</v>
      </c>
      <c r="C579" t="s">
        <v>811</v>
      </c>
      <c r="D579" s="10" t="e">
        <f>INDEX(#REF!,MATCH(Validade!C579,#REF!,0))</f>
        <v>#REF!</v>
      </c>
      <c r="E579" s="10" t="e">
        <f>INDEX(#REF!,MATCH(Validade!C579,#REF!,0))</f>
        <v>#REF!</v>
      </c>
      <c r="F579" t="s">
        <v>812</v>
      </c>
      <c r="G579" t="s">
        <v>813</v>
      </c>
      <c r="H579" s="1"/>
      <c r="I579" s="1"/>
      <c r="J579" s="2">
        <v>192</v>
      </c>
      <c r="K579" t="s">
        <v>737</v>
      </c>
      <c r="L579" t="str">
        <f>INDEX(Dispodaten2!B:B,MATCH(C579,Dispodaten2!A:A,0))</f>
        <v>PD</v>
      </c>
    </row>
    <row r="580" spans="1:12" ht="13.5" hidden="1" x14ac:dyDescent="0.2">
      <c r="A580" t="s">
        <v>0</v>
      </c>
      <c r="B580" t="s">
        <v>729</v>
      </c>
      <c r="C580" t="s">
        <v>817</v>
      </c>
      <c r="D580" s="10" t="e">
        <f>INDEX(#REF!,MATCH(Validade!C580,#REF!,0))</f>
        <v>#REF!</v>
      </c>
      <c r="E580" s="10" t="e">
        <f>INDEX(#REF!,MATCH(Validade!C580,#REF!,0))</f>
        <v>#REF!</v>
      </c>
      <c r="F580" t="s">
        <v>818</v>
      </c>
      <c r="G580" t="s">
        <v>819</v>
      </c>
      <c r="H580" s="1"/>
      <c r="I580" s="1"/>
      <c r="J580" s="2">
        <v>2</v>
      </c>
      <c r="K580" t="s">
        <v>737</v>
      </c>
      <c r="L580" t="str">
        <f>INDEX(Dispodaten2!B:B,MATCH(C580,Dispodaten2!A:A,0))</f>
        <v>PD</v>
      </c>
    </row>
    <row r="581" spans="1:12" ht="13.5" hidden="1" x14ac:dyDescent="0.2">
      <c r="A581" t="s">
        <v>0</v>
      </c>
      <c r="B581" t="s">
        <v>729</v>
      </c>
      <c r="C581" t="s">
        <v>823</v>
      </c>
      <c r="D581" s="10" t="e">
        <f>INDEX(#REF!,MATCH(Validade!C581,#REF!,0))</f>
        <v>#REF!</v>
      </c>
      <c r="E581" s="10" t="e">
        <f>INDEX(#REF!,MATCH(Validade!C581,#REF!,0))</f>
        <v>#REF!</v>
      </c>
      <c r="F581" t="s">
        <v>824</v>
      </c>
      <c r="G581" t="s">
        <v>825</v>
      </c>
      <c r="H581" s="1"/>
      <c r="I581" s="1">
        <v>44816</v>
      </c>
      <c r="J581" s="2">
        <v>927</v>
      </c>
      <c r="K581" t="s">
        <v>737</v>
      </c>
      <c r="L581" t="str">
        <f>INDEX(Dispodaten2!B:B,MATCH(C581,Dispodaten2!A:A,0))</f>
        <v>PD</v>
      </c>
    </row>
    <row r="582" spans="1:12" ht="13.5" hidden="1" x14ac:dyDescent="0.2">
      <c r="A582" t="s">
        <v>0</v>
      </c>
      <c r="B582" t="s">
        <v>729</v>
      </c>
      <c r="C582" t="s">
        <v>820</v>
      </c>
      <c r="D582" s="10" t="e">
        <f>INDEX(#REF!,MATCH(Validade!C582,#REF!,0))</f>
        <v>#REF!</v>
      </c>
      <c r="E582" s="10" t="e">
        <f>INDEX(#REF!,MATCH(Validade!C582,#REF!,0))</f>
        <v>#REF!</v>
      </c>
      <c r="F582" t="s">
        <v>821</v>
      </c>
      <c r="G582" t="s">
        <v>822</v>
      </c>
      <c r="H582" s="1"/>
      <c r="I582" s="1"/>
      <c r="J582" s="2">
        <v>164</v>
      </c>
      <c r="K582" t="s">
        <v>737</v>
      </c>
      <c r="L582" t="str">
        <f>INDEX(Dispodaten2!B:B,MATCH(C582,Dispodaten2!A:A,0))</f>
        <v>PD</v>
      </c>
    </row>
    <row r="583" spans="1:12" ht="13.5" hidden="1" x14ac:dyDescent="0.2">
      <c r="A583" t="s">
        <v>0</v>
      </c>
      <c r="B583" t="s">
        <v>729</v>
      </c>
      <c r="C583" t="s">
        <v>826</v>
      </c>
      <c r="D583" s="10" t="e">
        <f>INDEX(#REF!,MATCH(Validade!C583,#REF!,0))</f>
        <v>#REF!</v>
      </c>
      <c r="E583" s="10" t="e">
        <f>INDEX(#REF!,MATCH(Validade!C583,#REF!,0))</f>
        <v>#REF!</v>
      </c>
      <c r="F583" t="s">
        <v>827</v>
      </c>
      <c r="G583" t="s">
        <v>828</v>
      </c>
      <c r="H583" s="1">
        <v>62458</v>
      </c>
      <c r="I583" s="1"/>
      <c r="J583" s="2">
        <v>561</v>
      </c>
      <c r="K583" t="s">
        <v>737</v>
      </c>
      <c r="L583" t="str">
        <f>INDEX(Dispodaten2!B:B,MATCH(C583,Dispodaten2!A:A,0))</f>
        <v>PD</v>
      </c>
    </row>
    <row r="584" spans="1:12" ht="13.5" hidden="1" x14ac:dyDescent="0.2">
      <c r="A584" t="s">
        <v>0</v>
      </c>
      <c r="B584" t="s">
        <v>729</v>
      </c>
      <c r="C584" t="s">
        <v>1100</v>
      </c>
      <c r="D584" s="10" t="e">
        <f>INDEX(#REF!,MATCH(Validade!C584,#REF!,0))</f>
        <v>#REF!</v>
      </c>
      <c r="E584" s="10" t="e">
        <f>INDEX(#REF!,MATCH(Validade!C584,#REF!,0))</f>
        <v>#REF!</v>
      </c>
      <c r="F584" t="s">
        <v>1101</v>
      </c>
      <c r="G584" t="s">
        <v>1092</v>
      </c>
      <c r="H584" s="1">
        <v>46029</v>
      </c>
      <c r="I584" s="1">
        <v>45298</v>
      </c>
      <c r="J584" s="2">
        <v>80.906999999999996</v>
      </c>
      <c r="K584" t="s">
        <v>1093</v>
      </c>
      <c r="L584" t="str">
        <f>INDEX(Dispodaten2!B:B,MATCH(C584,Dispodaten2!A:A,0))</f>
        <v>V1</v>
      </c>
    </row>
    <row r="585" spans="1:12" ht="13.5" hidden="1" x14ac:dyDescent="0.2">
      <c r="A585" t="s">
        <v>0</v>
      </c>
      <c r="B585" t="s">
        <v>729</v>
      </c>
      <c r="C585" t="s">
        <v>1448</v>
      </c>
      <c r="D585" s="10" t="e">
        <f>INDEX(#REF!,MATCH(Validade!C585,#REF!,0))</f>
        <v>#REF!</v>
      </c>
      <c r="E585" s="10" t="e">
        <f>INDEX(#REF!,MATCH(Validade!C585,#REF!,0))</f>
        <v>#REF!</v>
      </c>
      <c r="F585" t="s">
        <v>1449</v>
      </c>
      <c r="G585" t="s">
        <v>1450</v>
      </c>
      <c r="H585" s="1">
        <v>62458</v>
      </c>
      <c r="I585" s="1"/>
      <c r="J585" s="2">
        <v>1620</v>
      </c>
      <c r="K585" t="s">
        <v>1447</v>
      </c>
      <c r="L585" t="str">
        <f>INDEX(Dispodaten2!B:B,MATCH(C585,Dispodaten2!A:A,0))</f>
        <v>V1</v>
      </c>
    </row>
    <row r="586" spans="1:12" ht="13.5" hidden="1" x14ac:dyDescent="0.2">
      <c r="A586" t="s">
        <v>0</v>
      </c>
      <c r="B586" t="s">
        <v>729</v>
      </c>
      <c r="C586" t="s">
        <v>1444</v>
      </c>
      <c r="D586" s="10" t="e">
        <f>INDEX(#REF!,MATCH(Validade!C586,#REF!,0))</f>
        <v>#REF!</v>
      </c>
      <c r="E586" s="10" t="e">
        <f>INDEX(#REF!,MATCH(Validade!C586,#REF!,0))</f>
        <v>#REF!</v>
      </c>
      <c r="F586" t="s">
        <v>1445</v>
      </c>
      <c r="G586" t="s">
        <v>1446</v>
      </c>
      <c r="H586" s="1">
        <v>62458</v>
      </c>
      <c r="I586" s="1"/>
      <c r="J586" s="2">
        <v>2310</v>
      </c>
      <c r="K586" t="s">
        <v>1447</v>
      </c>
      <c r="L586" t="str">
        <f>INDEX(Dispodaten2!B:B,MATCH(C586,Dispodaten2!A:A,0))</f>
        <v>V1</v>
      </c>
    </row>
    <row r="587" spans="1:12" ht="13.5" hidden="1" x14ac:dyDescent="0.2">
      <c r="A587" t="s">
        <v>0</v>
      </c>
      <c r="B587" t="s">
        <v>729</v>
      </c>
      <c r="C587" t="s">
        <v>1265</v>
      </c>
      <c r="D587" s="10" t="e">
        <f>INDEX(#REF!,MATCH(Validade!C587,#REF!,0))</f>
        <v>#REF!</v>
      </c>
      <c r="E587" s="10" t="e">
        <f>INDEX(#REF!,MATCH(Validade!C587,#REF!,0))</f>
        <v>#REF!</v>
      </c>
      <c r="F587" t="s">
        <v>1266</v>
      </c>
      <c r="G587" t="s">
        <v>1267</v>
      </c>
      <c r="H587" s="1"/>
      <c r="I587" s="1"/>
      <c r="J587" s="2">
        <v>236290</v>
      </c>
      <c r="K587" t="s">
        <v>1176</v>
      </c>
      <c r="L587" t="str">
        <f>INDEX(Dispodaten2!B:B,MATCH(C587,Dispodaten2!A:A,0))</f>
        <v>PD</v>
      </c>
    </row>
    <row r="588" spans="1:12" ht="13.5" hidden="1" x14ac:dyDescent="0.2">
      <c r="A588" t="s">
        <v>0</v>
      </c>
      <c r="B588" t="s">
        <v>729</v>
      </c>
      <c r="C588" t="s">
        <v>1268</v>
      </c>
      <c r="D588" s="10" t="e">
        <f>INDEX(#REF!,MATCH(Validade!C588,#REF!,0))</f>
        <v>#REF!</v>
      </c>
      <c r="E588" s="10" t="e">
        <f>INDEX(#REF!,MATCH(Validade!C588,#REF!,0))</f>
        <v>#REF!</v>
      </c>
      <c r="F588" t="s">
        <v>1269</v>
      </c>
      <c r="G588" t="s">
        <v>1270</v>
      </c>
      <c r="H588" s="1"/>
      <c r="I588" s="1"/>
      <c r="J588" s="2">
        <v>38960</v>
      </c>
      <c r="K588" t="s">
        <v>1176</v>
      </c>
      <c r="L588" t="str">
        <f>INDEX(Dispodaten2!B:B,MATCH(C588,Dispodaten2!A:A,0))</f>
        <v>PD</v>
      </c>
    </row>
    <row r="589" spans="1:12" ht="13.5" hidden="1" x14ac:dyDescent="0.2">
      <c r="A589" t="s">
        <v>0</v>
      </c>
      <c r="B589" t="s">
        <v>729</v>
      </c>
      <c r="C589" t="s">
        <v>1271</v>
      </c>
      <c r="D589" s="10" t="e">
        <f>INDEX(#REF!,MATCH(Validade!C589,#REF!,0))</f>
        <v>#REF!</v>
      </c>
      <c r="E589" s="10" t="e">
        <f>INDEX(#REF!,MATCH(Validade!C589,#REF!,0))</f>
        <v>#REF!</v>
      </c>
      <c r="F589" t="s">
        <v>1272</v>
      </c>
      <c r="G589" t="s">
        <v>1273</v>
      </c>
      <c r="H589" s="1"/>
      <c r="I589" s="1"/>
      <c r="J589" s="2">
        <v>714690</v>
      </c>
      <c r="K589" t="s">
        <v>1176</v>
      </c>
      <c r="L589" t="str">
        <f>INDEX(Dispodaten2!B:B,MATCH(C589,Dispodaten2!A:A,0))</f>
        <v>PD</v>
      </c>
    </row>
    <row r="590" spans="1:12" ht="13.5" hidden="1" x14ac:dyDescent="0.2">
      <c r="A590" t="s">
        <v>0</v>
      </c>
      <c r="B590" t="s">
        <v>729</v>
      </c>
      <c r="C590" t="s">
        <v>1253</v>
      </c>
      <c r="D590" s="10" t="e">
        <f>INDEX(#REF!,MATCH(Validade!C590,#REF!,0))</f>
        <v>#REF!</v>
      </c>
      <c r="E590" s="10" t="e">
        <f>INDEX(#REF!,MATCH(Validade!C590,#REF!,0))</f>
        <v>#REF!</v>
      </c>
      <c r="F590" t="s">
        <v>1254</v>
      </c>
      <c r="G590" t="s">
        <v>1255</v>
      </c>
      <c r="H590" s="1"/>
      <c r="I590" s="1"/>
      <c r="J590" s="2">
        <v>7200</v>
      </c>
      <c r="K590" t="s">
        <v>1176</v>
      </c>
      <c r="L590" t="str">
        <f>INDEX(Dispodaten2!B:B,MATCH(C590,Dispodaten2!A:A,0))</f>
        <v>PD</v>
      </c>
    </row>
    <row r="591" spans="1:12" ht="13.5" hidden="1" x14ac:dyDescent="0.2">
      <c r="A591" t="s">
        <v>0</v>
      </c>
      <c r="B591" t="s">
        <v>729</v>
      </c>
      <c r="C591" t="s">
        <v>1256</v>
      </c>
      <c r="D591" s="10" t="e">
        <f>INDEX(#REF!,MATCH(Validade!C591,#REF!,0))</f>
        <v>#REF!</v>
      </c>
      <c r="E591" s="10" t="e">
        <f>INDEX(#REF!,MATCH(Validade!C591,#REF!,0))</f>
        <v>#REF!</v>
      </c>
      <c r="F591" t="s">
        <v>1257</v>
      </c>
      <c r="G591" t="s">
        <v>1258</v>
      </c>
      <c r="H591" s="1"/>
      <c r="I591" s="1"/>
      <c r="J591" s="2">
        <v>3560</v>
      </c>
      <c r="K591" t="s">
        <v>1176</v>
      </c>
      <c r="L591" t="str">
        <f>INDEX(Dispodaten2!B:B,MATCH(C591,Dispodaten2!A:A,0))</f>
        <v>PD</v>
      </c>
    </row>
    <row r="592" spans="1:12" ht="13.5" hidden="1" x14ac:dyDescent="0.2">
      <c r="A592" t="s">
        <v>0</v>
      </c>
      <c r="B592" t="s">
        <v>729</v>
      </c>
      <c r="C592" t="s">
        <v>1174</v>
      </c>
      <c r="D592" s="10" t="e">
        <f>INDEX(#REF!,MATCH(Validade!C592,#REF!,0))</f>
        <v>#REF!</v>
      </c>
      <c r="E592" s="10" t="e">
        <f>INDEX(#REF!,MATCH(Validade!C592,#REF!,0))</f>
        <v>#REF!</v>
      </c>
      <c r="F592" t="s">
        <v>1175</v>
      </c>
      <c r="G592" t="s">
        <v>1177</v>
      </c>
      <c r="H592" s="1"/>
      <c r="I592" s="1"/>
      <c r="J592" s="2">
        <v>1291780</v>
      </c>
      <c r="K592" t="s">
        <v>1176</v>
      </c>
      <c r="L592" t="str">
        <f>INDEX(Dispodaten2!B:B,MATCH(C592,Dispodaten2!A:A,0))</f>
        <v>PD</v>
      </c>
    </row>
    <row r="593" spans="1:12" ht="13.5" hidden="1" x14ac:dyDescent="0.2">
      <c r="A593" t="s">
        <v>0</v>
      </c>
      <c r="B593" t="s">
        <v>729</v>
      </c>
      <c r="C593" t="s">
        <v>854</v>
      </c>
      <c r="D593" s="10" t="e">
        <f>INDEX(#REF!,MATCH(Validade!C593,#REF!,0))</f>
        <v>#REF!</v>
      </c>
      <c r="E593" s="10" t="e">
        <f>INDEX(#REF!,MATCH(Validade!C593,#REF!,0))</f>
        <v>#REF!</v>
      </c>
      <c r="F593" t="s">
        <v>855</v>
      </c>
      <c r="G593" t="s">
        <v>856</v>
      </c>
      <c r="H593" s="1"/>
      <c r="I593" s="1"/>
      <c r="J593" s="2">
        <v>100</v>
      </c>
      <c r="K593" t="s">
        <v>857</v>
      </c>
      <c r="L593" t="str">
        <f>INDEX(Dispodaten2!B:B,MATCH(C593,Dispodaten2!A:A,0))</f>
        <v>PD</v>
      </c>
    </row>
    <row r="594" spans="1:12" ht="13.5" hidden="1" x14ac:dyDescent="0.2">
      <c r="A594" t="s">
        <v>0</v>
      </c>
      <c r="B594" t="s">
        <v>729</v>
      </c>
      <c r="C594" t="s">
        <v>1200</v>
      </c>
      <c r="D594" s="10" t="e">
        <f>INDEX(#REF!,MATCH(Validade!C594,#REF!,0))</f>
        <v>#REF!</v>
      </c>
      <c r="E594" s="10" t="e">
        <f>INDEX(#REF!,MATCH(Validade!C594,#REF!,0))</f>
        <v>#REF!</v>
      </c>
      <c r="F594" t="s">
        <v>1201</v>
      </c>
      <c r="G594" t="s">
        <v>1203</v>
      </c>
      <c r="H594" s="1"/>
      <c r="I594" s="1"/>
      <c r="J594" s="2">
        <v>31</v>
      </c>
      <c r="K594" t="s">
        <v>1202</v>
      </c>
      <c r="L594" t="str">
        <f>INDEX(Dispodaten2!B:B,MATCH(C594,Dispodaten2!A:A,0))</f>
        <v>PD</v>
      </c>
    </row>
    <row r="595" spans="1:12" ht="13.5" hidden="1" x14ac:dyDescent="0.2">
      <c r="A595" t="s">
        <v>1752</v>
      </c>
      <c r="B595" t="s">
        <v>1981</v>
      </c>
      <c r="C595" t="s">
        <v>1745</v>
      </c>
      <c r="D595" s="10" t="e">
        <f>INDEX(#REF!,MATCH(Validade!C595,#REF!,0))</f>
        <v>#REF!</v>
      </c>
      <c r="E595" s="10" t="e">
        <f>INDEX(#REF!,MATCH(Validade!C595,#REF!,0))</f>
        <v>#REF!</v>
      </c>
      <c r="F595" t="s">
        <v>1746</v>
      </c>
      <c r="G595" t="s">
        <v>1983</v>
      </c>
      <c r="H595" s="1">
        <v>45941</v>
      </c>
      <c r="I595" s="1">
        <v>45576</v>
      </c>
      <c r="J595" s="2">
        <v>1060</v>
      </c>
      <c r="K595" t="s">
        <v>1769</v>
      </c>
      <c r="L595" t="str">
        <f>INDEX(Dispodaten2!B:B,MATCH(C595,Dispodaten2!A:A,0))</f>
        <v>PD</v>
      </c>
    </row>
    <row r="596" spans="1:12" ht="13.5" hidden="1" x14ac:dyDescent="0.2">
      <c r="A596" t="s">
        <v>1752</v>
      </c>
      <c r="B596" t="s">
        <v>1981</v>
      </c>
      <c r="C596" t="s">
        <v>1743</v>
      </c>
      <c r="D596" s="10" t="e">
        <f>INDEX(#REF!,MATCH(Validade!C596,#REF!,0))</f>
        <v>#REF!</v>
      </c>
      <c r="E596" s="10" t="e">
        <f>INDEX(#REF!,MATCH(Validade!C596,#REF!,0))</f>
        <v>#REF!</v>
      </c>
      <c r="F596" t="s">
        <v>1744</v>
      </c>
      <c r="G596" t="s">
        <v>1982</v>
      </c>
      <c r="H596" s="1">
        <v>45941</v>
      </c>
      <c r="I596" s="1">
        <v>45576</v>
      </c>
      <c r="J596" s="2">
        <v>1070</v>
      </c>
      <c r="K596" t="s">
        <v>1769</v>
      </c>
      <c r="L596" t="str">
        <f>INDEX(Dispodaten2!B:B,MATCH(C596,Dispodaten2!A:A,0))</f>
        <v>PD</v>
      </c>
    </row>
    <row r="597" spans="1:12" ht="13.5" hidden="1" x14ac:dyDescent="0.2">
      <c r="A597" t="s">
        <v>0</v>
      </c>
      <c r="B597" t="s">
        <v>729</v>
      </c>
      <c r="C597" t="s">
        <v>1735</v>
      </c>
      <c r="D597" s="10" t="e">
        <f>INDEX(#REF!,MATCH(Validade!C597,#REF!,0))</f>
        <v>#REF!</v>
      </c>
      <c r="E597" s="10" t="e">
        <f>INDEX(#REF!,MATCH(Validade!C597,#REF!,0))</f>
        <v>#REF!</v>
      </c>
      <c r="F597" t="s">
        <v>1736</v>
      </c>
      <c r="G597" t="s">
        <v>1737</v>
      </c>
      <c r="H597" s="1">
        <v>46325</v>
      </c>
      <c r="I597" s="1"/>
      <c r="J597" s="2">
        <v>39</v>
      </c>
      <c r="K597" t="s">
        <v>714</v>
      </c>
      <c r="L597" t="str">
        <f>INDEX(Dispodaten2!B:B,MATCH(C597,Dispodaten2!A:A,0))</f>
        <v>V1</v>
      </c>
    </row>
    <row r="598" spans="1:12" ht="13.5" hidden="1" x14ac:dyDescent="0.2">
      <c r="A598" t="s">
        <v>0</v>
      </c>
      <c r="B598" t="s">
        <v>729</v>
      </c>
      <c r="C598" t="s">
        <v>725</v>
      </c>
      <c r="D598" s="10" t="e">
        <f>INDEX(#REF!,MATCH(Validade!C598,#REF!,0))</f>
        <v>#REF!</v>
      </c>
      <c r="E598" s="10" t="e">
        <f>INDEX(#REF!,MATCH(Validade!C598,#REF!,0))</f>
        <v>#REF!</v>
      </c>
      <c r="F598" t="s">
        <v>726</v>
      </c>
      <c r="G598" t="s">
        <v>1731</v>
      </c>
      <c r="H598" s="1">
        <v>46537</v>
      </c>
      <c r="I598" s="1"/>
      <c r="J598" s="2">
        <v>1500</v>
      </c>
      <c r="K598" t="s">
        <v>714</v>
      </c>
      <c r="L598" t="str">
        <f>INDEX(Dispodaten2!B:B,MATCH(C598,Dispodaten2!A:A,0))</f>
        <v>V1</v>
      </c>
    </row>
    <row r="599" spans="1:12" ht="13.5" hidden="1" x14ac:dyDescent="0.2">
      <c r="A599" t="s">
        <v>0</v>
      </c>
      <c r="B599" t="s">
        <v>729</v>
      </c>
      <c r="C599" t="s">
        <v>1732</v>
      </c>
      <c r="D599" s="10" t="e">
        <f>INDEX(#REF!,MATCH(Validade!C599,#REF!,0))</f>
        <v>#REF!</v>
      </c>
      <c r="E599" s="10" t="e">
        <f>INDEX(#REF!,MATCH(Validade!C599,#REF!,0))</f>
        <v>#REF!</v>
      </c>
      <c r="F599" t="s">
        <v>1733</v>
      </c>
      <c r="G599" t="s">
        <v>1734</v>
      </c>
      <c r="H599" s="1">
        <v>46325</v>
      </c>
      <c r="I599" s="1">
        <v>45568</v>
      </c>
      <c r="J599" s="2">
        <v>60</v>
      </c>
      <c r="K599" t="s">
        <v>714</v>
      </c>
      <c r="L599" t="str">
        <f>INDEX(Dispodaten2!B:B,MATCH(C599,Dispodaten2!A:A,0))</f>
        <v>V1</v>
      </c>
    </row>
    <row r="600" spans="1:12" ht="13.5" hidden="1" x14ac:dyDescent="0.2">
      <c r="A600" t="s">
        <v>0</v>
      </c>
      <c r="B600" t="s">
        <v>729</v>
      </c>
      <c r="C600" t="s">
        <v>723</v>
      </c>
      <c r="D600" s="10" t="e">
        <f>INDEX(#REF!,MATCH(Validade!C600,#REF!,0))</f>
        <v>#REF!</v>
      </c>
      <c r="E600" s="10" t="e">
        <f>INDEX(#REF!,MATCH(Validade!C600,#REF!,0))</f>
        <v>#REF!</v>
      </c>
      <c r="F600" t="s">
        <v>724</v>
      </c>
      <c r="G600" t="s">
        <v>1710</v>
      </c>
      <c r="H600" s="1">
        <v>46142</v>
      </c>
      <c r="I600" s="1"/>
      <c r="J600" s="2">
        <v>2400</v>
      </c>
      <c r="K600" t="s">
        <v>714</v>
      </c>
      <c r="L600" t="str">
        <f>INDEX(Dispodaten2!B:B,MATCH(C600,Dispodaten2!A:A,0))</f>
        <v>V1</v>
      </c>
    </row>
    <row r="601" spans="1:12" ht="13.5" hidden="1" x14ac:dyDescent="0.2">
      <c r="A601" t="s">
        <v>0</v>
      </c>
      <c r="B601" t="s">
        <v>729</v>
      </c>
      <c r="C601" t="s">
        <v>718</v>
      </c>
      <c r="D601" s="10" t="e">
        <f>INDEX(#REF!,MATCH(Validade!C601,#REF!,0))</f>
        <v>#REF!</v>
      </c>
      <c r="E601" s="10" t="e">
        <f>INDEX(#REF!,MATCH(Validade!C601,#REF!,0))</f>
        <v>#REF!</v>
      </c>
      <c r="F601" t="s">
        <v>719</v>
      </c>
      <c r="G601" t="s">
        <v>720</v>
      </c>
      <c r="H601" s="1">
        <v>46507</v>
      </c>
      <c r="I601" s="1"/>
      <c r="J601" s="2">
        <v>15900</v>
      </c>
      <c r="K601" t="s">
        <v>714</v>
      </c>
      <c r="L601" t="str">
        <f>INDEX(Dispodaten2!B:B,MATCH(C601,Dispodaten2!A:A,0))</f>
        <v>V1</v>
      </c>
    </row>
    <row r="602" spans="1:12" ht="13.5" hidden="1" x14ac:dyDescent="0.2">
      <c r="A602" t="s">
        <v>1752</v>
      </c>
      <c r="B602" t="s">
        <v>729</v>
      </c>
      <c r="C602" t="s">
        <v>131</v>
      </c>
      <c r="D602" s="10" t="e">
        <f>INDEX(#REF!,MATCH(Validade!C602,#REF!,0))</f>
        <v>#REF!</v>
      </c>
      <c r="E602" s="10" t="e">
        <f>INDEX(#REF!,MATCH(Validade!C602,#REF!,0))</f>
        <v>#REF!</v>
      </c>
      <c r="F602" t="s">
        <v>132</v>
      </c>
      <c r="G602" t="s">
        <v>1880</v>
      </c>
      <c r="H602" s="1">
        <v>45901</v>
      </c>
      <c r="I602" s="1">
        <v>45170</v>
      </c>
      <c r="J602" s="2">
        <v>43</v>
      </c>
      <c r="K602" t="s">
        <v>714</v>
      </c>
      <c r="L602" t="str">
        <f>INDEX(Dispodaten2!B:B,MATCH(C602,Dispodaten2!A:A,0))</f>
        <v>V1</v>
      </c>
    </row>
    <row r="603" spans="1:12" ht="13.5" hidden="1" x14ac:dyDescent="0.2">
      <c r="A603" t="s">
        <v>1752</v>
      </c>
      <c r="B603" t="s">
        <v>1740</v>
      </c>
      <c r="C603" t="s">
        <v>1842</v>
      </c>
      <c r="D603" s="10" t="e">
        <f>INDEX(#REF!,MATCH(Validade!C603,#REF!,0))</f>
        <v>#REF!</v>
      </c>
      <c r="E603" s="10" t="e">
        <f>INDEX(#REF!,MATCH(Validade!C603,#REF!,0))</f>
        <v>#REF!</v>
      </c>
      <c r="F603" t="s">
        <v>1843</v>
      </c>
      <c r="G603" t="s">
        <v>1845</v>
      </c>
      <c r="H603" s="1">
        <v>62458</v>
      </c>
      <c r="I603" s="1"/>
      <c r="J603" s="2">
        <v>46</v>
      </c>
      <c r="K603" t="s">
        <v>1844</v>
      </c>
      <c r="L603" t="str">
        <f>INDEX(Dispodaten2!B:B,MATCH(C603,Dispodaten2!A:A,0))</f>
        <v>ND</v>
      </c>
    </row>
    <row r="604" spans="1:12" ht="13.5" hidden="1" x14ac:dyDescent="0.2">
      <c r="A604" t="s">
        <v>0</v>
      </c>
      <c r="B604" t="s">
        <v>729</v>
      </c>
      <c r="C604" t="s">
        <v>1110</v>
      </c>
      <c r="D604" s="10" t="e">
        <f>INDEX(#REF!,MATCH(Validade!C604,#REF!,0))</f>
        <v>#REF!</v>
      </c>
      <c r="E604" s="10" t="e">
        <f>INDEX(#REF!,MATCH(Validade!C604,#REF!,0))</f>
        <v>#REF!</v>
      </c>
      <c r="F604" t="s">
        <v>1111</v>
      </c>
      <c r="G604" t="s">
        <v>1112</v>
      </c>
      <c r="H604" s="1"/>
      <c r="I604" s="1"/>
      <c r="J604" s="2">
        <v>15</v>
      </c>
      <c r="K604" t="s">
        <v>148</v>
      </c>
      <c r="L604" t="str">
        <f>INDEX(Dispodaten2!B:B,MATCH(C604,Dispodaten2!A:A,0))</f>
        <v>PD</v>
      </c>
    </row>
    <row r="605" spans="1:12" ht="13.5" hidden="1" x14ac:dyDescent="0.2">
      <c r="A605" t="s">
        <v>0</v>
      </c>
      <c r="B605" t="s">
        <v>729</v>
      </c>
      <c r="C605" t="s">
        <v>228</v>
      </c>
      <c r="D605" s="10" t="e">
        <f>INDEX(#REF!,MATCH(Validade!C605,#REF!,0))</f>
        <v>#REF!</v>
      </c>
      <c r="E605" s="10" t="e">
        <f>INDEX(#REF!,MATCH(Validade!C605,#REF!,0))</f>
        <v>#REF!</v>
      </c>
      <c r="F605" t="s">
        <v>229</v>
      </c>
      <c r="G605" t="s">
        <v>230</v>
      </c>
      <c r="H605" s="1"/>
      <c r="I605" s="1"/>
      <c r="J605" s="2">
        <v>7</v>
      </c>
      <c r="K605" t="s">
        <v>148</v>
      </c>
      <c r="L605" t="str">
        <f>INDEX(Dispodaten2!B:B,MATCH(C605,Dispodaten2!A:A,0))</f>
        <v>PD</v>
      </c>
    </row>
    <row r="606" spans="1:12" ht="13.5" hidden="1" x14ac:dyDescent="0.2">
      <c r="A606" t="s">
        <v>1752</v>
      </c>
      <c r="B606" t="s">
        <v>729</v>
      </c>
      <c r="C606" t="s">
        <v>1754</v>
      </c>
      <c r="D606" s="10" t="e">
        <f>INDEX(#REF!,MATCH(Validade!C606,#REF!,0))</f>
        <v>#REF!</v>
      </c>
      <c r="E606" s="10" t="e">
        <f>INDEX(#REF!,MATCH(Validade!C606,#REF!,0))</f>
        <v>#REF!</v>
      </c>
      <c r="F606" t="s">
        <v>1755</v>
      </c>
      <c r="G606" t="s">
        <v>1841</v>
      </c>
      <c r="H606" s="1">
        <v>62458</v>
      </c>
      <c r="I606" s="1"/>
      <c r="J606" s="2">
        <v>758</v>
      </c>
      <c r="K606" t="s">
        <v>148</v>
      </c>
      <c r="L606" t="str">
        <f>INDEX(Dispodaten2!B:B,MATCH(C606,Dispodaten2!A:A,0))</f>
        <v>V1</v>
      </c>
    </row>
    <row r="607" spans="1:12" ht="13.5" hidden="1" x14ac:dyDescent="0.2">
      <c r="A607" t="s">
        <v>1752</v>
      </c>
      <c r="B607" t="s">
        <v>729</v>
      </c>
      <c r="C607" t="s">
        <v>1758</v>
      </c>
      <c r="D607" s="10" t="e">
        <f>INDEX(#REF!,MATCH(Validade!C607,#REF!,0))</f>
        <v>#REF!</v>
      </c>
      <c r="E607" s="10" t="e">
        <f>INDEX(#REF!,MATCH(Validade!C607,#REF!,0))</f>
        <v>#REF!</v>
      </c>
      <c r="F607" t="s">
        <v>1759</v>
      </c>
      <c r="G607" t="s">
        <v>1760</v>
      </c>
      <c r="H607" s="1"/>
      <c r="I607" s="1"/>
      <c r="J607" s="2">
        <v>132</v>
      </c>
      <c r="K607" t="s">
        <v>148</v>
      </c>
      <c r="L607" t="str">
        <f>INDEX(Dispodaten2!B:B,MATCH(C607,Dispodaten2!A:A,0))</f>
        <v>V1</v>
      </c>
    </row>
    <row r="608" spans="1:12" ht="13.5" hidden="1" x14ac:dyDescent="0.2">
      <c r="A608" t="s">
        <v>0</v>
      </c>
      <c r="B608" t="s">
        <v>729</v>
      </c>
      <c r="C608" t="s">
        <v>146</v>
      </c>
      <c r="D608" s="10" t="e">
        <f>INDEX(#REF!,MATCH(Validade!C608,#REF!,0))</f>
        <v>#REF!</v>
      </c>
      <c r="E608" s="10" t="e">
        <f>INDEX(#REF!,MATCH(Validade!C608,#REF!,0))</f>
        <v>#REF!</v>
      </c>
      <c r="F608" t="s">
        <v>147</v>
      </c>
      <c r="G608" t="s">
        <v>1024</v>
      </c>
      <c r="H608" s="1"/>
      <c r="I608" s="1"/>
      <c r="J608" s="2">
        <v>8</v>
      </c>
      <c r="K608" t="s">
        <v>148</v>
      </c>
      <c r="L608" t="str">
        <f>INDEX(Dispodaten2!B:B,MATCH(C608,Dispodaten2!A:A,0))</f>
        <v>PD</v>
      </c>
    </row>
    <row r="609" spans="1:12" ht="13.5" hidden="1" x14ac:dyDescent="0.2">
      <c r="A609" t="s">
        <v>0</v>
      </c>
      <c r="B609" t="s">
        <v>729</v>
      </c>
      <c r="C609" t="s">
        <v>1102</v>
      </c>
      <c r="D609" s="10" t="e">
        <f>INDEX(#REF!,MATCH(Validade!C609,#REF!,0))</f>
        <v>#REF!</v>
      </c>
      <c r="E609" s="10" t="e">
        <f>INDEX(#REF!,MATCH(Validade!C609,#REF!,0))</f>
        <v>#REF!</v>
      </c>
      <c r="F609" t="s">
        <v>1103</v>
      </c>
      <c r="G609" t="s">
        <v>915</v>
      </c>
      <c r="H609" s="1"/>
      <c r="I609" s="1"/>
      <c r="J609" s="2">
        <v>49</v>
      </c>
      <c r="K609" t="s">
        <v>148</v>
      </c>
      <c r="L609" t="str">
        <f>INDEX(Dispodaten2!B:B,MATCH(C609,Dispodaten2!A:A,0))</f>
        <v>V1</v>
      </c>
    </row>
    <row r="610" spans="1:12" ht="13.5" hidden="1" x14ac:dyDescent="0.2">
      <c r="A610" t="s">
        <v>0</v>
      </c>
      <c r="B610" t="s">
        <v>729</v>
      </c>
      <c r="C610" t="s">
        <v>884</v>
      </c>
      <c r="D610" s="10" t="e">
        <f>INDEX(#REF!,MATCH(Validade!C610,#REF!,0))</f>
        <v>#REF!</v>
      </c>
      <c r="E610" s="10" t="e">
        <f>INDEX(#REF!,MATCH(Validade!C610,#REF!,0))</f>
        <v>#REF!</v>
      </c>
      <c r="F610" t="s">
        <v>885</v>
      </c>
      <c r="G610" t="s">
        <v>886</v>
      </c>
      <c r="H610" s="1"/>
      <c r="I610" s="1"/>
      <c r="J610" s="2">
        <v>2000</v>
      </c>
      <c r="K610" t="s">
        <v>879</v>
      </c>
      <c r="L610" t="str">
        <f>INDEX(Dispodaten2!B:B,MATCH(C610,Dispodaten2!A:A,0))</f>
        <v>V1</v>
      </c>
    </row>
    <row r="611" spans="1:12" ht="13.5" hidden="1" x14ac:dyDescent="0.2">
      <c r="A611" t="s">
        <v>0</v>
      </c>
      <c r="B611" t="s">
        <v>729</v>
      </c>
      <c r="C611" t="s">
        <v>881</v>
      </c>
      <c r="D611" s="10" t="e">
        <f>INDEX(#REF!,MATCH(Validade!C611,#REF!,0))</f>
        <v>#REF!</v>
      </c>
      <c r="E611" s="10" t="e">
        <f>INDEX(#REF!,MATCH(Validade!C611,#REF!,0))</f>
        <v>#REF!</v>
      </c>
      <c r="F611" t="s">
        <v>882</v>
      </c>
      <c r="G611" t="s">
        <v>883</v>
      </c>
      <c r="H611" s="1"/>
      <c r="I611" s="1"/>
      <c r="J611" s="2">
        <v>2000</v>
      </c>
      <c r="K611" t="s">
        <v>879</v>
      </c>
      <c r="L611" t="str">
        <f>INDEX(Dispodaten2!B:B,MATCH(C611,Dispodaten2!A:A,0))</f>
        <v>PD</v>
      </c>
    </row>
    <row r="612" spans="1:12" ht="13.5" hidden="1" x14ac:dyDescent="0.2">
      <c r="A612" t="s">
        <v>0</v>
      </c>
      <c r="B612" t="s">
        <v>729</v>
      </c>
      <c r="C612" t="s">
        <v>887</v>
      </c>
      <c r="D612" s="10" t="e">
        <f>INDEX(#REF!,MATCH(Validade!C612,#REF!,0))</f>
        <v>#REF!</v>
      </c>
      <c r="E612" s="10" t="e">
        <f>INDEX(#REF!,MATCH(Validade!C612,#REF!,0))</f>
        <v>#REF!</v>
      </c>
      <c r="F612" t="s">
        <v>888</v>
      </c>
      <c r="G612" t="s">
        <v>889</v>
      </c>
      <c r="H612" s="1"/>
      <c r="I612" s="1"/>
      <c r="J612" s="2">
        <v>4000</v>
      </c>
      <c r="K612" t="s">
        <v>879</v>
      </c>
      <c r="L612" t="str">
        <f>INDEX(Dispodaten2!B:B,MATCH(C612,Dispodaten2!A:A,0))</f>
        <v>V1</v>
      </c>
    </row>
    <row r="613" spans="1:12" ht="13.5" hidden="1" x14ac:dyDescent="0.2">
      <c r="A613" t="s">
        <v>0</v>
      </c>
      <c r="B613" t="s">
        <v>729</v>
      </c>
      <c r="C613" t="s">
        <v>877</v>
      </c>
      <c r="D613" s="10" t="e">
        <f>INDEX(#REF!,MATCH(Validade!C613,#REF!,0))</f>
        <v>#REF!</v>
      </c>
      <c r="E613" s="10" t="e">
        <f>INDEX(#REF!,MATCH(Validade!C613,#REF!,0))</f>
        <v>#REF!</v>
      </c>
      <c r="F613" t="s">
        <v>878</v>
      </c>
      <c r="G613" t="s">
        <v>880</v>
      </c>
      <c r="H613" s="1"/>
      <c r="I613" s="1"/>
      <c r="J613" s="2">
        <v>2000</v>
      </c>
      <c r="K613" t="s">
        <v>879</v>
      </c>
      <c r="L613" t="str">
        <f>INDEX(Dispodaten2!B:B,MATCH(C613,Dispodaten2!A:A,0))</f>
        <v>V1</v>
      </c>
    </row>
    <row r="614" spans="1:12" ht="13.5" hidden="1" x14ac:dyDescent="0.2">
      <c r="A614" t="s">
        <v>0</v>
      </c>
      <c r="B614" t="s">
        <v>729</v>
      </c>
      <c r="C614" t="s">
        <v>1530</v>
      </c>
      <c r="D614" s="10" t="e">
        <f>INDEX(#REF!,MATCH(Validade!C614,#REF!,0))</f>
        <v>#REF!</v>
      </c>
      <c r="E614" s="10" t="e">
        <f>INDEX(#REF!,MATCH(Validade!C614,#REF!,0))</f>
        <v>#REF!</v>
      </c>
      <c r="F614" t="s">
        <v>1531</v>
      </c>
      <c r="G614" t="s">
        <v>1532</v>
      </c>
      <c r="H614" s="1">
        <v>62458</v>
      </c>
      <c r="I614" s="1"/>
      <c r="J614" s="2">
        <v>1637</v>
      </c>
      <c r="K614" t="s">
        <v>879</v>
      </c>
      <c r="L614" t="str">
        <f>INDEX(Dispodaten2!B:B,MATCH(C614,Dispodaten2!A:A,0))</f>
        <v>PD</v>
      </c>
    </row>
    <row r="615" spans="1:12" ht="13.5" hidden="1" x14ac:dyDescent="0.2">
      <c r="A615" t="s">
        <v>0</v>
      </c>
      <c r="B615" t="s">
        <v>729</v>
      </c>
      <c r="C615" t="s">
        <v>1517</v>
      </c>
      <c r="D615" s="10" t="e">
        <f>INDEX(#REF!,MATCH(Validade!C615,#REF!,0))</f>
        <v>#REF!</v>
      </c>
      <c r="E615" s="10" t="e">
        <f>INDEX(#REF!,MATCH(Validade!C615,#REF!,0))</f>
        <v>#REF!</v>
      </c>
      <c r="F615" t="s">
        <v>1518</v>
      </c>
      <c r="G615" t="s">
        <v>1519</v>
      </c>
      <c r="H615" s="1">
        <v>62458</v>
      </c>
      <c r="I615" s="1"/>
      <c r="J615" s="2">
        <v>2418</v>
      </c>
      <c r="K615" t="s">
        <v>879</v>
      </c>
      <c r="L615" t="str">
        <f>INDEX(Dispodaten2!B:B,MATCH(C615,Dispodaten2!A:A,0))</f>
        <v>PD</v>
      </c>
    </row>
    <row r="616" spans="1:12" ht="13.5" hidden="1" x14ac:dyDescent="0.2">
      <c r="A616" t="s">
        <v>1752</v>
      </c>
      <c r="B616" t="s">
        <v>729</v>
      </c>
      <c r="C616" t="s">
        <v>1794</v>
      </c>
      <c r="D616" s="10" t="e">
        <f>INDEX(#REF!,MATCH(Validade!C616,#REF!,0))</f>
        <v>#REF!</v>
      </c>
      <c r="E616" s="10" t="e">
        <f>INDEX(#REF!,MATCH(Validade!C616,#REF!,0))</f>
        <v>#REF!</v>
      </c>
      <c r="F616" t="s">
        <v>1795</v>
      </c>
      <c r="G616" t="s">
        <v>1796</v>
      </c>
      <c r="H616" s="1">
        <v>62458</v>
      </c>
      <c r="I616" s="1">
        <v>45243</v>
      </c>
      <c r="J616" s="2">
        <v>336</v>
      </c>
      <c r="K616" t="s">
        <v>1766</v>
      </c>
      <c r="L616" t="str">
        <f>INDEX(Dispodaten2!B:B,MATCH(C616,Dispodaten2!A:A,0))</f>
        <v>PD</v>
      </c>
    </row>
    <row r="617" spans="1:12" ht="13.5" hidden="1" x14ac:dyDescent="0.2">
      <c r="A617" t="s">
        <v>1752</v>
      </c>
      <c r="B617" t="s">
        <v>729</v>
      </c>
      <c r="C617" t="s">
        <v>1773</v>
      </c>
      <c r="D617" s="10" t="e">
        <f>INDEX(#REF!,MATCH(Validade!C617,#REF!,0))</f>
        <v>#REF!</v>
      </c>
      <c r="E617" s="10" t="e">
        <f>INDEX(#REF!,MATCH(Validade!C617,#REF!,0))</f>
        <v>#REF!</v>
      </c>
      <c r="F617" t="s">
        <v>1774</v>
      </c>
      <c r="G617" t="s">
        <v>1775</v>
      </c>
      <c r="H617" s="1">
        <v>62458</v>
      </c>
      <c r="I617" s="1">
        <v>44897</v>
      </c>
      <c r="J617" s="2">
        <v>655</v>
      </c>
      <c r="K617" t="s">
        <v>1766</v>
      </c>
      <c r="L617" t="str">
        <f>INDEX(Dispodaten2!B:B,MATCH(C617,Dispodaten2!A:A,0))</f>
        <v>PD</v>
      </c>
    </row>
    <row r="618" spans="1:12" ht="13.5" hidden="1" x14ac:dyDescent="0.2">
      <c r="A618" t="s">
        <v>1752</v>
      </c>
      <c r="B618" t="s">
        <v>729</v>
      </c>
      <c r="C618" t="s">
        <v>1776</v>
      </c>
      <c r="D618" s="10" t="e">
        <f>INDEX(#REF!,MATCH(Validade!C618,#REF!,0))</f>
        <v>#REF!</v>
      </c>
      <c r="E618" s="10" t="e">
        <f>INDEX(#REF!,MATCH(Validade!C618,#REF!,0))</f>
        <v>#REF!</v>
      </c>
      <c r="F618" t="s">
        <v>1777</v>
      </c>
      <c r="G618" t="s">
        <v>1778</v>
      </c>
      <c r="H618" s="1">
        <v>62458</v>
      </c>
      <c r="I618" s="1"/>
      <c r="J618" s="2">
        <v>62</v>
      </c>
      <c r="K618" t="s">
        <v>1766</v>
      </c>
      <c r="L618" t="str">
        <f>INDEX(Dispodaten2!B:B,MATCH(C618,Dispodaten2!A:A,0))</f>
        <v>PD</v>
      </c>
    </row>
    <row r="619" spans="1:12" ht="13.5" hidden="1" x14ac:dyDescent="0.2">
      <c r="A619" t="s">
        <v>1752</v>
      </c>
      <c r="B619" t="s">
        <v>729</v>
      </c>
      <c r="C619" t="s">
        <v>1887</v>
      </c>
      <c r="D619" s="10" t="e">
        <f>INDEX(#REF!,MATCH(Validade!C619,#REF!,0))</f>
        <v>#REF!</v>
      </c>
      <c r="E619" s="10" t="e">
        <f>INDEX(#REF!,MATCH(Validade!C619,#REF!,0))</f>
        <v>#REF!</v>
      </c>
      <c r="F619" t="s">
        <v>1888</v>
      </c>
      <c r="G619" t="s">
        <v>1889</v>
      </c>
      <c r="H619" s="1">
        <v>46154</v>
      </c>
      <c r="I619" s="1">
        <v>44328</v>
      </c>
      <c r="J619" s="2">
        <v>293</v>
      </c>
      <c r="K619" t="s">
        <v>1766</v>
      </c>
      <c r="L619" t="str">
        <f>INDEX(Dispodaten2!B:B,MATCH(C619,Dispodaten2!A:A,0))</f>
        <v>V1</v>
      </c>
    </row>
    <row r="620" spans="1:12" ht="13.5" hidden="1" x14ac:dyDescent="0.2">
      <c r="A620" t="s">
        <v>1752</v>
      </c>
      <c r="B620" t="s">
        <v>729</v>
      </c>
      <c r="C620" t="s">
        <v>1764</v>
      </c>
      <c r="D620" s="10" t="e">
        <f>INDEX(#REF!,MATCH(Validade!C620,#REF!,0))</f>
        <v>#REF!</v>
      </c>
      <c r="E620" s="10" t="e">
        <f>INDEX(#REF!,MATCH(Validade!C620,#REF!,0))</f>
        <v>#REF!</v>
      </c>
      <c r="F620" t="s">
        <v>1765</v>
      </c>
      <c r="G620" t="s">
        <v>1852</v>
      </c>
      <c r="H620" s="1">
        <v>46326</v>
      </c>
      <c r="I620" s="1">
        <v>45230</v>
      </c>
      <c r="J620" s="2">
        <v>117</v>
      </c>
      <c r="K620" t="s">
        <v>1766</v>
      </c>
      <c r="L620" t="str">
        <f>INDEX(Dispodaten2!B:B,MATCH(C620,Dispodaten2!A:A,0))</f>
        <v>PD</v>
      </c>
    </row>
    <row r="621" spans="1:12" ht="13.5" hidden="1" x14ac:dyDescent="0.2">
      <c r="A621" t="s">
        <v>1752</v>
      </c>
      <c r="B621" t="s">
        <v>729</v>
      </c>
      <c r="C621" t="s">
        <v>1818</v>
      </c>
      <c r="D621" s="10" t="e">
        <f>INDEX(#REF!,MATCH(Validade!C621,#REF!,0))</f>
        <v>#REF!</v>
      </c>
      <c r="E621" s="10" t="e">
        <f>INDEX(#REF!,MATCH(Validade!C621,#REF!,0))</f>
        <v>#REF!</v>
      </c>
      <c r="F621" t="s">
        <v>1819</v>
      </c>
      <c r="G621" t="s">
        <v>1820</v>
      </c>
      <c r="H621" s="1">
        <v>47635</v>
      </c>
      <c r="I621" s="1">
        <v>44348</v>
      </c>
      <c r="J621" s="2">
        <v>6.56</v>
      </c>
      <c r="K621" t="s">
        <v>1766</v>
      </c>
      <c r="L621" t="str">
        <f>INDEX(Dispodaten2!B:B,MATCH(C621,Dispodaten2!A:A,0))</f>
        <v>PD</v>
      </c>
    </row>
    <row r="622" spans="1:12" ht="13.5" hidden="1" x14ac:dyDescent="0.2">
      <c r="A622" t="s">
        <v>1752</v>
      </c>
      <c r="B622" t="s">
        <v>729</v>
      </c>
      <c r="C622" t="s">
        <v>1890</v>
      </c>
      <c r="D622" s="10" t="e">
        <f>INDEX(#REF!,MATCH(Validade!C622,#REF!,0))</f>
        <v>#REF!</v>
      </c>
      <c r="E622" s="10" t="e">
        <f>INDEX(#REF!,MATCH(Validade!C622,#REF!,0))</f>
        <v>#REF!</v>
      </c>
      <c r="F622" t="s">
        <v>1891</v>
      </c>
      <c r="G622" t="s">
        <v>1892</v>
      </c>
      <c r="H622" s="1">
        <v>46099</v>
      </c>
      <c r="I622" s="1">
        <v>44273</v>
      </c>
      <c r="J622" s="2">
        <v>293</v>
      </c>
      <c r="K622" t="s">
        <v>1766</v>
      </c>
      <c r="L622" t="str">
        <f>INDEX(Dispodaten2!B:B,MATCH(C622,Dispodaten2!A:A,0))</f>
        <v>V1</v>
      </c>
    </row>
    <row r="623" spans="1:12" ht="13.5" hidden="1" x14ac:dyDescent="0.2">
      <c r="A623" t="s">
        <v>1752</v>
      </c>
      <c r="B623" t="s">
        <v>729</v>
      </c>
      <c r="C623" t="s">
        <v>1788</v>
      </c>
      <c r="D623" s="10" t="e">
        <f>INDEX(#REF!,MATCH(Validade!C623,#REF!,0))</f>
        <v>#REF!</v>
      </c>
      <c r="E623" s="10" t="e">
        <f>INDEX(#REF!,MATCH(Validade!C623,#REF!,0))</f>
        <v>#REF!</v>
      </c>
      <c r="F623" t="s">
        <v>1789</v>
      </c>
      <c r="G623" t="s">
        <v>1790</v>
      </c>
      <c r="H623" s="1">
        <v>62458</v>
      </c>
      <c r="I623" s="1">
        <v>45243</v>
      </c>
      <c r="J623" s="2">
        <v>216</v>
      </c>
      <c r="K623" t="s">
        <v>1766</v>
      </c>
      <c r="L623" t="str">
        <f>INDEX(Dispodaten2!B:B,MATCH(C623,Dispodaten2!A:A,0))</f>
        <v>PD</v>
      </c>
    </row>
    <row r="624" spans="1:12" ht="13.5" hidden="1" x14ac:dyDescent="0.2">
      <c r="A624" t="s">
        <v>1752</v>
      </c>
      <c r="B624" t="s">
        <v>729</v>
      </c>
      <c r="C624" t="s">
        <v>1791</v>
      </c>
      <c r="D624" s="10" t="e">
        <f>INDEX(#REF!,MATCH(Validade!C624,#REF!,0))</f>
        <v>#REF!</v>
      </c>
      <c r="E624" s="10" t="e">
        <f>INDEX(#REF!,MATCH(Validade!C624,#REF!,0))</f>
        <v>#REF!</v>
      </c>
      <c r="F624" t="s">
        <v>1792</v>
      </c>
      <c r="G624" t="s">
        <v>1793</v>
      </c>
      <c r="H624" s="1">
        <v>62458</v>
      </c>
      <c r="I624" s="1">
        <v>45243</v>
      </c>
      <c r="J624" s="2">
        <v>334</v>
      </c>
      <c r="K624" t="s">
        <v>1766</v>
      </c>
      <c r="L624" t="str">
        <f>INDEX(Dispodaten2!B:B,MATCH(C624,Dispodaten2!A:A,0))</f>
        <v>PD</v>
      </c>
    </row>
    <row r="625" spans="1:14" ht="13.5" hidden="1" x14ac:dyDescent="0.2">
      <c r="A625" t="s">
        <v>0</v>
      </c>
      <c r="B625" t="s">
        <v>729</v>
      </c>
      <c r="C625" t="s">
        <v>1171</v>
      </c>
      <c r="D625" s="10" t="e">
        <f>INDEX(#REF!,MATCH(Validade!C625,#REF!,0))</f>
        <v>#REF!</v>
      </c>
      <c r="E625" s="10" t="e">
        <f>INDEX(#REF!,MATCH(Validade!C625,#REF!,0))</f>
        <v>#REF!</v>
      </c>
      <c r="F625" t="s">
        <v>1172</v>
      </c>
      <c r="G625" t="s">
        <v>1173</v>
      </c>
      <c r="H625" s="1"/>
      <c r="I625" s="1"/>
      <c r="J625" s="2">
        <v>4.5519999999999996</v>
      </c>
      <c r="K625" t="s">
        <v>903</v>
      </c>
      <c r="L625" t="str">
        <f>INDEX(Dispodaten2!B:B,MATCH(C625,Dispodaten2!A:A,0))</f>
        <v>ND</v>
      </c>
      <c r="M625" s="2"/>
      <c r="N625" s="2"/>
    </row>
    <row r="626" spans="1:14" ht="13.5" hidden="1" x14ac:dyDescent="0.2">
      <c r="A626" t="s">
        <v>0</v>
      </c>
      <c r="B626" t="s">
        <v>729</v>
      </c>
      <c r="C626" t="s">
        <v>1047</v>
      </c>
      <c r="D626" s="10" t="e">
        <f>INDEX(#REF!,MATCH(Validade!C626,#REF!,0))</f>
        <v>#REF!</v>
      </c>
      <c r="E626" s="10" t="e">
        <f>INDEX(#REF!,MATCH(Validade!C626,#REF!,0))</f>
        <v>#REF!</v>
      </c>
      <c r="F626" t="s">
        <v>1048</v>
      </c>
      <c r="G626" t="s">
        <v>1049</v>
      </c>
      <c r="H626" s="1"/>
      <c r="I626" s="1"/>
      <c r="J626" s="2">
        <v>239952.5</v>
      </c>
      <c r="K626" t="s">
        <v>903</v>
      </c>
      <c r="L626" t="str">
        <f>INDEX(Dispodaten2!B:B,MATCH(C626,Dispodaten2!A:A,0))</f>
        <v>PD</v>
      </c>
      <c r="M626" s="2"/>
      <c r="N626" s="2"/>
    </row>
    <row r="627" spans="1:14" ht="13.5" hidden="1" x14ac:dyDescent="0.2">
      <c r="A627" t="s">
        <v>0</v>
      </c>
      <c r="B627" t="s">
        <v>729</v>
      </c>
      <c r="C627" t="s">
        <v>1297</v>
      </c>
      <c r="D627" s="10" t="e">
        <f>INDEX(#REF!,MATCH(Validade!C627,#REF!,0))</f>
        <v>#REF!</v>
      </c>
      <c r="E627" s="10" t="e">
        <f>INDEX(#REF!,MATCH(Validade!C627,#REF!,0))</f>
        <v>#REF!</v>
      </c>
      <c r="F627" t="s">
        <v>1298</v>
      </c>
      <c r="G627" t="s">
        <v>1299</v>
      </c>
      <c r="H627" s="1"/>
      <c r="I627" s="1"/>
      <c r="J627" s="2">
        <v>6789630</v>
      </c>
      <c r="K627" t="s">
        <v>903</v>
      </c>
      <c r="L627" t="str">
        <f>INDEX(Dispodaten2!B:B,MATCH(C627,Dispodaten2!A:A,0))</f>
        <v>PD</v>
      </c>
      <c r="M627" s="2"/>
      <c r="N627" s="2"/>
    </row>
    <row r="628" spans="1:14" ht="13.5" hidden="1" x14ac:dyDescent="0.2">
      <c r="A628" t="s">
        <v>0</v>
      </c>
      <c r="B628" t="s">
        <v>729</v>
      </c>
      <c r="C628" t="s">
        <v>907</v>
      </c>
      <c r="D628" s="10" t="e">
        <f>INDEX(#REF!,MATCH(Validade!C628,#REF!,0))</f>
        <v>#REF!</v>
      </c>
      <c r="E628" s="10" t="e">
        <f>INDEX(#REF!,MATCH(Validade!C628,#REF!,0))</f>
        <v>#REF!</v>
      </c>
      <c r="F628" t="s">
        <v>908</v>
      </c>
      <c r="G628" t="s">
        <v>909</v>
      </c>
      <c r="H628" s="1"/>
      <c r="I628" s="1"/>
      <c r="J628" s="2">
        <v>50</v>
      </c>
      <c r="K628" t="s">
        <v>903</v>
      </c>
      <c r="L628" t="str">
        <f>INDEX(Dispodaten2!B:B,MATCH(C628,Dispodaten2!A:A,0))</f>
        <v>PD</v>
      </c>
    </row>
    <row r="629" spans="1:14" ht="13.5" hidden="1" x14ac:dyDescent="0.2">
      <c r="A629" t="s">
        <v>0</v>
      </c>
      <c r="B629" t="s">
        <v>729</v>
      </c>
      <c r="C629" t="s">
        <v>900</v>
      </c>
      <c r="D629" s="10" t="e">
        <f>INDEX(#REF!,MATCH(Validade!C629,#REF!,0))</f>
        <v>#REF!</v>
      </c>
      <c r="E629" s="10" t="e">
        <f>INDEX(#REF!,MATCH(Validade!C629,#REF!,0))</f>
        <v>#REF!</v>
      </c>
      <c r="F629" t="s">
        <v>901</v>
      </c>
      <c r="G629" t="s">
        <v>902</v>
      </c>
      <c r="H629" s="1"/>
      <c r="I629" s="1"/>
      <c r="J629" s="2">
        <v>218.8</v>
      </c>
      <c r="K629" t="s">
        <v>903</v>
      </c>
      <c r="L629" t="str">
        <f>INDEX(Dispodaten2!B:B,MATCH(C629,Dispodaten2!A:A,0))</f>
        <v>PD</v>
      </c>
    </row>
    <row r="630" spans="1:14" ht="13.5" hidden="1" x14ac:dyDescent="0.2">
      <c r="A630" t="s">
        <v>0</v>
      </c>
      <c r="B630" t="s">
        <v>729</v>
      </c>
      <c r="C630" t="s">
        <v>912</v>
      </c>
      <c r="D630" s="10" t="e">
        <f>INDEX(#REF!,MATCH(Validade!C630,#REF!,0))</f>
        <v>#REF!</v>
      </c>
      <c r="E630" s="10" t="e">
        <f>INDEX(#REF!,MATCH(Validade!C630,#REF!,0))</f>
        <v>#REF!</v>
      </c>
      <c r="F630" t="s">
        <v>913</v>
      </c>
      <c r="G630" t="s">
        <v>914</v>
      </c>
      <c r="H630" s="1"/>
      <c r="I630" s="1"/>
      <c r="J630" s="2">
        <v>87.1</v>
      </c>
      <c r="K630" t="s">
        <v>903</v>
      </c>
      <c r="L630" t="str">
        <f>INDEX(Dispodaten2!B:B,MATCH(C630,Dispodaten2!A:A,0))</f>
        <v>PD</v>
      </c>
    </row>
  </sheetData>
  <autoFilter ref="A1:L630" xr:uid="{00000000-0001-0000-0000-000000000000}">
    <filterColumn colId="2">
      <filters>
        <filter val="515.021"/>
      </filters>
    </filterColumn>
  </autoFilter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96BB-1423-4D86-B025-70044E350461}">
  <dimension ref="A1:G1217"/>
  <sheetViews>
    <sheetView workbookViewId="0">
      <selection activeCell="G17" sqref="G17"/>
    </sheetView>
  </sheetViews>
  <sheetFormatPr defaultRowHeight="12.75" x14ac:dyDescent="0.2"/>
  <cols>
    <col min="1" max="1" width="13.140625" bestFit="1" customWidth="1"/>
    <col min="2" max="2" width="7.140625" bestFit="1" customWidth="1"/>
  </cols>
  <sheetData>
    <row r="1" spans="1:7" x14ac:dyDescent="0.2">
      <c r="A1" t="s">
        <v>1972</v>
      </c>
      <c r="B1" t="s">
        <v>1986</v>
      </c>
    </row>
    <row r="2" spans="1:7" x14ac:dyDescent="0.2">
      <c r="A2" t="s">
        <v>1987</v>
      </c>
      <c r="B2" t="s">
        <v>1988</v>
      </c>
    </row>
    <row r="3" spans="1:7" x14ac:dyDescent="0.2">
      <c r="A3" t="s">
        <v>1831</v>
      </c>
      <c r="B3" t="s">
        <v>1988</v>
      </c>
    </row>
    <row r="4" spans="1:7" x14ac:dyDescent="0.2">
      <c r="A4" t="s">
        <v>1989</v>
      </c>
      <c r="B4" t="s">
        <v>1988</v>
      </c>
    </row>
    <row r="5" spans="1:7" x14ac:dyDescent="0.2">
      <c r="A5" t="s">
        <v>1990</v>
      </c>
      <c r="B5" t="s">
        <v>1988</v>
      </c>
    </row>
    <row r="6" spans="1:7" x14ac:dyDescent="0.2">
      <c r="A6" t="s">
        <v>699</v>
      </c>
      <c r="B6" t="s">
        <v>1988</v>
      </c>
    </row>
    <row r="7" spans="1:7" x14ac:dyDescent="0.2">
      <c r="A7" t="s">
        <v>1761</v>
      </c>
      <c r="B7" t="s">
        <v>1988</v>
      </c>
    </row>
    <row r="8" spans="1:7" x14ac:dyDescent="0.2">
      <c r="A8" t="s">
        <v>39</v>
      </c>
      <c r="B8" t="s">
        <v>1988</v>
      </c>
    </row>
    <row r="9" spans="1:7" x14ac:dyDescent="0.2">
      <c r="A9" t="s">
        <v>1965</v>
      </c>
      <c r="B9" t="s">
        <v>1988</v>
      </c>
    </row>
    <row r="10" spans="1:7" x14ac:dyDescent="0.2">
      <c r="A10" t="s">
        <v>725</v>
      </c>
      <c r="B10" t="s">
        <v>1988</v>
      </c>
    </row>
    <row r="11" spans="1:7" x14ac:dyDescent="0.2">
      <c r="A11" t="s">
        <v>884</v>
      </c>
      <c r="B11" t="s">
        <v>1988</v>
      </c>
    </row>
    <row r="12" spans="1:7" x14ac:dyDescent="0.2">
      <c r="A12" t="s">
        <v>1374</v>
      </c>
      <c r="B12" t="s">
        <v>1988</v>
      </c>
    </row>
    <row r="13" spans="1:7" x14ac:dyDescent="0.2">
      <c r="A13" t="s">
        <v>870</v>
      </c>
      <c r="B13" t="s">
        <v>1988</v>
      </c>
    </row>
    <row r="14" spans="1:7" x14ac:dyDescent="0.2">
      <c r="A14" t="s">
        <v>1991</v>
      </c>
      <c r="B14" t="s">
        <v>1988</v>
      </c>
    </row>
    <row r="15" spans="1:7" x14ac:dyDescent="0.2">
      <c r="A15" t="s">
        <v>33</v>
      </c>
      <c r="B15" t="s">
        <v>1988</v>
      </c>
    </row>
    <row r="16" spans="1:7" x14ac:dyDescent="0.2">
      <c r="A16" t="s">
        <v>1692</v>
      </c>
      <c r="B16" t="s">
        <v>1988</v>
      </c>
      <c r="G16" s="5" t="s">
        <v>2557</v>
      </c>
    </row>
    <row r="17" spans="1:7" ht="15" x14ac:dyDescent="0.25">
      <c r="A17" t="s">
        <v>435</v>
      </c>
      <c r="B17" t="s">
        <v>1988</v>
      </c>
      <c r="G17" s="4" t="s">
        <v>2556</v>
      </c>
    </row>
    <row r="18" spans="1:7" ht="15" x14ac:dyDescent="0.25">
      <c r="A18" t="s">
        <v>1718</v>
      </c>
      <c r="B18" t="s">
        <v>1988</v>
      </c>
      <c r="G18" s="4" t="s">
        <v>2558</v>
      </c>
    </row>
    <row r="19" spans="1:7" x14ac:dyDescent="0.2">
      <c r="A19" t="s">
        <v>1992</v>
      </c>
      <c r="B19" t="s">
        <v>1988</v>
      </c>
    </row>
    <row r="20" spans="1:7" x14ac:dyDescent="0.2">
      <c r="A20" t="s">
        <v>1993</v>
      </c>
      <c r="B20" t="s">
        <v>1988</v>
      </c>
    </row>
    <row r="21" spans="1:7" x14ac:dyDescent="0.2">
      <c r="A21" t="s">
        <v>1100</v>
      </c>
      <c r="B21" t="s">
        <v>1988</v>
      </c>
    </row>
    <row r="22" spans="1:7" x14ac:dyDescent="0.2">
      <c r="A22" t="s">
        <v>1874</v>
      </c>
      <c r="B22" t="s">
        <v>1988</v>
      </c>
    </row>
    <row r="23" spans="1:7" x14ac:dyDescent="0.2">
      <c r="A23" t="s">
        <v>1905</v>
      </c>
      <c r="B23" t="s">
        <v>1988</v>
      </c>
    </row>
    <row r="24" spans="1:7" x14ac:dyDescent="0.2">
      <c r="A24" t="s">
        <v>521</v>
      </c>
      <c r="B24" t="s">
        <v>1988</v>
      </c>
    </row>
    <row r="25" spans="1:7" x14ac:dyDescent="0.2">
      <c r="A25" t="s">
        <v>1670</v>
      </c>
      <c r="B25" t="s">
        <v>1988</v>
      </c>
    </row>
    <row r="26" spans="1:7" x14ac:dyDescent="0.2">
      <c r="A26" t="s">
        <v>1994</v>
      </c>
      <c r="B26" t="s">
        <v>1988</v>
      </c>
    </row>
    <row r="27" spans="1:7" x14ac:dyDescent="0.2">
      <c r="A27" t="s">
        <v>1995</v>
      </c>
      <c r="B27" t="s">
        <v>1988</v>
      </c>
    </row>
    <row r="28" spans="1:7" x14ac:dyDescent="0.2">
      <c r="A28" t="s">
        <v>1996</v>
      </c>
      <c r="B28" t="s">
        <v>1988</v>
      </c>
    </row>
    <row r="29" spans="1:7" x14ac:dyDescent="0.2">
      <c r="A29" t="s">
        <v>1997</v>
      </c>
      <c r="B29" t="s">
        <v>1988</v>
      </c>
    </row>
    <row r="30" spans="1:7" x14ac:dyDescent="0.2">
      <c r="A30" t="s">
        <v>1998</v>
      </c>
      <c r="B30" t="s">
        <v>1988</v>
      </c>
    </row>
    <row r="31" spans="1:7" x14ac:dyDescent="0.2">
      <c r="A31" t="s">
        <v>1999</v>
      </c>
      <c r="B31" t="s">
        <v>1988</v>
      </c>
    </row>
    <row r="32" spans="1:7" x14ac:dyDescent="0.2">
      <c r="A32" t="s">
        <v>1728</v>
      </c>
      <c r="B32" t="s">
        <v>1988</v>
      </c>
    </row>
    <row r="33" spans="1:2" x14ac:dyDescent="0.2">
      <c r="A33" t="s">
        <v>1343</v>
      </c>
      <c r="B33" t="s">
        <v>1988</v>
      </c>
    </row>
    <row r="34" spans="1:2" x14ac:dyDescent="0.2">
      <c r="A34" t="s">
        <v>2000</v>
      </c>
      <c r="B34" t="s">
        <v>1988</v>
      </c>
    </row>
    <row r="35" spans="1:2" x14ac:dyDescent="0.2">
      <c r="A35" t="s">
        <v>2001</v>
      </c>
      <c r="B35" t="s">
        <v>1988</v>
      </c>
    </row>
    <row r="36" spans="1:2" x14ac:dyDescent="0.2">
      <c r="A36" t="s">
        <v>1758</v>
      </c>
      <c r="B36" t="s">
        <v>1988</v>
      </c>
    </row>
    <row r="37" spans="1:2" x14ac:dyDescent="0.2">
      <c r="A37" t="s">
        <v>1848</v>
      </c>
      <c r="B37" t="s">
        <v>1988</v>
      </c>
    </row>
    <row r="38" spans="1:2" x14ac:dyDescent="0.2">
      <c r="A38" t="s">
        <v>1756</v>
      </c>
      <c r="B38" t="s">
        <v>1988</v>
      </c>
    </row>
    <row r="39" spans="1:2" x14ac:dyDescent="0.2">
      <c r="A39" t="s">
        <v>1836</v>
      </c>
      <c r="B39" t="s">
        <v>1988</v>
      </c>
    </row>
    <row r="40" spans="1:2" x14ac:dyDescent="0.2">
      <c r="A40" t="s">
        <v>721</v>
      </c>
      <c r="B40" t="s">
        <v>1988</v>
      </c>
    </row>
    <row r="41" spans="1:2" x14ac:dyDescent="0.2">
      <c r="A41" t="s">
        <v>10</v>
      </c>
      <c r="B41" t="s">
        <v>1988</v>
      </c>
    </row>
    <row r="42" spans="1:2" x14ac:dyDescent="0.2">
      <c r="A42" t="s">
        <v>715</v>
      </c>
      <c r="B42" t="s">
        <v>1988</v>
      </c>
    </row>
    <row r="43" spans="1:2" x14ac:dyDescent="0.2">
      <c r="A43" t="s">
        <v>1698</v>
      </c>
      <c r="B43" t="s">
        <v>1988</v>
      </c>
    </row>
    <row r="44" spans="1:2" x14ac:dyDescent="0.2">
      <c r="A44" t="s">
        <v>1696</v>
      </c>
      <c r="B44" t="s">
        <v>1988</v>
      </c>
    </row>
    <row r="45" spans="1:2" x14ac:dyDescent="0.2">
      <c r="A45" t="s">
        <v>1704</v>
      </c>
      <c r="B45" t="s">
        <v>1988</v>
      </c>
    </row>
    <row r="46" spans="1:2" x14ac:dyDescent="0.2">
      <c r="A46" t="s">
        <v>2002</v>
      </c>
      <c r="B46" t="s">
        <v>1988</v>
      </c>
    </row>
    <row r="47" spans="1:2" x14ac:dyDescent="0.2">
      <c r="A47" t="s">
        <v>707</v>
      </c>
      <c r="B47" t="s">
        <v>1988</v>
      </c>
    </row>
    <row r="48" spans="1:2" x14ac:dyDescent="0.2">
      <c r="A48" t="s">
        <v>2003</v>
      </c>
      <c r="B48" t="s">
        <v>1988</v>
      </c>
    </row>
    <row r="49" spans="1:2" x14ac:dyDescent="0.2">
      <c r="A49" t="s">
        <v>2004</v>
      </c>
      <c r="B49" t="s">
        <v>1988</v>
      </c>
    </row>
    <row r="50" spans="1:2" x14ac:dyDescent="0.2">
      <c r="A50" t="s">
        <v>2005</v>
      </c>
      <c r="B50" t="s">
        <v>1988</v>
      </c>
    </row>
    <row r="51" spans="1:2" x14ac:dyDescent="0.2">
      <c r="A51" t="s">
        <v>2006</v>
      </c>
      <c r="B51" t="s">
        <v>1988</v>
      </c>
    </row>
    <row r="52" spans="1:2" x14ac:dyDescent="0.2">
      <c r="A52" t="s">
        <v>958</v>
      </c>
      <c r="B52" t="s">
        <v>1988</v>
      </c>
    </row>
    <row r="53" spans="1:2" x14ac:dyDescent="0.2">
      <c r="A53" t="s">
        <v>991</v>
      </c>
      <c r="B53" t="s">
        <v>1988</v>
      </c>
    </row>
    <row r="54" spans="1:2" x14ac:dyDescent="0.2">
      <c r="A54" t="s">
        <v>987</v>
      </c>
      <c r="B54" t="s">
        <v>1988</v>
      </c>
    </row>
    <row r="55" spans="1:2" x14ac:dyDescent="0.2">
      <c r="A55" t="s">
        <v>1861</v>
      </c>
      <c r="B55" t="s">
        <v>1988</v>
      </c>
    </row>
    <row r="56" spans="1:2" x14ac:dyDescent="0.2">
      <c r="A56" t="s">
        <v>1994</v>
      </c>
      <c r="B56" t="s">
        <v>1988</v>
      </c>
    </row>
    <row r="57" spans="1:2" x14ac:dyDescent="0.2">
      <c r="A57" t="s">
        <v>1707</v>
      </c>
      <c r="B57" t="s">
        <v>1988</v>
      </c>
    </row>
    <row r="58" spans="1:2" x14ac:dyDescent="0.2">
      <c r="A58" t="s">
        <v>2007</v>
      </c>
      <c r="B58" t="s">
        <v>1988</v>
      </c>
    </row>
    <row r="59" spans="1:2" x14ac:dyDescent="0.2">
      <c r="A59" t="s">
        <v>2008</v>
      </c>
      <c r="B59" t="s">
        <v>1988</v>
      </c>
    </row>
    <row r="60" spans="1:2" x14ac:dyDescent="0.2">
      <c r="A60" t="s">
        <v>88</v>
      </c>
      <c r="B60" t="s">
        <v>1988</v>
      </c>
    </row>
    <row r="61" spans="1:2" x14ac:dyDescent="0.2">
      <c r="A61" t="s">
        <v>524</v>
      </c>
      <c r="B61" t="s">
        <v>1988</v>
      </c>
    </row>
    <row r="62" spans="1:2" x14ac:dyDescent="0.2">
      <c r="A62" t="s">
        <v>1908</v>
      </c>
      <c r="B62" t="s">
        <v>1988</v>
      </c>
    </row>
    <row r="63" spans="1:2" x14ac:dyDescent="0.2">
      <c r="A63" t="s">
        <v>2009</v>
      </c>
      <c r="B63" t="s">
        <v>1988</v>
      </c>
    </row>
    <row r="64" spans="1:2" x14ac:dyDescent="0.2">
      <c r="A64" t="s">
        <v>1639</v>
      </c>
      <c r="B64" t="s">
        <v>1988</v>
      </c>
    </row>
    <row r="65" spans="1:2" x14ac:dyDescent="0.2">
      <c r="A65" t="s">
        <v>175</v>
      </c>
      <c r="B65" t="s">
        <v>1988</v>
      </c>
    </row>
    <row r="66" spans="1:2" x14ac:dyDescent="0.2">
      <c r="A66" t="s">
        <v>1451</v>
      </c>
      <c r="B66" t="s">
        <v>1988</v>
      </c>
    </row>
    <row r="67" spans="1:2" x14ac:dyDescent="0.2">
      <c r="A67" t="s">
        <v>1933</v>
      </c>
      <c r="B67" t="s">
        <v>1988</v>
      </c>
    </row>
    <row r="68" spans="1:2" x14ac:dyDescent="0.2">
      <c r="A68" t="s">
        <v>711</v>
      </c>
      <c r="B68" t="s">
        <v>1988</v>
      </c>
    </row>
    <row r="69" spans="1:2" x14ac:dyDescent="0.2">
      <c r="A69" t="s">
        <v>1444</v>
      </c>
      <c r="B69" t="s">
        <v>1988</v>
      </c>
    </row>
    <row r="70" spans="1:2" x14ac:dyDescent="0.2">
      <c r="A70" t="s">
        <v>1701</v>
      </c>
      <c r="B70" t="s">
        <v>1988</v>
      </c>
    </row>
    <row r="71" spans="1:2" x14ac:dyDescent="0.2">
      <c r="A71" t="s">
        <v>1460</v>
      </c>
      <c r="B71" t="s">
        <v>1988</v>
      </c>
    </row>
    <row r="72" spans="1:2" x14ac:dyDescent="0.2">
      <c r="A72" t="s">
        <v>1457</v>
      </c>
      <c r="B72" t="s">
        <v>1988</v>
      </c>
    </row>
    <row r="73" spans="1:2" x14ac:dyDescent="0.2">
      <c r="A73" t="s">
        <v>1102</v>
      </c>
      <c r="B73" t="s">
        <v>1988</v>
      </c>
    </row>
    <row r="74" spans="1:2" x14ac:dyDescent="0.2">
      <c r="A74" t="s">
        <v>2010</v>
      </c>
      <c r="B74" t="s">
        <v>1988</v>
      </c>
    </row>
    <row r="75" spans="1:2" x14ac:dyDescent="0.2">
      <c r="A75" t="s">
        <v>123</v>
      </c>
      <c r="B75" t="s">
        <v>1988</v>
      </c>
    </row>
    <row r="76" spans="1:2" x14ac:dyDescent="0.2">
      <c r="A76" t="s">
        <v>2</v>
      </c>
      <c r="B76" t="s">
        <v>1988</v>
      </c>
    </row>
    <row r="77" spans="1:2" x14ac:dyDescent="0.2">
      <c r="A77" t="s">
        <v>2011</v>
      </c>
      <c r="B77" t="s">
        <v>1988</v>
      </c>
    </row>
    <row r="78" spans="1:2" x14ac:dyDescent="0.2">
      <c r="A78" t="s">
        <v>2012</v>
      </c>
      <c r="B78" t="s">
        <v>1988</v>
      </c>
    </row>
    <row r="79" spans="1:2" x14ac:dyDescent="0.2">
      <c r="A79" t="s">
        <v>2007</v>
      </c>
      <c r="B79" t="s">
        <v>1988</v>
      </c>
    </row>
    <row r="80" spans="1:2" x14ac:dyDescent="0.2">
      <c r="A80" t="s">
        <v>2010</v>
      </c>
      <c r="B80" t="s">
        <v>1988</v>
      </c>
    </row>
    <row r="81" spans="1:2" x14ac:dyDescent="0.2">
      <c r="A81" t="s">
        <v>723</v>
      </c>
      <c r="B81" t="s">
        <v>1988</v>
      </c>
    </row>
    <row r="82" spans="1:2" x14ac:dyDescent="0.2">
      <c r="A82" t="s">
        <v>1707</v>
      </c>
      <c r="B82" t="s">
        <v>1988</v>
      </c>
    </row>
    <row r="83" spans="1:2" x14ac:dyDescent="0.2">
      <c r="A83" t="s">
        <v>2002</v>
      </c>
      <c r="B83" t="s">
        <v>1988</v>
      </c>
    </row>
    <row r="84" spans="1:2" x14ac:dyDescent="0.2">
      <c r="A84" t="s">
        <v>1721</v>
      </c>
      <c r="B84" t="s">
        <v>1988</v>
      </c>
    </row>
    <row r="85" spans="1:2" x14ac:dyDescent="0.2">
      <c r="A85" t="s">
        <v>721</v>
      </c>
      <c r="B85" t="s">
        <v>1988</v>
      </c>
    </row>
    <row r="86" spans="1:2" x14ac:dyDescent="0.2">
      <c r="A86" t="s">
        <v>1698</v>
      </c>
      <c r="B86" t="s">
        <v>1988</v>
      </c>
    </row>
    <row r="87" spans="1:2" x14ac:dyDescent="0.2">
      <c r="A87" t="s">
        <v>1704</v>
      </c>
      <c r="B87" t="s">
        <v>1988</v>
      </c>
    </row>
    <row r="88" spans="1:2" x14ac:dyDescent="0.2">
      <c r="A88" t="s">
        <v>1701</v>
      </c>
      <c r="B88" t="s">
        <v>1988</v>
      </c>
    </row>
    <row r="89" spans="1:2" x14ac:dyDescent="0.2">
      <c r="A89" t="s">
        <v>1692</v>
      </c>
      <c r="B89" t="s">
        <v>1988</v>
      </c>
    </row>
    <row r="90" spans="1:2" x14ac:dyDescent="0.2">
      <c r="A90" t="s">
        <v>730</v>
      </c>
      <c r="B90" t="s">
        <v>1988</v>
      </c>
    </row>
    <row r="91" spans="1:2" x14ac:dyDescent="0.2">
      <c r="A91" t="s">
        <v>949</v>
      </c>
      <c r="B91" t="s">
        <v>1988</v>
      </c>
    </row>
    <row r="92" spans="1:2" x14ac:dyDescent="0.2">
      <c r="A92" t="s">
        <v>715</v>
      </c>
      <c r="B92" t="s">
        <v>1988</v>
      </c>
    </row>
    <row r="93" spans="1:2" x14ac:dyDescent="0.2">
      <c r="A93" t="s">
        <v>2013</v>
      </c>
      <c r="B93" t="s">
        <v>1988</v>
      </c>
    </row>
    <row r="94" spans="1:2" x14ac:dyDescent="0.2">
      <c r="A94" t="s">
        <v>1711</v>
      </c>
      <c r="B94" t="s">
        <v>1988</v>
      </c>
    </row>
    <row r="95" spans="1:2" x14ac:dyDescent="0.2">
      <c r="A95" t="s">
        <v>1718</v>
      </c>
      <c r="B95" t="s">
        <v>1988</v>
      </c>
    </row>
    <row r="96" spans="1:2" x14ac:dyDescent="0.2">
      <c r="A96" t="s">
        <v>2014</v>
      </c>
      <c r="B96" t="s">
        <v>1988</v>
      </c>
    </row>
    <row r="97" spans="1:2" x14ac:dyDescent="0.2">
      <c r="A97" t="s">
        <v>179</v>
      </c>
      <c r="B97" t="s">
        <v>1988</v>
      </c>
    </row>
    <row r="98" spans="1:2" x14ac:dyDescent="0.2">
      <c r="A98" t="s">
        <v>1037</v>
      </c>
      <c r="B98" t="s">
        <v>1988</v>
      </c>
    </row>
    <row r="99" spans="1:2" x14ac:dyDescent="0.2">
      <c r="A99" t="s">
        <v>2015</v>
      </c>
      <c r="B99" t="s">
        <v>1988</v>
      </c>
    </row>
    <row r="100" spans="1:2" x14ac:dyDescent="0.2">
      <c r="A100" t="s">
        <v>1732</v>
      </c>
      <c r="B100" t="s">
        <v>1988</v>
      </c>
    </row>
    <row r="101" spans="1:2" x14ac:dyDescent="0.2">
      <c r="A101" t="s">
        <v>1735</v>
      </c>
      <c r="B101" t="s">
        <v>1988</v>
      </c>
    </row>
    <row r="102" spans="1:2" x14ac:dyDescent="0.2">
      <c r="A102" t="s">
        <v>2016</v>
      </c>
      <c r="B102" t="s">
        <v>1988</v>
      </c>
    </row>
    <row r="103" spans="1:2" x14ac:dyDescent="0.2">
      <c r="A103" t="s">
        <v>2017</v>
      </c>
      <c r="B103" t="s">
        <v>1988</v>
      </c>
    </row>
    <row r="104" spans="1:2" x14ac:dyDescent="0.2">
      <c r="A104" t="s">
        <v>996</v>
      </c>
      <c r="B104" t="s">
        <v>1988</v>
      </c>
    </row>
    <row r="105" spans="1:2" x14ac:dyDescent="0.2">
      <c r="A105" t="s">
        <v>2018</v>
      </c>
      <c r="B105" t="s">
        <v>1988</v>
      </c>
    </row>
    <row r="106" spans="1:2" x14ac:dyDescent="0.2">
      <c r="A106" t="s">
        <v>2019</v>
      </c>
      <c r="B106" t="s">
        <v>1988</v>
      </c>
    </row>
    <row r="107" spans="1:2" x14ac:dyDescent="0.2">
      <c r="A107" t="s">
        <v>2020</v>
      </c>
      <c r="B107" t="s">
        <v>1988</v>
      </c>
    </row>
    <row r="108" spans="1:2" x14ac:dyDescent="0.2">
      <c r="A108" t="s">
        <v>2021</v>
      </c>
      <c r="B108" t="s">
        <v>1988</v>
      </c>
    </row>
    <row r="109" spans="1:2" x14ac:dyDescent="0.2">
      <c r="A109" t="s">
        <v>2000</v>
      </c>
      <c r="B109" t="s">
        <v>1988</v>
      </c>
    </row>
    <row r="110" spans="1:2" x14ac:dyDescent="0.2">
      <c r="A110" t="s">
        <v>2001</v>
      </c>
      <c r="B110" t="s">
        <v>1988</v>
      </c>
    </row>
    <row r="111" spans="1:2" x14ac:dyDescent="0.2">
      <c r="A111" t="s">
        <v>952</v>
      </c>
      <c r="B111" t="s">
        <v>1988</v>
      </c>
    </row>
    <row r="112" spans="1:2" x14ac:dyDescent="0.2">
      <c r="A112" t="s">
        <v>955</v>
      </c>
      <c r="B112" t="s">
        <v>1988</v>
      </c>
    </row>
    <row r="113" spans="1:2" x14ac:dyDescent="0.2">
      <c r="A113" t="s">
        <v>84</v>
      </c>
      <c r="B113" t="s">
        <v>1988</v>
      </c>
    </row>
    <row r="114" spans="1:2" x14ac:dyDescent="0.2">
      <c r="A114" t="s">
        <v>2022</v>
      </c>
      <c r="B114" t="s">
        <v>1988</v>
      </c>
    </row>
    <row r="115" spans="1:2" x14ac:dyDescent="0.2">
      <c r="A115" t="s">
        <v>709</v>
      </c>
      <c r="B115" t="s">
        <v>1988</v>
      </c>
    </row>
    <row r="116" spans="1:2" x14ac:dyDescent="0.2">
      <c r="A116" t="s">
        <v>2023</v>
      </c>
      <c r="B116" t="s">
        <v>1988</v>
      </c>
    </row>
    <row r="117" spans="1:2" x14ac:dyDescent="0.2">
      <c r="A117" t="s">
        <v>1633</v>
      </c>
      <c r="B117" t="s">
        <v>1988</v>
      </c>
    </row>
    <row r="118" spans="1:2" x14ac:dyDescent="0.2">
      <c r="A118" t="s">
        <v>1999</v>
      </c>
      <c r="B118" t="s">
        <v>1988</v>
      </c>
    </row>
    <row r="119" spans="1:2" x14ac:dyDescent="0.2">
      <c r="A119" t="s">
        <v>1524</v>
      </c>
      <c r="B119" t="s">
        <v>1988</v>
      </c>
    </row>
    <row r="120" spans="1:2" x14ac:dyDescent="0.2">
      <c r="A120" t="s">
        <v>1463</v>
      </c>
      <c r="B120" t="s">
        <v>1988</v>
      </c>
    </row>
    <row r="121" spans="1:2" x14ac:dyDescent="0.2">
      <c r="A121" t="s">
        <v>1454</v>
      </c>
      <c r="B121" t="s">
        <v>1988</v>
      </c>
    </row>
    <row r="122" spans="1:2" x14ac:dyDescent="0.2">
      <c r="A122" t="s">
        <v>1524</v>
      </c>
      <c r="B122" t="s">
        <v>1988</v>
      </c>
    </row>
    <row r="123" spans="1:2" x14ac:dyDescent="0.2">
      <c r="A123" t="s">
        <v>2024</v>
      </c>
      <c r="B123" t="s">
        <v>1988</v>
      </c>
    </row>
    <row r="124" spans="1:2" x14ac:dyDescent="0.2">
      <c r="A124" t="s">
        <v>1682</v>
      </c>
      <c r="B124" t="s">
        <v>1988</v>
      </c>
    </row>
    <row r="125" spans="1:2" x14ac:dyDescent="0.2">
      <c r="A125" t="s">
        <v>2025</v>
      </c>
      <c r="B125" t="s">
        <v>1988</v>
      </c>
    </row>
    <row r="126" spans="1:2" x14ac:dyDescent="0.2">
      <c r="A126" t="s">
        <v>2026</v>
      </c>
      <c r="B126" t="s">
        <v>1988</v>
      </c>
    </row>
    <row r="127" spans="1:2" x14ac:dyDescent="0.2">
      <c r="A127" t="s">
        <v>1666</v>
      </c>
      <c r="B127" t="s">
        <v>1988</v>
      </c>
    </row>
    <row r="128" spans="1:2" x14ac:dyDescent="0.2">
      <c r="A128" t="s">
        <v>1662</v>
      </c>
      <c r="B128" t="s">
        <v>1988</v>
      </c>
    </row>
    <row r="129" spans="1:2" x14ac:dyDescent="0.2">
      <c r="A129" t="s">
        <v>2027</v>
      </c>
      <c r="B129" t="s">
        <v>1988</v>
      </c>
    </row>
    <row r="130" spans="1:2" x14ac:dyDescent="0.2">
      <c r="A130" t="s">
        <v>1992</v>
      </c>
      <c r="B130" t="s">
        <v>1988</v>
      </c>
    </row>
    <row r="131" spans="1:2" x14ac:dyDescent="0.2">
      <c r="A131" t="s">
        <v>311</v>
      </c>
      <c r="B131" t="s">
        <v>1988</v>
      </c>
    </row>
    <row r="132" spans="1:2" x14ac:dyDescent="0.2">
      <c r="A132" t="s">
        <v>1989</v>
      </c>
      <c r="B132" t="s">
        <v>1988</v>
      </c>
    </row>
    <row r="133" spans="1:2" x14ac:dyDescent="0.2">
      <c r="A133" t="s">
        <v>1936</v>
      </c>
      <c r="B133" t="s">
        <v>1988</v>
      </c>
    </row>
    <row r="134" spans="1:2" x14ac:dyDescent="0.2">
      <c r="A134" t="s">
        <v>1728</v>
      </c>
      <c r="B134" t="s">
        <v>1988</v>
      </c>
    </row>
    <row r="135" spans="1:2" x14ac:dyDescent="0.2">
      <c r="A135" t="s">
        <v>965</v>
      </c>
      <c r="B135" t="s">
        <v>1988</v>
      </c>
    </row>
    <row r="136" spans="1:2" x14ac:dyDescent="0.2">
      <c r="A136" t="s">
        <v>1998</v>
      </c>
      <c r="B136" t="s">
        <v>1988</v>
      </c>
    </row>
    <row r="137" spans="1:2" x14ac:dyDescent="0.2">
      <c r="A137" t="s">
        <v>968</v>
      </c>
      <c r="B137" t="s">
        <v>1988</v>
      </c>
    </row>
    <row r="138" spans="1:2" x14ac:dyDescent="0.2">
      <c r="A138" t="s">
        <v>2028</v>
      </c>
      <c r="B138" t="s">
        <v>1988</v>
      </c>
    </row>
    <row r="139" spans="1:2" x14ac:dyDescent="0.2">
      <c r="A139" t="s">
        <v>1725</v>
      </c>
      <c r="B139" t="s">
        <v>1988</v>
      </c>
    </row>
    <row r="140" spans="1:2" x14ac:dyDescent="0.2">
      <c r="A140" t="s">
        <v>926</v>
      </c>
      <c r="B140" t="s">
        <v>1988</v>
      </c>
    </row>
    <row r="141" spans="1:2" x14ac:dyDescent="0.2">
      <c r="A141" t="s">
        <v>2029</v>
      </c>
      <c r="B141" t="s">
        <v>1988</v>
      </c>
    </row>
    <row r="142" spans="1:2" x14ac:dyDescent="0.2">
      <c r="A142" t="s">
        <v>2030</v>
      </c>
      <c r="B142" t="s">
        <v>1988</v>
      </c>
    </row>
    <row r="143" spans="1:2" x14ac:dyDescent="0.2">
      <c r="A143" t="s">
        <v>1993</v>
      </c>
      <c r="B143" t="s">
        <v>1988</v>
      </c>
    </row>
    <row r="144" spans="1:2" x14ac:dyDescent="0.2">
      <c r="A144" t="s">
        <v>1995</v>
      </c>
      <c r="B144" t="s">
        <v>1988</v>
      </c>
    </row>
    <row r="145" spans="1:2" x14ac:dyDescent="0.2">
      <c r="A145" t="s">
        <v>1682</v>
      </c>
      <c r="B145" t="s">
        <v>1988</v>
      </c>
    </row>
    <row r="146" spans="1:2" x14ac:dyDescent="0.2">
      <c r="A146" t="s">
        <v>2031</v>
      </c>
      <c r="B146" t="s">
        <v>1988</v>
      </c>
    </row>
    <row r="147" spans="1:2" x14ac:dyDescent="0.2">
      <c r="A147" t="s">
        <v>2027</v>
      </c>
      <c r="B147" t="s">
        <v>1988</v>
      </c>
    </row>
    <row r="148" spans="1:2" x14ac:dyDescent="0.2">
      <c r="A148" t="s">
        <v>2026</v>
      </c>
      <c r="B148" t="s">
        <v>1988</v>
      </c>
    </row>
    <row r="149" spans="1:2" x14ac:dyDescent="0.2">
      <c r="A149" t="s">
        <v>2032</v>
      </c>
      <c r="B149" t="s">
        <v>1988</v>
      </c>
    </row>
    <row r="150" spans="1:2" x14ac:dyDescent="0.2">
      <c r="A150" t="s">
        <v>2014</v>
      </c>
      <c r="B150" t="s">
        <v>1988</v>
      </c>
    </row>
    <row r="151" spans="1:2" x14ac:dyDescent="0.2">
      <c r="A151" t="s">
        <v>1642</v>
      </c>
      <c r="B151" t="s">
        <v>1988</v>
      </c>
    </row>
    <row r="152" spans="1:2" x14ac:dyDescent="0.2">
      <c r="A152" t="s">
        <v>1912</v>
      </c>
      <c r="B152" t="s">
        <v>1988</v>
      </c>
    </row>
    <row r="153" spans="1:2" x14ac:dyDescent="0.2">
      <c r="A153" t="s">
        <v>1829</v>
      </c>
      <c r="B153" t="s">
        <v>1988</v>
      </c>
    </row>
    <row r="154" spans="1:2" x14ac:dyDescent="0.2">
      <c r="A154" t="s">
        <v>2033</v>
      </c>
      <c r="B154" t="s">
        <v>1988</v>
      </c>
    </row>
    <row r="155" spans="1:2" x14ac:dyDescent="0.2">
      <c r="A155" t="s">
        <v>2034</v>
      </c>
      <c r="B155" t="s">
        <v>1988</v>
      </c>
    </row>
    <row r="156" spans="1:2" x14ac:dyDescent="0.2">
      <c r="A156" t="s">
        <v>1732</v>
      </c>
      <c r="B156" t="s">
        <v>1988</v>
      </c>
    </row>
    <row r="157" spans="1:2" x14ac:dyDescent="0.2">
      <c r="A157" t="s">
        <v>127</v>
      </c>
      <c r="B157" t="s">
        <v>1988</v>
      </c>
    </row>
    <row r="158" spans="1:2" x14ac:dyDescent="0.2">
      <c r="A158" t="s">
        <v>2035</v>
      </c>
      <c r="B158" t="s">
        <v>1988</v>
      </c>
    </row>
    <row r="159" spans="1:2" x14ac:dyDescent="0.2">
      <c r="A159" t="s">
        <v>705</v>
      </c>
      <c r="B159" t="s">
        <v>1988</v>
      </c>
    </row>
    <row r="160" spans="1:2" x14ac:dyDescent="0.2">
      <c r="A160" t="s">
        <v>870</v>
      </c>
      <c r="B160" t="s">
        <v>1988</v>
      </c>
    </row>
    <row r="161" spans="1:2" x14ac:dyDescent="0.2">
      <c r="A161" t="s">
        <v>709</v>
      </c>
      <c r="B161" t="s">
        <v>1988</v>
      </c>
    </row>
    <row r="162" spans="1:2" x14ac:dyDescent="0.2">
      <c r="A162" t="s">
        <v>2036</v>
      </c>
      <c r="B162" t="s">
        <v>1988</v>
      </c>
    </row>
    <row r="163" spans="1:2" x14ac:dyDescent="0.2">
      <c r="A163" t="s">
        <v>1990</v>
      </c>
      <c r="B163" t="s">
        <v>1988</v>
      </c>
    </row>
    <row r="164" spans="1:2" x14ac:dyDescent="0.2">
      <c r="A164" t="s">
        <v>1871</v>
      </c>
      <c r="B164" t="s">
        <v>1988</v>
      </c>
    </row>
    <row r="165" spans="1:2" x14ac:dyDescent="0.2">
      <c r="A165" t="s">
        <v>2037</v>
      </c>
      <c r="B165" t="s">
        <v>1988</v>
      </c>
    </row>
    <row r="166" spans="1:2" x14ac:dyDescent="0.2">
      <c r="A166" t="s">
        <v>2038</v>
      </c>
      <c r="B166" t="s">
        <v>1988</v>
      </c>
    </row>
    <row r="167" spans="1:2" x14ac:dyDescent="0.2">
      <c r="A167" t="s">
        <v>2039</v>
      </c>
      <c r="B167" t="s">
        <v>1988</v>
      </c>
    </row>
    <row r="168" spans="1:2" x14ac:dyDescent="0.2">
      <c r="A168" t="s">
        <v>2040</v>
      </c>
      <c r="B168" t="s">
        <v>1988</v>
      </c>
    </row>
    <row r="169" spans="1:2" x14ac:dyDescent="0.2">
      <c r="A169" t="s">
        <v>1895</v>
      </c>
      <c r="B169" t="s">
        <v>1988</v>
      </c>
    </row>
    <row r="170" spans="1:2" x14ac:dyDescent="0.2">
      <c r="A170" t="s">
        <v>2041</v>
      </c>
      <c r="B170" t="s">
        <v>1988</v>
      </c>
    </row>
    <row r="171" spans="1:2" x14ac:dyDescent="0.2">
      <c r="A171" t="s">
        <v>2042</v>
      </c>
      <c r="B171" t="s">
        <v>1988</v>
      </c>
    </row>
    <row r="172" spans="1:2" x14ac:dyDescent="0.2">
      <c r="A172" t="s">
        <v>2038</v>
      </c>
      <c r="B172" t="s">
        <v>1988</v>
      </c>
    </row>
    <row r="173" spans="1:2" x14ac:dyDescent="0.2">
      <c r="A173" t="s">
        <v>1754</v>
      </c>
      <c r="B173" t="s">
        <v>1988</v>
      </c>
    </row>
    <row r="174" spans="1:2" x14ac:dyDescent="0.2">
      <c r="A174" t="s">
        <v>1853</v>
      </c>
      <c r="B174" t="s">
        <v>1988</v>
      </c>
    </row>
    <row r="175" spans="1:2" x14ac:dyDescent="0.2">
      <c r="A175" t="s">
        <v>2043</v>
      </c>
      <c r="B175" t="s">
        <v>1988</v>
      </c>
    </row>
    <row r="176" spans="1:2" x14ac:dyDescent="0.2">
      <c r="A176" t="s">
        <v>2044</v>
      </c>
      <c r="B176" t="s">
        <v>1988</v>
      </c>
    </row>
    <row r="177" spans="1:2" x14ac:dyDescent="0.2">
      <c r="A177" t="s">
        <v>2045</v>
      </c>
      <c r="B177" t="s">
        <v>1988</v>
      </c>
    </row>
    <row r="178" spans="1:2" x14ac:dyDescent="0.2">
      <c r="A178" t="s">
        <v>1996</v>
      </c>
      <c r="B178" t="s">
        <v>1988</v>
      </c>
    </row>
    <row r="179" spans="1:2" x14ac:dyDescent="0.2">
      <c r="A179" t="s">
        <v>2039</v>
      </c>
      <c r="B179" t="s">
        <v>1988</v>
      </c>
    </row>
    <row r="180" spans="1:2" x14ac:dyDescent="0.2">
      <c r="A180" t="s">
        <v>2041</v>
      </c>
      <c r="B180" t="s">
        <v>1988</v>
      </c>
    </row>
    <row r="181" spans="1:2" x14ac:dyDescent="0.2">
      <c r="A181" t="s">
        <v>2042</v>
      </c>
      <c r="B181" t="s">
        <v>1988</v>
      </c>
    </row>
    <row r="182" spans="1:2" x14ac:dyDescent="0.2">
      <c r="A182" t="s">
        <v>2043</v>
      </c>
      <c r="B182" t="s">
        <v>1988</v>
      </c>
    </row>
    <row r="183" spans="1:2" x14ac:dyDescent="0.2">
      <c r="A183" t="s">
        <v>2046</v>
      </c>
      <c r="B183" t="s">
        <v>1988</v>
      </c>
    </row>
    <row r="184" spans="1:2" x14ac:dyDescent="0.2">
      <c r="A184" t="s">
        <v>2047</v>
      </c>
      <c r="B184" t="s">
        <v>1988</v>
      </c>
    </row>
    <row r="185" spans="1:2" x14ac:dyDescent="0.2">
      <c r="A185" t="s">
        <v>1685</v>
      </c>
      <c r="B185" t="s">
        <v>1988</v>
      </c>
    </row>
    <row r="186" spans="1:2" x14ac:dyDescent="0.2">
      <c r="A186" t="s">
        <v>449</v>
      </c>
      <c r="B186" t="s">
        <v>1988</v>
      </c>
    </row>
    <row r="187" spans="1:2" x14ac:dyDescent="0.2">
      <c r="A187" t="s">
        <v>877</v>
      </c>
      <c r="B187" t="s">
        <v>1988</v>
      </c>
    </row>
    <row r="188" spans="1:2" x14ac:dyDescent="0.2">
      <c r="A188" t="s">
        <v>1864</v>
      </c>
      <c r="B188" t="s">
        <v>1988</v>
      </c>
    </row>
    <row r="189" spans="1:2" x14ac:dyDescent="0.2">
      <c r="A189" t="s">
        <v>2032</v>
      </c>
      <c r="B189" t="s">
        <v>1988</v>
      </c>
    </row>
    <row r="190" spans="1:2" x14ac:dyDescent="0.2">
      <c r="A190" t="s">
        <v>2036</v>
      </c>
      <c r="B190" t="s">
        <v>1988</v>
      </c>
    </row>
    <row r="191" spans="1:2" x14ac:dyDescent="0.2">
      <c r="A191" t="s">
        <v>1688</v>
      </c>
      <c r="B191" t="s">
        <v>1988</v>
      </c>
    </row>
    <row r="192" spans="1:2" x14ac:dyDescent="0.2">
      <c r="A192" t="s">
        <v>2048</v>
      </c>
      <c r="B192" t="s">
        <v>1988</v>
      </c>
    </row>
    <row r="193" spans="1:2" x14ac:dyDescent="0.2">
      <c r="A193" t="s">
        <v>2049</v>
      </c>
      <c r="B193" t="s">
        <v>1988</v>
      </c>
    </row>
    <row r="194" spans="1:2" x14ac:dyDescent="0.2">
      <c r="A194" t="s">
        <v>2050</v>
      </c>
      <c r="B194" t="s">
        <v>1988</v>
      </c>
    </row>
    <row r="195" spans="1:2" x14ac:dyDescent="0.2">
      <c r="A195" t="s">
        <v>890</v>
      </c>
      <c r="B195" t="s">
        <v>1988</v>
      </c>
    </row>
    <row r="196" spans="1:2" x14ac:dyDescent="0.2">
      <c r="A196" t="s">
        <v>1827</v>
      </c>
      <c r="B196" t="s">
        <v>1988</v>
      </c>
    </row>
    <row r="197" spans="1:2" x14ac:dyDescent="0.2">
      <c r="A197" t="s">
        <v>1890</v>
      </c>
      <c r="B197" t="s">
        <v>1988</v>
      </c>
    </row>
    <row r="198" spans="1:2" x14ac:dyDescent="0.2">
      <c r="A198" t="s">
        <v>2051</v>
      </c>
      <c r="B198" t="s">
        <v>1988</v>
      </c>
    </row>
    <row r="199" spans="1:2" x14ac:dyDescent="0.2">
      <c r="A199" t="s">
        <v>887</v>
      </c>
      <c r="B199" t="s">
        <v>1988</v>
      </c>
    </row>
    <row r="200" spans="1:2" x14ac:dyDescent="0.2">
      <c r="A200" t="s">
        <v>2052</v>
      </c>
      <c r="B200" t="s">
        <v>1988</v>
      </c>
    </row>
    <row r="201" spans="1:2" x14ac:dyDescent="0.2">
      <c r="A201" t="s">
        <v>2053</v>
      </c>
      <c r="B201" t="s">
        <v>1988</v>
      </c>
    </row>
    <row r="202" spans="1:2" x14ac:dyDescent="0.2">
      <c r="A202" t="s">
        <v>2054</v>
      </c>
      <c r="B202" t="s">
        <v>1988</v>
      </c>
    </row>
    <row r="203" spans="1:2" x14ac:dyDescent="0.2">
      <c r="A203" t="s">
        <v>2047</v>
      </c>
      <c r="B203" t="s">
        <v>1988</v>
      </c>
    </row>
    <row r="204" spans="1:2" x14ac:dyDescent="0.2">
      <c r="A204" t="s">
        <v>179</v>
      </c>
      <c r="B204" t="s">
        <v>1988</v>
      </c>
    </row>
    <row r="205" spans="1:2" x14ac:dyDescent="0.2">
      <c r="A205" t="s">
        <v>2055</v>
      </c>
      <c r="B205" t="s">
        <v>1988</v>
      </c>
    </row>
    <row r="206" spans="1:2" x14ac:dyDescent="0.2">
      <c r="A206" t="s">
        <v>718</v>
      </c>
      <c r="B206" t="s">
        <v>1988</v>
      </c>
    </row>
    <row r="207" spans="1:2" x14ac:dyDescent="0.2">
      <c r="A207" t="s">
        <v>2056</v>
      </c>
      <c r="B207" t="s">
        <v>1988</v>
      </c>
    </row>
    <row r="208" spans="1:2" x14ac:dyDescent="0.2">
      <c r="A208" t="s">
        <v>1735</v>
      </c>
      <c r="B208" t="s">
        <v>1988</v>
      </c>
    </row>
    <row r="209" spans="1:2" x14ac:dyDescent="0.2">
      <c r="A209" t="s">
        <v>1696</v>
      </c>
      <c r="B209" t="s">
        <v>1988</v>
      </c>
    </row>
    <row r="210" spans="1:2" x14ac:dyDescent="0.2">
      <c r="A210" t="s">
        <v>2017</v>
      </c>
      <c r="B210" t="s">
        <v>1988</v>
      </c>
    </row>
    <row r="211" spans="1:2" x14ac:dyDescent="0.2">
      <c r="A211" t="s">
        <v>2057</v>
      </c>
      <c r="B211" t="s">
        <v>1988</v>
      </c>
    </row>
    <row r="212" spans="1:2" x14ac:dyDescent="0.2">
      <c r="A212" t="s">
        <v>994</v>
      </c>
      <c r="B212" t="s">
        <v>1988</v>
      </c>
    </row>
    <row r="213" spans="1:2" x14ac:dyDescent="0.2">
      <c r="A213" t="s">
        <v>1441</v>
      </c>
      <c r="B213" t="s">
        <v>1988</v>
      </c>
    </row>
    <row r="214" spans="1:2" x14ac:dyDescent="0.2">
      <c r="A214" t="s">
        <v>2058</v>
      </c>
      <c r="B214" t="s">
        <v>1988</v>
      </c>
    </row>
    <row r="215" spans="1:2" x14ac:dyDescent="0.2">
      <c r="A215" t="s">
        <v>2059</v>
      </c>
      <c r="B215" t="s">
        <v>1988</v>
      </c>
    </row>
    <row r="216" spans="1:2" x14ac:dyDescent="0.2">
      <c r="A216" t="s">
        <v>2033</v>
      </c>
      <c r="B216" t="s">
        <v>1988</v>
      </c>
    </row>
    <row r="217" spans="1:2" x14ac:dyDescent="0.2">
      <c r="A217" t="s">
        <v>2060</v>
      </c>
      <c r="B217" t="s">
        <v>1988</v>
      </c>
    </row>
    <row r="218" spans="1:2" x14ac:dyDescent="0.2">
      <c r="A218" t="s">
        <v>1448</v>
      </c>
      <c r="B218" t="s">
        <v>1988</v>
      </c>
    </row>
    <row r="219" spans="1:2" x14ac:dyDescent="0.2">
      <c r="A219" t="s">
        <v>2061</v>
      </c>
      <c r="B219" t="s">
        <v>1988</v>
      </c>
    </row>
    <row r="220" spans="1:2" x14ac:dyDescent="0.2">
      <c r="A220" t="s">
        <v>2062</v>
      </c>
      <c r="B220" t="s">
        <v>1988</v>
      </c>
    </row>
    <row r="221" spans="1:2" x14ac:dyDescent="0.2">
      <c r="A221" t="s">
        <v>2063</v>
      </c>
      <c r="B221" t="s">
        <v>1988</v>
      </c>
    </row>
    <row r="222" spans="1:2" x14ac:dyDescent="0.2">
      <c r="A222" t="s">
        <v>1715</v>
      </c>
      <c r="B222" t="s">
        <v>1988</v>
      </c>
    </row>
    <row r="223" spans="1:2" x14ac:dyDescent="0.2">
      <c r="A223" t="s">
        <v>131</v>
      </c>
      <c r="B223" t="s">
        <v>1988</v>
      </c>
    </row>
    <row r="224" spans="1:2" x14ac:dyDescent="0.2">
      <c r="A224" t="s">
        <v>2023</v>
      </c>
      <c r="B224" t="s">
        <v>1988</v>
      </c>
    </row>
    <row r="225" spans="1:2" x14ac:dyDescent="0.2">
      <c r="A225" t="s">
        <v>2034</v>
      </c>
      <c r="B225" t="s">
        <v>1988</v>
      </c>
    </row>
    <row r="226" spans="1:2" x14ac:dyDescent="0.2">
      <c r="A226" t="s">
        <v>2020</v>
      </c>
      <c r="B226" t="s">
        <v>1988</v>
      </c>
    </row>
    <row r="227" spans="1:2" x14ac:dyDescent="0.2">
      <c r="A227" t="s">
        <v>1900</v>
      </c>
      <c r="B227" t="s">
        <v>1988</v>
      </c>
    </row>
    <row r="228" spans="1:2" x14ac:dyDescent="0.2">
      <c r="A228" t="s">
        <v>2064</v>
      </c>
      <c r="B228" t="s">
        <v>1988</v>
      </c>
    </row>
    <row r="229" spans="1:2" x14ac:dyDescent="0.2">
      <c r="A229" t="s">
        <v>1887</v>
      </c>
      <c r="B229" t="s">
        <v>1988</v>
      </c>
    </row>
    <row r="230" spans="1:2" x14ac:dyDescent="0.2">
      <c r="A230" t="s">
        <v>2065</v>
      </c>
      <c r="B230" t="s">
        <v>1988</v>
      </c>
    </row>
    <row r="231" spans="1:2" x14ac:dyDescent="0.2">
      <c r="A231" t="s">
        <v>1738</v>
      </c>
      <c r="B231" t="s">
        <v>1988</v>
      </c>
    </row>
    <row r="232" spans="1:2" x14ac:dyDescent="0.2">
      <c r="A232" t="s">
        <v>2066</v>
      </c>
      <c r="B232" t="s">
        <v>1988</v>
      </c>
    </row>
    <row r="233" spans="1:2" x14ac:dyDescent="0.2">
      <c r="A233" t="s">
        <v>2067</v>
      </c>
      <c r="B233" t="s">
        <v>1988</v>
      </c>
    </row>
    <row r="234" spans="1:2" x14ac:dyDescent="0.2">
      <c r="A234" t="s">
        <v>1926</v>
      </c>
      <c r="B234" t="s">
        <v>1988</v>
      </c>
    </row>
    <row r="235" spans="1:2" x14ac:dyDescent="0.2">
      <c r="A235" t="s">
        <v>2068</v>
      </c>
      <c r="B235" t="s">
        <v>1988</v>
      </c>
    </row>
    <row r="236" spans="1:2" x14ac:dyDescent="0.2">
      <c r="A236" t="s">
        <v>945</v>
      </c>
      <c r="B236" t="s">
        <v>1988</v>
      </c>
    </row>
    <row r="237" spans="1:2" x14ac:dyDescent="0.2">
      <c r="A237" t="s">
        <v>1919</v>
      </c>
      <c r="B237" t="s">
        <v>1988</v>
      </c>
    </row>
    <row r="238" spans="1:2" x14ac:dyDescent="0.2">
      <c r="A238" t="s">
        <v>1050</v>
      </c>
      <c r="B238" t="s">
        <v>1988</v>
      </c>
    </row>
    <row r="239" spans="1:2" x14ac:dyDescent="0.2">
      <c r="A239" t="s">
        <v>958</v>
      </c>
      <c r="B239" t="s">
        <v>1988</v>
      </c>
    </row>
    <row r="240" spans="1:2" x14ac:dyDescent="0.2">
      <c r="A240" t="s">
        <v>1857</v>
      </c>
      <c r="B240" t="s">
        <v>1988</v>
      </c>
    </row>
    <row r="241" spans="1:2" x14ac:dyDescent="0.2">
      <c r="A241" t="s">
        <v>1377</v>
      </c>
      <c r="B241" t="s">
        <v>1988</v>
      </c>
    </row>
    <row r="242" spans="1:2" x14ac:dyDescent="0.2">
      <c r="A242" t="s">
        <v>2037</v>
      </c>
      <c r="B242" t="s">
        <v>1988</v>
      </c>
    </row>
    <row r="243" spans="1:2" x14ac:dyDescent="0.2">
      <c r="A243" t="s">
        <v>2019</v>
      </c>
      <c r="B243" t="s">
        <v>1988</v>
      </c>
    </row>
    <row r="244" spans="1:2" x14ac:dyDescent="0.2">
      <c r="A244" t="s">
        <v>2021</v>
      </c>
      <c r="B244" t="s">
        <v>1988</v>
      </c>
    </row>
    <row r="245" spans="1:2" x14ac:dyDescent="0.2">
      <c r="A245" t="s">
        <v>1432</v>
      </c>
      <c r="B245" t="s">
        <v>1988</v>
      </c>
    </row>
    <row r="246" spans="1:2" x14ac:dyDescent="0.2">
      <c r="A246" t="s">
        <v>1086</v>
      </c>
      <c r="B246" t="s">
        <v>1988</v>
      </c>
    </row>
    <row r="247" spans="1:2" x14ac:dyDescent="0.2">
      <c r="A247" t="s">
        <v>711</v>
      </c>
      <c r="B247" t="s">
        <v>1988</v>
      </c>
    </row>
    <row r="248" spans="1:2" x14ac:dyDescent="0.2">
      <c r="A248" t="s">
        <v>1194</v>
      </c>
      <c r="B248" t="s">
        <v>2069</v>
      </c>
    </row>
    <row r="249" spans="1:2" x14ac:dyDescent="0.2">
      <c r="A249" t="s">
        <v>2070</v>
      </c>
      <c r="B249" t="s">
        <v>2069</v>
      </c>
    </row>
    <row r="250" spans="1:2" x14ac:dyDescent="0.2">
      <c r="A250" t="s">
        <v>65</v>
      </c>
      <c r="B250" t="s">
        <v>2069</v>
      </c>
    </row>
    <row r="251" spans="1:2" x14ac:dyDescent="0.2">
      <c r="A251" t="s">
        <v>2071</v>
      </c>
      <c r="B251" t="s">
        <v>2069</v>
      </c>
    </row>
    <row r="252" spans="1:2" x14ac:dyDescent="0.2">
      <c r="A252" t="s">
        <v>2072</v>
      </c>
      <c r="B252" t="s">
        <v>2069</v>
      </c>
    </row>
    <row r="253" spans="1:2" x14ac:dyDescent="0.2">
      <c r="A253" t="s">
        <v>917</v>
      </c>
      <c r="B253" t="s">
        <v>2069</v>
      </c>
    </row>
    <row r="254" spans="1:2" x14ac:dyDescent="0.2">
      <c r="A254" t="s">
        <v>146</v>
      </c>
      <c r="B254" t="s">
        <v>2069</v>
      </c>
    </row>
    <row r="255" spans="1:2" x14ac:dyDescent="0.2">
      <c r="A255" t="s">
        <v>483</v>
      </c>
      <c r="B255" t="s">
        <v>2069</v>
      </c>
    </row>
    <row r="256" spans="1:2" x14ac:dyDescent="0.2">
      <c r="A256" t="s">
        <v>402</v>
      </c>
      <c r="B256" t="s">
        <v>2069</v>
      </c>
    </row>
    <row r="257" spans="1:2" x14ac:dyDescent="0.2">
      <c r="A257" t="s">
        <v>974</v>
      </c>
      <c r="B257" t="s">
        <v>2069</v>
      </c>
    </row>
    <row r="258" spans="1:2" x14ac:dyDescent="0.2">
      <c r="A258" t="s">
        <v>1511</v>
      </c>
      <c r="B258" t="s">
        <v>2069</v>
      </c>
    </row>
    <row r="259" spans="1:2" x14ac:dyDescent="0.2">
      <c r="A259" t="s">
        <v>2073</v>
      </c>
      <c r="B259" t="s">
        <v>2069</v>
      </c>
    </row>
    <row r="260" spans="1:2" x14ac:dyDescent="0.2">
      <c r="A260" t="s">
        <v>681</v>
      </c>
      <c r="B260" t="s">
        <v>2069</v>
      </c>
    </row>
    <row r="261" spans="1:2" x14ac:dyDescent="0.2">
      <c r="A261" t="s">
        <v>2074</v>
      </c>
      <c r="B261" t="s">
        <v>2069</v>
      </c>
    </row>
    <row r="262" spans="1:2" x14ac:dyDescent="0.2">
      <c r="A262" t="s">
        <v>2075</v>
      </c>
      <c r="B262" t="s">
        <v>2069</v>
      </c>
    </row>
    <row r="263" spans="1:2" x14ac:dyDescent="0.2">
      <c r="A263" t="s">
        <v>2076</v>
      </c>
      <c r="B263" t="s">
        <v>2069</v>
      </c>
    </row>
    <row r="264" spans="1:2" x14ac:dyDescent="0.2">
      <c r="A264" t="s">
        <v>1110</v>
      </c>
      <c r="B264" t="s">
        <v>2069</v>
      </c>
    </row>
    <row r="265" spans="1:2" x14ac:dyDescent="0.2">
      <c r="A265" t="s">
        <v>109</v>
      </c>
      <c r="B265" t="s">
        <v>2069</v>
      </c>
    </row>
    <row r="266" spans="1:2" x14ac:dyDescent="0.2">
      <c r="A266" t="s">
        <v>1561</v>
      </c>
      <c r="B266" t="s">
        <v>2069</v>
      </c>
    </row>
    <row r="267" spans="1:2" x14ac:dyDescent="0.2">
      <c r="A267" t="s">
        <v>2077</v>
      </c>
      <c r="B267" t="s">
        <v>2069</v>
      </c>
    </row>
    <row r="268" spans="1:2" x14ac:dyDescent="0.2">
      <c r="A268" t="s">
        <v>2078</v>
      </c>
      <c r="B268" t="s">
        <v>2069</v>
      </c>
    </row>
    <row r="269" spans="1:2" x14ac:dyDescent="0.2">
      <c r="A269" t="s">
        <v>349</v>
      </c>
      <c r="B269" t="s">
        <v>2069</v>
      </c>
    </row>
    <row r="270" spans="1:2" x14ac:dyDescent="0.2">
      <c r="A270" t="s">
        <v>2079</v>
      </c>
      <c r="B270" t="s">
        <v>2069</v>
      </c>
    </row>
    <row r="271" spans="1:2" x14ac:dyDescent="0.2">
      <c r="A271" t="s">
        <v>2080</v>
      </c>
      <c r="B271" t="s">
        <v>2069</v>
      </c>
    </row>
    <row r="272" spans="1:2" x14ac:dyDescent="0.2">
      <c r="A272" t="s">
        <v>13</v>
      </c>
      <c r="B272" t="s">
        <v>2069</v>
      </c>
    </row>
    <row r="273" spans="1:2" x14ac:dyDescent="0.2">
      <c r="A273" t="s">
        <v>832</v>
      </c>
      <c r="B273" t="s">
        <v>2069</v>
      </c>
    </row>
    <row r="274" spans="1:2" x14ac:dyDescent="0.2">
      <c r="A274" t="s">
        <v>829</v>
      </c>
      <c r="B274" t="s">
        <v>2069</v>
      </c>
    </row>
    <row r="275" spans="1:2" x14ac:dyDescent="0.2">
      <c r="A275" t="s">
        <v>94</v>
      </c>
      <c r="B275" t="s">
        <v>2069</v>
      </c>
    </row>
    <row r="276" spans="1:2" x14ac:dyDescent="0.2">
      <c r="A276" t="s">
        <v>784</v>
      </c>
      <c r="B276" t="s">
        <v>2069</v>
      </c>
    </row>
    <row r="277" spans="1:2" x14ac:dyDescent="0.2">
      <c r="A277" t="s">
        <v>2081</v>
      </c>
      <c r="B277" t="s">
        <v>2069</v>
      </c>
    </row>
    <row r="278" spans="1:2" x14ac:dyDescent="0.2">
      <c r="A278" t="s">
        <v>793</v>
      </c>
      <c r="B278" t="s">
        <v>2069</v>
      </c>
    </row>
    <row r="279" spans="1:2" x14ac:dyDescent="0.2">
      <c r="A279" t="s">
        <v>790</v>
      </c>
      <c r="B279" t="s">
        <v>2069</v>
      </c>
    </row>
    <row r="280" spans="1:2" x14ac:dyDescent="0.2">
      <c r="A280" t="s">
        <v>2082</v>
      </c>
      <c r="B280" t="s">
        <v>2069</v>
      </c>
    </row>
    <row r="281" spans="1:2" x14ac:dyDescent="0.2">
      <c r="A281" t="s">
        <v>787</v>
      </c>
      <c r="B281" t="s">
        <v>2069</v>
      </c>
    </row>
    <row r="282" spans="1:2" x14ac:dyDescent="0.2">
      <c r="A282" t="s">
        <v>2083</v>
      </c>
      <c r="B282" t="s">
        <v>2069</v>
      </c>
    </row>
    <row r="283" spans="1:2" x14ac:dyDescent="0.2">
      <c r="A283" t="s">
        <v>766</v>
      </c>
      <c r="B283" t="s">
        <v>2069</v>
      </c>
    </row>
    <row r="284" spans="1:2" x14ac:dyDescent="0.2">
      <c r="A284" t="s">
        <v>2084</v>
      </c>
      <c r="B284" t="s">
        <v>2069</v>
      </c>
    </row>
    <row r="285" spans="1:2" x14ac:dyDescent="0.2">
      <c r="A285" t="s">
        <v>1473</v>
      </c>
      <c r="B285" t="s">
        <v>2069</v>
      </c>
    </row>
    <row r="286" spans="1:2" x14ac:dyDescent="0.2">
      <c r="A286" t="s">
        <v>17</v>
      </c>
      <c r="B286" t="s">
        <v>2069</v>
      </c>
    </row>
    <row r="287" spans="1:2" x14ac:dyDescent="0.2">
      <c r="A287" t="s">
        <v>121</v>
      </c>
      <c r="B287" t="s">
        <v>2069</v>
      </c>
    </row>
    <row r="288" spans="1:2" x14ac:dyDescent="0.2">
      <c r="A288" t="s">
        <v>2085</v>
      </c>
      <c r="B288" t="s">
        <v>2069</v>
      </c>
    </row>
    <row r="289" spans="1:2" x14ac:dyDescent="0.2">
      <c r="A289" t="s">
        <v>2086</v>
      </c>
      <c r="B289" t="s">
        <v>2069</v>
      </c>
    </row>
    <row r="290" spans="1:2" x14ac:dyDescent="0.2">
      <c r="A290" t="s">
        <v>2087</v>
      </c>
      <c r="B290" t="s">
        <v>2069</v>
      </c>
    </row>
    <row r="291" spans="1:2" x14ac:dyDescent="0.2">
      <c r="A291" t="s">
        <v>2088</v>
      </c>
      <c r="B291" t="s">
        <v>2069</v>
      </c>
    </row>
    <row r="292" spans="1:2" x14ac:dyDescent="0.2">
      <c r="A292" t="s">
        <v>2089</v>
      </c>
      <c r="B292" t="s">
        <v>2069</v>
      </c>
    </row>
    <row r="293" spans="1:2" x14ac:dyDescent="0.2">
      <c r="A293" t="s">
        <v>392</v>
      </c>
      <c r="B293" t="s">
        <v>2069</v>
      </c>
    </row>
    <row r="294" spans="1:2" x14ac:dyDescent="0.2">
      <c r="A294" t="s">
        <v>384</v>
      </c>
      <c r="B294" t="s">
        <v>2069</v>
      </c>
    </row>
    <row r="295" spans="1:2" x14ac:dyDescent="0.2">
      <c r="A295" t="s">
        <v>382</v>
      </c>
      <c r="B295" t="s">
        <v>2069</v>
      </c>
    </row>
    <row r="296" spans="1:2" x14ac:dyDescent="0.2">
      <c r="A296" t="s">
        <v>205</v>
      </c>
      <c r="B296" t="s">
        <v>2069</v>
      </c>
    </row>
    <row r="297" spans="1:2" x14ac:dyDescent="0.2">
      <c r="A297" t="s">
        <v>2090</v>
      </c>
      <c r="B297" t="s">
        <v>2069</v>
      </c>
    </row>
    <row r="298" spans="1:2" x14ac:dyDescent="0.2">
      <c r="A298" t="s">
        <v>2091</v>
      </c>
      <c r="B298" t="s">
        <v>2069</v>
      </c>
    </row>
    <row r="299" spans="1:2" x14ac:dyDescent="0.2">
      <c r="A299" t="s">
        <v>2092</v>
      </c>
      <c r="B299" t="s">
        <v>2069</v>
      </c>
    </row>
    <row r="300" spans="1:2" x14ac:dyDescent="0.2">
      <c r="A300" t="s">
        <v>203</v>
      </c>
      <c r="B300" t="s">
        <v>2069</v>
      </c>
    </row>
    <row r="301" spans="1:2" x14ac:dyDescent="0.2">
      <c r="A301" t="s">
        <v>81</v>
      </c>
      <c r="B301" t="s">
        <v>2069</v>
      </c>
    </row>
    <row r="302" spans="1:2" x14ac:dyDescent="0.2">
      <c r="A302" t="s">
        <v>201</v>
      </c>
      <c r="B302" t="s">
        <v>2069</v>
      </c>
    </row>
    <row r="303" spans="1:2" x14ac:dyDescent="0.2">
      <c r="A303" t="s">
        <v>57</v>
      </c>
      <c r="B303" t="s">
        <v>2069</v>
      </c>
    </row>
    <row r="304" spans="1:2" x14ac:dyDescent="0.2">
      <c r="A304" t="s">
        <v>30</v>
      </c>
      <c r="B304" t="s">
        <v>2069</v>
      </c>
    </row>
    <row r="305" spans="1:2" x14ac:dyDescent="0.2">
      <c r="A305" t="s">
        <v>2093</v>
      </c>
      <c r="B305" t="s">
        <v>2069</v>
      </c>
    </row>
    <row r="306" spans="1:2" x14ac:dyDescent="0.2">
      <c r="A306" t="s">
        <v>1297</v>
      </c>
      <c r="B306" t="s">
        <v>2069</v>
      </c>
    </row>
    <row r="307" spans="1:2" x14ac:dyDescent="0.2">
      <c r="A307" t="s">
        <v>1288</v>
      </c>
      <c r="B307" t="s">
        <v>2069</v>
      </c>
    </row>
    <row r="308" spans="1:2" x14ac:dyDescent="0.2">
      <c r="A308" t="s">
        <v>69</v>
      </c>
      <c r="B308" t="s">
        <v>2069</v>
      </c>
    </row>
    <row r="309" spans="1:2" x14ac:dyDescent="0.2">
      <c r="A309" t="s">
        <v>1277</v>
      </c>
      <c r="B309" t="s">
        <v>2069</v>
      </c>
    </row>
    <row r="310" spans="1:2" x14ac:dyDescent="0.2">
      <c r="A310" t="s">
        <v>1498</v>
      </c>
      <c r="B310" t="s">
        <v>2069</v>
      </c>
    </row>
    <row r="311" spans="1:2" x14ac:dyDescent="0.2">
      <c r="A311" t="s">
        <v>1391</v>
      </c>
      <c r="B311" t="s">
        <v>2069</v>
      </c>
    </row>
    <row r="312" spans="1:2" x14ac:dyDescent="0.2">
      <c r="A312" t="s">
        <v>1495</v>
      </c>
      <c r="B312" t="s">
        <v>2069</v>
      </c>
    </row>
    <row r="313" spans="1:2" x14ac:dyDescent="0.2">
      <c r="A313" t="s">
        <v>1492</v>
      </c>
      <c r="B313" t="s">
        <v>2069</v>
      </c>
    </row>
    <row r="314" spans="1:2" x14ac:dyDescent="0.2">
      <c r="A314" t="s">
        <v>1469</v>
      </c>
      <c r="B314" t="s">
        <v>2069</v>
      </c>
    </row>
    <row r="315" spans="1:2" x14ac:dyDescent="0.2">
      <c r="A315" t="s">
        <v>763</v>
      </c>
      <c r="B315" t="s">
        <v>2069</v>
      </c>
    </row>
    <row r="316" spans="1:2" x14ac:dyDescent="0.2">
      <c r="A316" t="s">
        <v>1226</v>
      </c>
      <c r="B316" t="s">
        <v>2069</v>
      </c>
    </row>
    <row r="317" spans="1:2" x14ac:dyDescent="0.2">
      <c r="A317" t="s">
        <v>1047</v>
      </c>
      <c r="B317" t="s">
        <v>2069</v>
      </c>
    </row>
    <row r="318" spans="1:2" x14ac:dyDescent="0.2">
      <c r="A318" t="s">
        <v>23</v>
      </c>
      <c r="B318" t="s">
        <v>2069</v>
      </c>
    </row>
    <row r="319" spans="1:2" x14ac:dyDescent="0.2">
      <c r="A319" t="s">
        <v>26</v>
      </c>
      <c r="B319" t="s">
        <v>2069</v>
      </c>
    </row>
    <row r="320" spans="1:2" x14ac:dyDescent="0.2">
      <c r="A320" t="s">
        <v>380</v>
      </c>
      <c r="B320" t="s">
        <v>2069</v>
      </c>
    </row>
    <row r="321" spans="1:2" x14ac:dyDescent="0.2">
      <c r="A321" t="s">
        <v>2094</v>
      </c>
      <c r="B321" t="s">
        <v>2069</v>
      </c>
    </row>
    <row r="322" spans="1:2" x14ac:dyDescent="0.2">
      <c r="A322" t="s">
        <v>2095</v>
      </c>
      <c r="B322" t="s">
        <v>2069</v>
      </c>
    </row>
    <row r="323" spans="1:2" x14ac:dyDescent="0.2">
      <c r="A323" t="s">
        <v>747</v>
      </c>
      <c r="B323" t="s">
        <v>2069</v>
      </c>
    </row>
    <row r="324" spans="1:2" x14ac:dyDescent="0.2">
      <c r="A324" t="s">
        <v>1533</v>
      </c>
      <c r="B324" t="s">
        <v>2069</v>
      </c>
    </row>
    <row r="325" spans="1:2" x14ac:dyDescent="0.2">
      <c r="A325" t="s">
        <v>1476</v>
      </c>
      <c r="B325" t="s">
        <v>2069</v>
      </c>
    </row>
    <row r="326" spans="1:2" x14ac:dyDescent="0.2">
      <c r="A326" t="s">
        <v>1555</v>
      </c>
      <c r="B326" t="s">
        <v>2069</v>
      </c>
    </row>
    <row r="327" spans="1:2" x14ac:dyDescent="0.2">
      <c r="A327" t="s">
        <v>744</v>
      </c>
      <c r="B327" t="s">
        <v>2069</v>
      </c>
    </row>
    <row r="328" spans="1:2" x14ac:dyDescent="0.2">
      <c r="A328" t="s">
        <v>1501</v>
      </c>
      <c r="B328" t="s">
        <v>2069</v>
      </c>
    </row>
    <row r="329" spans="1:2" x14ac:dyDescent="0.2">
      <c r="A329" t="s">
        <v>741</v>
      </c>
      <c r="B329" t="s">
        <v>2069</v>
      </c>
    </row>
    <row r="330" spans="1:2" x14ac:dyDescent="0.2">
      <c r="A330" t="s">
        <v>703</v>
      </c>
      <c r="B330" t="s">
        <v>2069</v>
      </c>
    </row>
    <row r="331" spans="1:2" x14ac:dyDescent="0.2">
      <c r="A331" t="s">
        <v>646</v>
      </c>
      <c r="B331" t="s">
        <v>2069</v>
      </c>
    </row>
    <row r="332" spans="1:2" x14ac:dyDescent="0.2">
      <c r="A332" t="s">
        <v>579</v>
      </c>
      <c r="B332" t="s">
        <v>2069</v>
      </c>
    </row>
    <row r="333" spans="1:2" x14ac:dyDescent="0.2">
      <c r="A333" t="s">
        <v>388</v>
      </c>
      <c r="B333" t="s">
        <v>2069</v>
      </c>
    </row>
    <row r="334" spans="1:2" x14ac:dyDescent="0.2">
      <c r="A334" t="s">
        <v>1294</v>
      </c>
      <c r="B334" t="s">
        <v>2069</v>
      </c>
    </row>
    <row r="335" spans="1:2" x14ac:dyDescent="0.2">
      <c r="A335" t="s">
        <v>378</v>
      </c>
      <c r="B335" t="s">
        <v>2069</v>
      </c>
    </row>
    <row r="336" spans="1:2" x14ac:dyDescent="0.2">
      <c r="A336" t="s">
        <v>376</v>
      </c>
      <c r="B336" t="s">
        <v>2069</v>
      </c>
    </row>
    <row r="337" spans="1:2" x14ac:dyDescent="0.2">
      <c r="A337" t="s">
        <v>1181</v>
      </c>
      <c r="B337" t="s">
        <v>2069</v>
      </c>
    </row>
    <row r="338" spans="1:2" x14ac:dyDescent="0.2">
      <c r="A338" t="s">
        <v>1178</v>
      </c>
      <c r="B338" t="s">
        <v>2069</v>
      </c>
    </row>
    <row r="339" spans="1:2" x14ac:dyDescent="0.2">
      <c r="A339" t="s">
        <v>1174</v>
      </c>
      <c r="B339" t="s">
        <v>2069</v>
      </c>
    </row>
    <row r="340" spans="1:2" x14ac:dyDescent="0.2">
      <c r="A340" t="s">
        <v>609</v>
      </c>
      <c r="B340" t="s">
        <v>2069</v>
      </c>
    </row>
    <row r="341" spans="1:2" x14ac:dyDescent="0.2">
      <c r="A341" t="s">
        <v>90</v>
      </c>
      <c r="B341" t="s">
        <v>2069</v>
      </c>
    </row>
    <row r="342" spans="1:2" x14ac:dyDescent="0.2">
      <c r="A342" t="s">
        <v>512</v>
      </c>
      <c r="B342" t="s">
        <v>2069</v>
      </c>
    </row>
    <row r="343" spans="1:2" x14ac:dyDescent="0.2">
      <c r="A343" t="s">
        <v>1229</v>
      </c>
      <c r="B343" t="s">
        <v>2069</v>
      </c>
    </row>
    <row r="344" spans="1:2" x14ac:dyDescent="0.2">
      <c r="A344" t="s">
        <v>585</v>
      </c>
      <c r="B344" t="s">
        <v>2069</v>
      </c>
    </row>
    <row r="345" spans="1:2" x14ac:dyDescent="0.2">
      <c r="A345" t="s">
        <v>598</v>
      </c>
      <c r="B345" t="s">
        <v>2069</v>
      </c>
    </row>
    <row r="346" spans="1:2" x14ac:dyDescent="0.2">
      <c r="A346" t="s">
        <v>582</v>
      </c>
      <c r="B346" t="s">
        <v>2069</v>
      </c>
    </row>
    <row r="347" spans="1:2" x14ac:dyDescent="0.2">
      <c r="A347" t="s">
        <v>601</v>
      </c>
      <c r="B347" t="s">
        <v>2069</v>
      </c>
    </row>
    <row r="348" spans="1:2" x14ac:dyDescent="0.2">
      <c r="A348" t="s">
        <v>1482</v>
      </c>
      <c r="B348" t="s">
        <v>2069</v>
      </c>
    </row>
    <row r="349" spans="1:2" x14ac:dyDescent="0.2">
      <c r="A349" t="s">
        <v>612</v>
      </c>
      <c r="B349" t="s">
        <v>2069</v>
      </c>
    </row>
    <row r="350" spans="1:2" x14ac:dyDescent="0.2">
      <c r="A350" t="s">
        <v>506</v>
      </c>
      <c r="B350" t="s">
        <v>2069</v>
      </c>
    </row>
    <row r="351" spans="1:2" x14ac:dyDescent="0.2">
      <c r="A351" t="s">
        <v>1527</v>
      </c>
      <c r="B351" t="s">
        <v>2069</v>
      </c>
    </row>
    <row r="352" spans="1:2" x14ac:dyDescent="0.2">
      <c r="A352" t="s">
        <v>1303</v>
      </c>
      <c r="B352" t="s">
        <v>2069</v>
      </c>
    </row>
    <row r="353" spans="1:2" x14ac:dyDescent="0.2">
      <c r="A353" t="s">
        <v>45</v>
      </c>
      <c r="B353" t="s">
        <v>2069</v>
      </c>
    </row>
    <row r="354" spans="1:2" x14ac:dyDescent="0.2">
      <c r="A354" t="s">
        <v>941</v>
      </c>
      <c r="B354" t="s">
        <v>2069</v>
      </c>
    </row>
    <row r="355" spans="1:2" x14ac:dyDescent="0.2">
      <c r="A355" t="s">
        <v>386</v>
      </c>
      <c r="B355" t="s">
        <v>2069</v>
      </c>
    </row>
    <row r="356" spans="1:2" x14ac:dyDescent="0.2">
      <c r="A356" t="s">
        <v>446</v>
      </c>
      <c r="B356" t="s">
        <v>2069</v>
      </c>
    </row>
    <row r="357" spans="1:2" x14ac:dyDescent="0.2">
      <c r="A357" t="s">
        <v>1197</v>
      </c>
      <c r="B357" t="s">
        <v>2069</v>
      </c>
    </row>
    <row r="358" spans="1:2" x14ac:dyDescent="0.2">
      <c r="A358" t="s">
        <v>678</v>
      </c>
      <c r="B358" t="s">
        <v>2069</v>
      </c>
    </row>
    <row r="359" spans="1:2" x14ac:dyDescent="0.2">
      <c r="A359" t="s">
        <v>900</v>
      </c>
      <c r="B359" t="s">
        <v>2069</v>
      </c>
    </row>
    <row r="360" spans="1:2" x14ac:dyDescent="0.2">
      <c r="A360" t="s">
        <v>775</v>
      </c>
      <c r="B360" t="s">
        <v>2069</v>
      </c>
    </row>
    <row r="361" spans="1:2" x14ac:dyDescent="0.2">
      <c r="A361" t="s">
        <v>772</v>
      </c>
      <c r="B361" t="s">
        <v>2069</v>
      </c>
    </row>
    <row r="362" spans="1:2" x14ac:dyDescent="0.2">
      <c r="A362" t="s">
        <v>2096</v>
      </c>
      <c r="B362" t="s">
        <v>2069</v>
      </c>
    </row>
    <row r="363" spans="1:2" x14ac:dyDescent="0.2">
      <c r="A363" t="s">
        <v>760</v>
      </c>
      <c r="B363" t="s">
        <v>2069</v>
      </c>
    </row>
    <row r="364" spans="1:2" x14ac:dyDescent="0.2">
      <c r="A364" t="s">
        <v>757</v>
      </c>
      <c r="B364" t="s">
        <v>2069</v>
      </c>
    </row>
    <row r="365" spans="1:2" x14ac:dyDescent="0.2">
      <c r="A365" t="s">
        <v>754</v>
      </c>
      <c r="B365" t="s">
        <v>2069</v>
      </c>
    </row>
    <row r="366" spans="1:2" x14ac:dyDescent="0.2">
      <c r="A366" t="s">
        <v>808</v>
      </c>
      <c r="B366" t="s">
        <v>2069</v>
      </c>
    </row>
    <row r="367" spans="1:2" x14ac:dyDescent="0.2">
      <c r="A367" t="s">
        <v>2097</v>
      </c>
      <c r="B367" t="s">
        <v>2069</v>
      </c>
    </row>
    <row r="368" spans="1:2" x14ac:dyDescent="0.2">
      <c r="A368" t="s">
        <v>1394</v>
      </c>
      <c r="B368" t="s">
        <v>2069</v>
      </c>
    </row>
    <row r="369" spans="1:2" x14ac:dyDescent="0.2">
      <c r="A369" t="s">
        <v>2098</v>
      </c>
      <c r="B369" t="s">
        <v>2069</v>
      </c>
    </row>
    <row r="370" spans="1:2" x14ac:dyDescent="0.2">
      <c r="A370" t="s">
        <v>1388</v>
      </c>
      <c r="B370" t="s">
        <v>2069</v>
      </c>
    </row>
    <row r="371" spans="1:2" x14ac:dyDescent="0.2">
      <c r="A371" t="s">
        <v>2099</v>
      </c>
      <c r="B371" t="s">
        <v>2069</v>
      </c>
    </row>
    <row r="372" spans="1:2" x14ac:dyDescent="0.2">
      <c r="A372" t="s">
        <v>1307</v>
      </c>
      <c r="B372" t="s">
        <v>2069</v>
      </c>
    </row>
    <row r="373" spans="1:2" x14ac:dyDescent="0.2">
      <c r="A373" t="s">
        <v>54</v>
      </c>
      <c r="B373" t="s">
        <v>2069</v>
      </c>
    </row>
    <row r="374" spans="1:2" x14ac:dyDescent="0.2">
      <c r="A374" t="s">
        <v>1631</v>
      </c>
      <c r="B374" t="s">
        <v>2069</v>
      </c>
    </row>
    <row r="375" spans="1:2" x14ac:dyDescent="0.2">
      <c r="A375" t="s">
        <v>67</v>
      </c>
      <c r="B375" t="s">
        <v>2069</v>
      </c>
    </row>
    <row r="376" spans="1:2" x14ac:dyDescent="0.2">
      <c r="A376" t="s">
        <v>1016</v>
      </c>
      <c r="B376" t="s">
        <v>2069</v>
      </c>
    </row>
    <row r="377" spans="1:2" x14ac:dyDescent="0.2">
      <c r="A377" t="s">
        <v>478</v>
      </c>
      <c r="B377" t="s">
        <v>2069</v>
      </c>
    </row>
    <row r="378" spans="1:2" x14ac:dyDescent="0.2">
      <c r="A378" t="s">
        <v>1244</v>
      </c>
      <c r="B378" t="s">
        <v>2069</v>
      </c>
    </row>
    <row r="379" spans="1:2" x14ac:dyDescent="0.2">
      <c r="A379" t="s">
        <v>1548</v>
      </c>
      <c r="B379" t="s">
        <v>2069</v>
      </c>
    </row>
    <row r="380" spans="1:2" x14ac:dyDescent="0.2">
      <c r="A380" t="s">
        <v>1210</v>
      </c>
      <c r="B380" t="s">
        <v>2069</v>
      </c>
    </row>
    <row r="381" spans="1:2" x14ac:dyDescent="0.2">
      <c r="A381" t="s">
        <v>267</v>
      </c>
      <c r="B381" t="s">
        <v>2069</v>
      </c>
    </row>
    <row r="382" spans="1:2" x14ac:dyDescent="0.2">
      <c r="A382" t="s">
        <v>738</v>
      </c>
      <c r="B382" t="s">
        <v>2069</v>
      </c>
    </row>
    <row r="383" spans="1:2" x14ac:dyDescent="0.2">
      <c r="A383" t="s">
        <v>881</v>
      </c>
      <c r="B383" t="s">
        <v>2069</v>
      </c>
    </row>
    <row r="384" spans="1:2" x14ac:dyDescent="0.2">
      <c r="A384" t="s">
        <v>733</v>
      </c>
      <c r="B384" t="s">
        <v>2069</v>
      </c>
    </row>
    <row r="385" spans="1:2" x14ac:dyDescent="0.2">
      <c r="A385" t="s">
        <v>796</v>
      </c>
      <c r="B385" t="s">
        <v>2069</v>
      </c>
    </row>
    <row r="386" spans="1:2" x14ac:dyDescent="0.2">
      <c r="A386" t="s">
        <v>799</v>
      </c>
      <c r="B386" t="s">
        <v>2069</v>
      </c>
    </row>
    <row r="387" spans="1:2" x14ac:dyDescent="0.2">
      <c r="A387" t="s">
        <v>1543</v>
      </c>
      <c r="B387" t="s">
        <v>2069</v>
      </c>
    </row>
    <row r="388" spans="1:2" x14ac:dyDescent="0.2">
      <c r="A388" t="s">
        <v>802</v>
      </c>
      <c r="B388" t="s">
        <v>2069</v>
      </c>
    </row>
    <row r="389" spans="1:2" x14ac:dyDescent="0.2">
      <c r="A389" t="s">
        <v>503</v>
      </c>
      <c r="B389" t="s">
        <v>2069</v>
      </c>
    </row>
    <row r="390" spans="1:2" x14ac:dyDescent="0.2">
      <c r="A390" t="s">
        <v>1604</v>
      </c>
      <c r="B390" t="s">
        <v>2069</v>
      </c>
    </row>
    <row r="391" spans="1:2" x14ac:dyDescent="0.2">
      <c r="A391" t="s">
        <v>497</v>
      </c>
      <c r="B391" t="s">
        <v>2069</v>
      </c>
    </row>
    <row r="392" spans="1:2" x14ac:dyDescent="0.2">
      <c r="A392" t="s">
        <v>814</v>
      </c>
      <c r="B392" t="s">
        <v>2069</v>
      </c>
    </row>
    <row r="393" spans="1:2" x14ac:dyDescent="0.2">
      <c r="A393" t="s">
        <v>490</v>
      </c>
      <c r="B393" t="s">
        <v>2069</v>
      </c>
    </row>
    <row r="394" spans="1:2" x14ac:dyDescent="0.2">
      <c r="A394" t="s">
        <v>480</v>
      </c>
      <c r="B394" t="s">
        <v>2069</v>
      </c>
    </row>
    <row r="395" spans="1:2" x14ac:dyDescent="0.2">
      <c r="A395" t="s">
        <v>306</v>
      </c>
      <c r="B395" t="s">
        <v>2069</v>
      </c>
    </row>
    <row r="396" spans="1:2" x14ac:dyDescent="0.2">
      <c r="A396" t="s">
        <v>513</v>
      </c>
      <c r="B396" t="s">
        <v>2069</v>
      </c>
    </row>
    <row r="397" spans="1:2" x14ac:dyDescent="0.2">
      <c r="A397" t="s">
        <v>751</v>
      </c>
      <c r="B397" t="s">
        <v>2069</v>
      </c>
    </row>
    <row r="398" spans="1:2" x14ac:dyDescent="0.2">
      <c r="A398" t="s">
        <v>2100</v>
      </c>
      <c r="B398" t="s">
        <v>2069</v>
      </c>
    </row>
    <row r="399" spans="1:2" x14ac:dyDescent="0.2">
      <c r="A399" t="s">
        <v>2101</v>
      </c>
      <c r="B399" t="s">
        <v>2069</v>
      </c>
    </row>
    <row r="400" spans="1:2" x14ac:dyDescent="0.2">
      <c r="A400" t="s">
        <v>2102</v>
      </c>
      <c r="B400" t="s">
        <v>2069</v>
      </c>
    </row>
    <row r="401" spans="1:2" x14ac:dyDescent="0.2">
      <c r="A401" t="s">
        <v>1368</v>
      </c>
      <c r="B401" t="s">
        <v>2069</v>
      </c>
    </row>
    <row r="402" spans="1:2" x14ac:dyDescent="0.2">
      <c r="A402" t="s">
        <v>2103</v>
      </c>
      <c r="B402" t="s">
        <v>2069</v>
      </c>
    </row>
    <row r="403" spans="1:2" x14ac:dyDescent="0.2">
      <c r="A403" t="s">
        <v>1297</v>
      </c>
      <c r="B403" t="s">
        <v>2069</v>
      </c>
    </row>
    <row r="404" spans="1:2" x14ac:dyDescent="0.2">
      <c r="A404" t="s">
        <v>2104</v>
      </c>
      <c r="B404" t="s">
        <v>2069</v>
      </c>
    </row>
    <row r="405" spans="1:2" x14ac:dyDescent="0.2">
      <c r="A405" t="s">
        <v>2105</v>
      </c>
      <c r="B405" t="s">
        <v>2069</v>
      </c>
    </row>
    <row r="406" spans="1:2" x14ac:dyDescent="0.2">
      <c r="A406" t="s">
        <v>1743</v>
      </c>
      <c r="B406" t="s">
        <v>2069</v>
      </c>
    </row>
    <row r="407" spans="1:2" x14ac:dyDescent="0.2">
      <c r="A407" t="s">
        <v>2106</v>
      </c>
      <c r="B407" t="s">
        <v>2069</v>
      </c>
    </row>
    <row r="408" spans="1:2" x14ac:dyDescent="0.2">
      <c r="A408" t="s">
        <v>1010</v>
      </c>
      <c r="B408" t="s">
        <v>2069</v>
      </c>
    </row>
    <row r="409" spans="1:2" x14ac:dyDescent="0.2">
      <c r="A409" t="s">
        <v>2107</v>
      </c>
      <c r="B409" t="s">
        <v>2069</v>
      </c>
    </row>
    <row r="410" spans="1:2" x14ac:dyDescent="0.2">
      <c r="A410" t="s">
        <v>1950</v>
      </c>
      <c r="B410" t="s">
        <v>2069</v>
      </c>
    </row>
    <row r="411" spans="1:2" x14ac:dyDescent="0.2">
      <c r="A411" t="s">
        <v>2108</v>
      </c>
      <c r="B411" t="s">
        <v>2069</v>
      </c>
    </row>
    <row r="412" spans="1:2" x14ac:dyDescent="0.2">
      <c r="A412" t="s">
        <v>1391</v>
      </c>
      <c r="B412" t="s">
        <v>2069</v>
      </c>
    </row>
    <row r="413" spans="1:2" x14ac:dyDescent="0.2">
      <c r="A413" t="s">
        <v>1187</v>
      </c>
      <c r="B413" t="s">
        <v>2069</v>
      </c>
    </row>
    <row r="414" spans="1:2" x14ac:dyDescent="0.2">
      <c r="A414" t="s">
        <v>2109</v>
      </c>
      <c r="B414" t="s">
        <v>2069</v>
      </c>
    </row>
    <row r="415" spans="1:2" x14ac:dyDescent="0.2">
      <c r="A415" t="s">
        <v>1194</v>
      </c>
      <c r="B415" t="s">
        <v>2069</v>
      </c>
    </row>
    <row r="416" spans="1:2" x14ac:dyDescent="0.2">
      <c r="A416" t="s">
        <v>2110</v>
      </c>
      <c r="B416" t="s">
        <v>2069</v>
      </c>
    </row>
    <row r="417" spans="1:2" x14ac:dyDescent="0.2">
      <c r="A417" t="s">
        <v>1956</v>
      </c>
      <c r="B417" t="s">
        <v>2069</v>
      </c>
    </row>
    <row r="418" spans="1:2" x14ac:dyDescent="0.2">
      <c r="A418" t="s">
        <v>1745</v>
      </c>
      <c r="B418" t="s">
        <v>2069</v>
      </c>
    </row>
    <row r="419" spans="1:2" x14ac:dyDescent="0.2">
      <c r="A419" t="s">
        <v>2111</v>
      </c>
      <c r="B419" t="s">
        <v>2069</v>
      </c>
    </row>
    <row r="420" spans="1:2" x14ac:dyDescent="0.2">
      <c r="A420" t="s">
        <v>1210</v>
      </c>
      <c r="B420" t="s">
        <v>2069</v>
      </c>
    </row>
    <row r="421" spans="1:2" x14ac:dyDescent="0.2">
      <c r="A421" t="s">
        <v>2112</v>
      </c>
      <c r="B421" t="s">
        <v>2069</v>
      </c>
    </row>
    <row r="422" spans="1:2" x14ac:dyDescent="0.2">
      <c r="A422" t="s">
        <v>2113</v>
      </c>
      <c r="B422" t="s">
        <v>2069</v>
      </c>
    </row>
    <row r="423" spans="1:2" x14ac:dyDescent="0.2">
      <c r="A423" t="s">
        <v>1959</v>
      </c>
      <c r="B423" t="s">
        <v>2069</v>
      </c>
    </row>
    <row r="424" spans="1:2" x14ac:dyDescent="0.2">
      <c r="A424" t="s">
        <v>2114</v>
      </c>
      <c r="B424" t="s">
        <v>2069</v>
      </c>
    </row>
    <row r="425" spans="1:2" x14ac:dyDescent="0.2">
      <c r="A425" t="s">
        <v>2115</v>
      </c>
      <c r="B425" t="s">
        <v>2069</v>
      </c>
    </row>
    <row r="426" spans="1:2" x14ac:dyDescent="0.2">
      <c r="A426" t="s">
        <v>2116</v>
      </c>
      <c r="B426" t="s">
        <v>2069</v>
      </c>
    </row>
    <row r="427" spans="1:2" x14ac:dyDescent="0.2">
      <c r="A427" t="s">
        <v>2117</v>
      </c>
      <c r="B427" t="s">
        <v>2069</v>
      </c>
    </row>
    <row r="428" spans="1:2" x14ac:dyDescent="0.2">
      <c r="A428" t="s">
        <v>2096</v>
      </c>
      <c r="B428" t="s">
        <v>2069</v>
      </c>
    </row>
    <row r="429" spans="1:2" x14ac:dyDescent="0.2">
      <c r="A429" t="s">
        <v>149</v>
      </c>
      <c r="B429" t="s">
        <v>2069</v>
      </c>
    </row>
    <row r="430" spans="1:2" x14ac:dyDescent="0.2">
      <c r="A430" t="s">
        <v>1802</v>
      </c>
      <c r="B430" t="s">
        <v>2069</v>
      </c>
    </row>
    <row r="431" spans="1:2" x14ac:dyDescent="0.2">
      <c r="A431" t="s">
        <v>2118</v>
      </c>
      <c r="B431" t="s">
        <v>2069</v>
      </c>
    </row>
    <row r="432" spans="1:2" x14ac:dyDescent="0.2">
      <c r="A432" t="s">
        <v>2119</v>
      </c>
      <c r="B432" t="s">
        <v>2069</v>
      </c>
    </row>
    <row r="433" spans="1:2" x14ac:dyDescent="0.2">
      <c r="A433" t="s">
        <v>2120</v>
      </c>
      <c r="B433" t="s">
        <v>2069</v>
      </c>
    </row>
    <row r="434" spans="1:2" x14ac:dyDescent="0.2">
      <c r="A434" t="s">
        <v>1174</v>
      </c>
      <c r="B434" t="s">
        <v>2069</v>
      </c>
    </row>
    <row r="435" spans="1:2" x14ac:dyDescent="0.2">
      <c r="A435" t="s">
        <v>1818</v>
      </c>
      <c r="B435" t="s">
        <v>2069</v>
      </c>
    </row>
    <row r="436" spans="1:2" x14ac:dyDescent="0.2">
      <c r="A436" t="s">
        <v>961</v>
      </c>
      <c r="B436" t="s">
        <v>2069</v>
      </c>
    </row>
    <row r="437" spans="1:2" x14ac:dyDescent="0.2">
      <c r="A437" t="s">
        <v>2121</v>
      </c>
      <c r="B437" t="s">
        <v>2069</v>
      </c>
    </row>
    <row r="438" spans="1:2" x14ac:dyDescent="0.2">
      <c r="A438" t="s">
        <v>2122</v>
      </c>
      <c r="B438" t="s">
        <v>2069</v>
      </c>
    </row>
    <row r="439" spans="1:2" x14ac:dyDescent="0.2">
      <c r="A439" t="s">
        <v>2123</v>
      </c>
      <c r="B439" t="s">
        <v>2069</v>
      </c>
    </row>
    <row r="440" spans="1:2" x14ac:dyDescent="0.2">
      <c r="A440" t="s">
        <v>2124</v>
      </c>
      <c r="B440" t="s">
        <v>2069</v>
      </c>
    </row>
    <row r="441" spans="1:2" x14ac:dyDescent="0.2">
      <c r="A441" t="s">
        <v>2125</v>
      </c>
      <c r="B441" t="s">
        <v>2069</v>
      </c>
    </row>
    <row r="442" spans="1:2" x14ac:dyDescent="0.2">
      <c r="A442" t="s">
        <v>1025</v>
      </c>
      <c r="B442" t="s">
        <v>2069</v>
      </c>
    </row>
    <row r="443" spans="1:2" x14ac:dyDescent="0.2">
      <c r="A443" t="s">
        <v>1277</v>
      </c>
      <c r="B443" t="s">
        <v>2069</v>
      </c>
    </row>
    <row r="444" spans="1:2" x14ac:dyDescent="0.2">
      <c r="A444" t="s">
        <v>926</v>
      </c>
      <c r="B444" t="s">
        <v>2069</v>
      </c>
    </row>
    <row r="445" spans="1:2" x14ac:dyDescent="0.2">
      <c r="A445" t="s">
        <v>1307</v>
      </c>
      <c r="B445" t="s">
        <v>2069</v>
      </c>
    </row>
    <row r="446" spans="1:2" x14ac:dyDescent="0.2">
      <c r="A446" t="s">
        <v>2126</v>
      </c>
      <c r="B446" t="s">
        <v>2069</v>
      </c>
    </row>
    <row r="447" spans="1:2" x14ac:dyDescent="0.2">
      <c r="A447" t="s">
        <v>2127</v>
      </c>
      <c r="B447" t="s">
        <v>2069</v>
      </c>
    </row>
    <row r="448" spans="1:2" x14ac:dyDescent="0.2">
      <c r="A448" t="s">
        <v>1403</v>
      </c>
      <c r="B448" t="s">
        <v>2069</v>
      </c>
    </row>
    <row r="449" spans="1:2" x14ac:dyDescent="0.2">
      <c r="A449" t="s">
        <v>2128</v>
      </c>
      <c r="B449" t="s">
        <v>2069</v>
      </c>
    </row>
    <row r="450" spans="1:2" x14ac:dyDescent="0.2">
      <c r="A450" t="s">
        <v>2129</v>
      </c>
      <c r="B450" t="s">
        <v>2069</v>
      </c>
    </row>
    <row r="451" spans="1:2" x14ac:dyDescent="0.2">
      <c r="A451" t="s">
        <v>2130</v>
      </c>
      <c r="B451" t="s">
        <v>2069</v>
      </c>
    </row>
    <row r="452" spans="1:2" x14ac:dyDescent="0.2">
      <c r="A452" t="s">
        <v>2131</v>
      </c>
      <c r="B452" t="s">
        <v>2069</v>
      </c>
    </row>
    <row r="453" spans="1:2" x14ac:dyDescent="0.2">
      <c r="A453" t="s">
        <v>747</v>
      </c>
      <c r="B453" t="s">
        <v>2069</v>
      </c>
    </row>
    <row r="454" spans="1:2" x14ac:dyDescent="0.2">
      <c r="A454" t="s">
        <v>1961</v>
      </c>
      <c r="B454" t="s">
        <v>2069</v>
      </c>
    </row>
    <row r="455" spans="1:2" x14ac:dyDescent="0.2">
      <c r="A455" t="s">
        <v>1284</v>
      </c>
      <c r="B455" t="s">
        <v>2069</v>
      </c>
    </row>
    <row r="456" spans="1:2" x14ac:dyDescent="0.2">
      <c r="A456" t="s">
        <v>1805</v>
      </c>
      <c r="B456" t="s">
        <v>2069</v>
      </c>
    </row>
    <row r="457" spans="1:2" x14ac:dyDescent="0.2">
      <c r="A457" t="s">
        <v>1776</v>
      </c>
      <c r="B457" t="s">
        <v>2069</v>
      </c>
    </row>
    <row r="458" spans="1:2" x14ac:dyDescent="0.2">
      <c r="A458" t="s">
        <v>2132</v>
      </c>
      <c r="B458" t="s">
        <v>2069</v>
      </c>
    </row>
    <row r="459" spans="1:2" x14ac:dyDescent="0.2">
      <c r="A459" t="s">
        <v>2133</v>
      </c>
      <c r="B459" t="s">
        <v>2069</v>
      </c>
    </row>
    <row r="460" spans="1:2" x14ac:dyDescent="0.2">
      <c r="A460" t="s">
        <v>1814</v>
      </c>
      <c r="B460" t="s">
        <v>2069</v>
      </c>
    </row>
    <row r="461" spans="1:2" x14ac:dyDescent="0.2">
      <c r="A461" t="s">
        <v>1809</v>
      </c>
      <c r="B461" t="s">
        <v>2069</v>
      </c>
    </row>
    <row r="462" spans="1:2" x14ac:dyDescent="0.2">
      <c r="A462" t="s">
        <v>1791</v>
      </c>
      <c r="B462" t="s">
        <v>2069</v>
      </c>
    </row>
    <row r="463" spans="1:2" x14ac:dyDescent="0.2">
      <c r="A463" t="s">
        <v>1788</v>
      </c>
      <c r="B463" t="s">
        <v>2069</v>
      </c>
    </row>
    <row r="464" spans="1:2" x14ac:dyDescent="0.2">
      <c r="A464" t="s">
        <v>1770</v>
      </c>
      <c r="B464" t="s">
        <v>2069</v>
      </c>
    </row>
    <row r="465" spans="1:2" x14ac:dyDescent="0.2">
      <c r="A465" t="s">
        <v>1773</v>
      </c>
      <c r="B465" t="s">
        <v>2069</v>
      </c>
    </row>
    <row r="466" spans="1:2" x14ac:dyDescent="0.2">
      <c r="A466" t="s">
        <v>1916</v>
      </c>
      <c r="B466" t="s">
        <v>2069</v>
      </c>
    </row>
    <row r="467" spans="1:2" x14ac:dyDescent="0.2">
      <c r="A467" t="s">
        <v>1922</v>
      </c>
      <c r="B467" t="s">
        <v>2069</v>
      </c>
    </row>
    <row r="468" spans="1:2" x14ac:dyDescent="0.2">
      <c r="A468" t="s">
        <v>1016</v>
      </c>
      <c r="B468" t="s">
        <v>2069</v>
      </c>
    </row>
    <row r="469" spans="1:2" x14ac:dyDescent="0.2">
      <c r="A469" t="s">
        <v>1688</v>
      </c>
      <c r="B469" t="s">
        <v>2069</v>
      </c>
    </row>
    <row r="470" spans="1:2" x14ac:dyDescent="0.2">
      <c r="A470" t="s">
        <v>380</v>
      </c>
      <c r="B470" t="s">
        <v>2069</v>
      </c>
    </row>
    <row r="471" spans="1:2" x14ac:dyDescent="0.2">
      <c r="A471" t="s">
        <v>1197</v>
      </c>
      <c r="B471" t="s">
        <v>2069</v>
      </c>
    </row>
    <row r="472" spans="1:2" x14ac:dyDescent="0.2">
      <c r="A472" t="s">
        <v>1764</v>
      </c>
      <c r="B472" t="s">
        <v>2069</v>
      </c>
    </row>
    <row r="473" spans="1:2" x14ac:dyDescent="0.2">
      <c r="A473" t="s">
        <v>2134</v>
      </c>
      <c r="B473" t="s">
        <v>2069</v>
      </c>
    </row>
    <row r="474" spans="1:2" x14ac:dyDescent="0.2">
      <c r="A474" t="s">
        <v>2135</v>
      </c>
      <c r="B474" t="s">
        <v>2069</v>
      </c>
    </row>
    <row r="475" spans="1:2" x14ac:dyDescent="0.2">
      <c r="A475" t="s">
        <v>893</v>
      </c>
      <c r="B475" t="s">
        <v>2069</v>
      </c>
    </row>
    <row r="476" spans="1:2" x14ac:dyDescent="0.2">
      <c r="A476" t="s">
        <v>2136</v>
      </c>
      <c r="B476" t="s">
        <v>2069</v>
      </c>
    </row>
    <row r="477" spans="1:2" x14ac:dyDescent="0.2">
      <c r="A477" t="s">
        <v>2137</v>
      </c>
      <c r="B477" t="s">
        <v>2069</v>
      </c>
    </row>
    <row r="478" spans="1:2" x14ac:dyDescent="0.2">
      <c r="A478" t="s">
        <v>2138</v>
      </c>
      <c r="B478" t="s">
        <v>2069</v>
      </c>
    </row>
    <row r="479" spans="1:2" x14ac:dyDescent="0.2">
      <c r="A479" t="s">
        <v>2139</v>
      </c>
      <c r="B479" t="s">
        <v>2069</v>
      </c>
    </row>
    <row r="480" spans="1:2" x14ac:dyDescent="0.2">
      <c r="A480" t="s">
        <v>2140</v>
      </c>
      <c r="B480" t="s">
        <v>2069</v>
      </c>
    </row>
    <row r="481" spans="1:2" x14ac:dyDescent="0.2">
      <c r="A481" t="s">
        <v>744</v>
      </c>
      <c r="B481" t="s">
        <v>2069</v>
      </c>
    </row>
    <row r="482" spans="1:2" x14ac:dyDescent="0.2">
      <c r="A482" t="s">
        <v>751</v>
      </c>
      <c r="B482" t="s">
        <v>2069</v>
      </c>
    </row>
    <row r="483" spans="1:2" x14ac:dyDescent="0.2">
      <c r="A483" t="s">
        <v>2141</v>
      </c>
      <c r="B483" t="s">
        <v>2069</v>
      </c>
    </row>
    <row r="484" spans="1:2" x14ac:dyDescent="0.2">
      <c r="A484" t="s">
        <v>741</v>
      </c>
      <c r="B484" t="s">
        <v>2069</v>
      </c>
    </row>
    <row r="485" spans="1:2" x14ac:dyDescent="0.2">
      <c r="A485" t="s">
        <v>1609</v>
      </c>
      <c r="B485" t="s">
        <v>2069</v>
      </c>
    </row>
    <row r="486" spans="1:2" x14ac:dyDescent="0.2">
      <c r="A486" t="s">
        <v>738</v>
      </c>
      <c r="B486" t="s">
        <v>2069</v>
      </c>
    </row>
    <row r="487" spans="1:2" x14ac:dyDescent="0.2">
      <c r="A487" t="s">
        <v>1782</v>
      </c>
      <c r="B487" t="s">
        <v>2069</v>
      </c>
    </row>
    <row r="488" spans="1:2" x14ac:dyDescent="0.2">
      <c r="A488" t="s">
        <v>1882</v>
      </c>
      <c r="B488" t="s">
        <v>2069</v>
      </c>
    </row>
    <row r="489" spans="1:2" x14ac:dyDescent="0.2">
      <c r="A489" t="s">
        <v>388</v>
      </c>
      <c r="B489" t="s">
        <v>2069</v>
      </c>
    </row>
    <row r="490" spans="1:2" x14ac:dyDescent="0.2">
      <c r="A490" t="s">
        <v>1939</v>
      </c>
      <c r="B490" t="s">
        <v>2069</v>
      </c>
    </row>
    <row r="491" spans="1:2" x14ac:dyDescent="0.2">
      <c r="A491" t="s">
        <v>2142</v>
      </c>
      <c r="B491" t="s">
        <v>2069</v>
      </c>
    </row>
    <row r="492" spans="1:2" x14ac:dyDescent="0.2">
      <c r="A492" t="s">
        <v>1129</v>
      </c>
      <c r="B492" t="s">
        <v>2069</v>
      </c>
    </row>
    <row r="493" spans="1:2" x14ac:dyDescent="0.2">
      <c r="A493" t="s">
        <v>1123</v>
      </c>
      <c r="B493" t="s">
        <v>2069</v>
      </c>
    </row>
    <row r="494" spans="1:2" x14ac:dyDescent="0.2">
      <c r="A494" t="s">
        <v>2143</v>
      </c>
      <c r="B494" t="s">
        <v>2069</v>
      </c>
    </row>
    <row r="495" spans="1:2" x14ac:dyDescent="0.2">
      <c r="A495" t="s">
        <v>1116</v>
      </c>
      <c r="B495" t="s">
        <v>2069</v>
      </c>
    </row>
    <row r="496" spans="1:2" x14ac:dyDescent="0.2">
      <c r="A496" t="s">
        <v>1929</v>
      </c>
      <c r="B496" t="s">
        <v>2069</v>
      </c>
    </row>
    <row r="497" spans="1:2" x14ac:dyDescent="0.2">
      <c r="A497" t="s">
        <v>1825</v>
      </c>
      <c r="B497" t="s">
        <v>2069</v>
      </c>
    </row>
    <row r="498" spans="1:2" x14ac:dyDescent="0.2">
      <c r="A498" t="s">
        <v>1785</v>
      </c>
      <c r="B498" t="s">
        <v>2069</v>
      </c>
    </row>
    <row r="499" spans="1:2" x14ac:dyDescent="0.2">
      <c r="A499" t="s">
        <v>1168</v>
      </c>
      <c r="B499" t="s">
        <v>2069</v>
      </c>
    </row>
    <row r="500" spans="1:2" x14ac:dyDescent="0.2">
      <c r="A500" t="s">
        <v>2144</v>
      </c>
      <c r="B500" t="s">
        <v>2069</v>
      </c>
    </row>
    <row r="501" spans="1:2" x14ac:dyDescent="0.2">
      <c r="A501" t="s">
        <v>2145</v>
      </c>
      <c r="B501" t="s">
        <v>2069</v>
      </c>
    </row>
    <row r="502" spans="1:2" x14ac:dyDescent="0.2">
      <c r="A502" t="s">
        <v>1303</v>
      </c>
      <c r="B502" t="s">
        <v>2069</v>
      </c>
    </row>
    <row r="503" spans="1:2" x14ac:dyDescent="0.2">
      <c r="A503" t="s">
        <v>1200</v>
      </c>
      <c r="B503" t="s">
        <v>2069</v>
      </c>
    </row>
    <row r="504" spans="1:2" x14ac:dyDescent="0.2">
      <c r="A504" t="s">
        <v>904</v>
      </c>
      <c r="B504" t="s">
        <v>2069</v>
      </c>
    </row>
    <row r="505" spans="1:2" x14ac:dyDescent="0.2">
      <c r="A505" t="s">
        <v>2146</v>
      </c>
      <c r="B505" t="s">
        <v>2069</v>
      </c>
    </row>
    <row r="506" spans="1:2" x14ac:dyDescent="0.2">
      <c r="A506" t="s">
        <v>1178</v>
      </c>
      <c r="B506" t="s">
        <v>2069</v>
      </c>
    </row>
    <row r="507" spans="1:2" x14ac:dyDescent="0.2">
      <c r="A507" t="s">
        <v>2147</v>
      </c>
      <c r="B507" t="s">
        <v>2069</v>
      </c>
    </row>
    <row r="508" spans="1:2" x14ac:dyDescent="0.2">
      <c r="A508" t="s">
        <v>2148</v>
      </c>
      <c r="B508" t="s">
        <v>2069</v>
      </c>
    </row>
    <row r="509" spans="1:2" x14ac:dyDescent="0.2">
      <c r="A509" t="s">
        <v>2149</v>
      </c>
      <c r="B509" t="s">
        <v>2069</v>
      </c>
    </row>
    <row r="510" spans="1:2" x14ac:dyDescent="0.2">
      <c r="A510" t="s">
        <v>2150</v>
      </c>
      <c r="B510" t="s">
        <v>2069</v>
      </c>
    </row>
    <row r="511" spans="1:2" x14ac:dyDescent="0.2">
      <c r="A511" t="s">
        <v>1614</v>
      </c>
      <c r="B511" t="s">
        <v>2069</v>
      </c>
    </row>
    <row r="512" spans="1:2" x14ac:dyDescent="0.2">
      <c r="A512" t="s">
        <v>2151</v>
      </c>
      <c r="B512" t="s">
        <v>2069</v>
      </c>
    </row>
    <row r="513" spans="1:2" x14ac:dyDescent="0.2">
      <c r="A513" t="s">
        <v>2152</v>
      </c>
      <c r="B513" t="s">
        <v>2069</v>
      </c>
    </row>
    <row r="514" spans="1:2" x14ac:dyDescent="0.2">
      <c r="A514" t="s">
        <v>1415</v>
      </c>
      <c r="B514" t="s">
        <v>2069</v>
      </c>
    </row>
    <row r="515" spans="1:2" x14ac:dyDescent="0.2">
      <c r="A515" t="s">
        <v>2153</v>
      </c>
      <c r="B515" t="s">
        <v>2069</v>
      </c>
    </row>
    <row r="516" spans="1:2" x14ac:dyDescent="0.2">
      <c r="A516" t="s">
        <v>2154</v>
      </c>
      <c r="B516" t="s">
        <v>2069</v>
      </c>
    </row>
    <row r="517" spans="1:2" x14ac:dyDescent="0.2">
      <c r="A517" t="s">
        <v>2155</v>
      </c>
      <c r="B517" t="s">
        <v>2069</v>
      </c>
    </row>
    <row r="518" spans="1:2" x14ac:dyDescent="0.2">
      <c r="A518" t="s">
        <v>2156</v>
      </c>
      <c r="B518" t="s">
        <v>2069</v>
      </c>
    </row>
    <row r="519" spans="1:2" x14ac:dyDescent="0.2">
      <c r="A519" t="s">
        <v>2157</v>
      </c>
      <c r="B519" t="s">
        <v>2069</v>
      </c>
    </row>
    <row r="520" spans="1:2" x14ac:dyDescent="0.2">
      <c r="A520" t="s">
        <v>2158</v>
      </c>
      <c r="B520" t="s">
        <v>2069</v>
      </c>
    </row>
    <row r="521" spans="1:2" x14ac:dyDescent="0.2">
      <c r="A521" t="s">
        <v>2159</v>
      </c>
      <c r="B521" t="s">
        <v>2069</v>
      </c>
    </row>
    <row r="522" spans="1:2" x14ac:dyDescent="0.2">
      <c r="A522" t="s">
        <v>2160</v>
      </c>
      <c r="B522" t="s">
        <v>2069</v>
      </c>
    </row>
    <row r="523" spans="1:2" x14ac:dyDescent="0.2">
      <c r="A523" t="s">
        <v>2161</v>
      </c>
      <c r="B523" t="s">
        <v>2069</v>
      </c>
    </row>
    <row r="524" spans="1:2" x14ac:dyDescent="0.2">
      <c r="A524" t="s">
        <v>2162</v>
      </c>
      <c r="B524" t="s">
        <v>2069</v>
      </c>
    </row>
    <row r="525" spans="1:2" x14ac:dyDescent="0.2">
      <c r="A525" t="s">
        <v>2163</v>
      </c>
      <c r="B525" t="s">
        <v>2069</v>
      </c>
    </row>
    <row r="526" spans="1:2" x14ac:dyDescent="0.2">
      <c r="A526" t="s">
        <v>2164</v>
      </c>
      <c r="B526" t="s">
        <v>2069</v>
      </c>
    </row>
    <row r="527" spans="1:2" x14ac:dyDescent="0.2">
      <c r="A527" t="s">
        <v>2165</v>
      </c>
      <c r="B527" t="s">
        <v>2069</v>
      </c>
    </row>
    <row r="528" spans="1:2" x14ac:dyDescent="0.2">
      <c r="A528" t="s">
        <v>1310</v>
      </c>
      <c r="B528" t="s">
        <v>2069</v>
      </c>
    </row>
    <row r="529" spans="1:2" x14ac:dyDescent="0.2">
      <c r="A529" t="s">
        <v>2166</v>
      </c>
      <c r="B529" t="s">
        <v>2069</v>
      </c>
    </row>
    <row r="530" spans="1:2" x14ac:dyDescent="0.2">
      <c r="A530" t="s">
        <v>2167</v>
      </c>
      <c r="B530" t="s">
        <v>2069</v>
      </c>
    </row>
    <row r="531" spans="1:2" x14ac:dyDescent="0.2">
      <c r="A531" t="s">
        <v>811</v>
      </c>
      <c r="B531" t="s">
        <v>2069</v>
      </c>
    </row>
    <row r="532" spans="1:2" x14ac:dyDescent="0.2">
      <c r="A532" t="s">
        <v>2168</v>
      </c>
      <c r="B532" t="s">
        <v>2069</v>
      </c>
    </row>
    <row r="533" spans="1:2" x14ac:dyDescent="0.2">
      <c r="A533" t="s">
        <v>820</v>
      </c>
      <c r="B533" t="s">
        <v>2069</v>
      </c>
    </row>
    <row r="534" spans="1:2" x14ac:dyDescent="0.2">
      <c r="A534" t="s">
        <v>2169</v>
      </c>
      <c r="B534" t="s">
        <v>2069</v>
      </c>
    </row>
    <row r="535" spans="1:2" x14ac:dyDescent="0.2">
      <c r="A535" t="s">
        <v>2170</v>
      </c>
      <c r="B535" t="s">
        <v>2069</v>
      </c>
    </row>
    <row r="536" spans="1:2" x14ac:dyDescent="0.2">
      <c r="A536" t="s">
        <v>2171</v>
      </c>
      <c r="B536" t="s">
        <v>2069</v>
      </c>
    </row>
    <row r="537" spans="1:2" x14ac:dyDescent="0.2">
      <c r="A537" t="s">
        <v>1430</v>
      </c>
      <c r="B537" t="s">
        <v>2069</v>
      </c>
    </row>
    <row r="538" spans="1:2" x14ac:dyDescent="0.2">
      <c r="A538" t="s">
        <v>2172</v>
      </c>
      <c r="B538" t="s">
        <v>2069</v>
      </c>
    </row>
    <row r="539" spans="1:2" x14ac:dyDescent="0.2">
      <c r="A539" t="s">
        <v>1587</v>
      </c>
      <c r="B539" t="s">
        <v>2069</v>
      </c>
    </row>
    <row r="540" spans="1:2" x14ac:dyDescent="0.2">
      <c r="A540" t="s">
        <v>938</v>
      </c>
      <c r="B540" t="s">
        <v>2069</v>
      </c>
    </row>
    <row r="541" spans="1:2" x14ac:dyDescent="0.2">
      <c r="A541" t="s">
        <v>904</v>
      </c>
      <c r="B541" t="s">
        <v>2069</v>
      </c>
    </row>
    <row r="542" spans="1:2" x14ac:dyDescent="0.2">
      <c r="A542" t="s">
        <v>2140</v>
      </c>
      <c r="B542" t="s">
        <v>2069</v>
      </c>
    </row>
    <row r="543" spans="1:2" x14ac:dyDescent="0.2">
      <c r="A543" t="s">
        <v>873</v>
      </c>
      <c r="B543" t="s">
        <v>2069</v>
      </c>
    </row>
    <row r="544" spans="1:2" x14ac:dyDescent="0.2">
      <c r="A544" t="s">
        <v>854</v>
      </c>
      <c r="B544" t="s">
        <v>2069</v>
      </c>
    </row>
    <row r="545" spans="1:2" x14ac:dyDescent="0.2">
      <c r="A545" t="s">
        <v>2173</v>
      </c>
      <c r="B545" t="s">
        <v>2069</v>
      </c>
    </row>
    <row r="546" spans="1:2" x14ac:dyDescent="0.2">
      <c r="A546" t="s">
        <v>2174</v>
      </c>
      <c r="B546" t="s">
        <v>2069</v>
      </c>
    </row>
    <row r="547" spans="1:2" x14ac:dyDescent="0.2">
      <c r="A547" t="s">
        <v>2175</v>
      </c>
      <c r="B547" t="s">
        <v>2069</v>
      </c>
    </row>
    <row r="548" spans="1:2" x14ac:dyDescent="0.2">
      <c r="A548" t="s">
        <v>2176</v>
      </c>
      <c r="B548" t="s">
        <v>2069</v>
      </c>
    </row>
    <row r="549" spans="1:2" x14ac:dyDescent="0.2">
      <c r="A549" t="s">
        <v>907</v>
      </c>
      <c r="B549" t="s">
        <v>2069</v>
      </c>
    </row>
    <row r="550" spans="1:2" x14ac:dyDescent="0.2">
      <c r="A550" t="s">
        <v>769</v>
      </c>
      <c r="B550" t="s">
        <v>2069</v>
      </c>
    </row>
    <row r="551" spans="1:2" x14ac:dyDescent="0.2">
      <c r="A551" t="s">
        <v>2177</v>
      </c>
      <c r="B551" t="s">
        <v>2069</v>
      </c>
    </row>
    <row r="552" spans="1:2" x14ac:dyDescent="0.2">
      <c r="A552" t="s">
        <v>910</v>
      </c>
      <c r="B552" t="s">
        <v>2069</v>
      </c>
    </row>
    <row r="553" spans="1:2" x14ac:dyDescent="0.2">
      <c r="A553" t="s">
        <v>826</v>
      </c>
      <c r="B553" t="s">
        <v>2069</v>
      </c>
    </row>
    <row r="554" spans="1:2" x14ac:dyDescent="0.2">
      <c r="A554" t="s">
        <v>2178</v>
      </c>
      <c r="B554" t="s">
        <v>2069</v>
      </c>
    </row>
    <row r="555" spans="1:2" x14ac:dyDescent="0.2">
      <c r="A555" t="s">
        <v>2179</v>
      </c>
      <c r="B555" t="s">
        <v>2069</v>
      </c>
    </row>
    <row r="556" spans="1:2" x14ac:dyDescent="0.2">
      <c r="A556" t="s">
        <v>2180</v>
      </c>
      <c r="B556" t="s">
        <v>2069</v>
      </c>
    </row>
    <row r="557" spans="1:2" x14ac:dyDescent="0.2">
      <c r="A557" t="s">
        <v>2181</v>
      </c>
      <c r="B557" t="s">
        <v>2069</v>
      </c>
    </row>
    <row r="558" spans="1:2" x14ac:dyDescent="0.2">
      <c r="A558" t="s">
        <v>2182</v>
      </c>
      <c r="B558" t="s">
        <v>2069</v>
      </c>
    </row>
    <row r="559" spans="1:2" x14ac:dyDescent="0.2">
      <c r="A559" t="s">
        <v>1821</v>
      </c>
      <c r="B559" t="s">
        <v>2069</v>
      </c>
    </row>
    <row r="560" spans="1:2" x14ac:dyDescent="0.2">
      <c r="A560" t="s">
        <v>705</v>
      </c>
      <c r="B560" t="s">
        <v>2069</v>
      </c>
    </row>
    <row r="561" spans="1:2" x14ac:dyDescent="0.2">
      <c r="A561" t="s">
        <v>386</v>
      </c>
      <c r="B561" t="s">
        <v>2069</v>
      </c>
    </row>
    <row r="562" spans="1:2" x14ac:dyDescent="0.2">
      <c r="A562" t="s">
        <v>2183</v>
      </c>
      <c r="B562" t="s">
        <v>2069</v>
      </c>
    </row>
    <row r="563" spans="1:2" x14ac:dyDescent="0.2">
      <c r="A563" t="s">
        <v>378</v>
      </c>
      <c r="B563" t="s">
        <v>2069</v>
      </c>
    </row>
    <row r="564" spans="1:2" x14ac:dyDescent="0.2">
      <c r="A564" t="s">
        <v>376</v>
      </c>
      <c r="B564" t="s">
        <v>2069</v>
      </c>
    </row>
    <row r="565" spans="1:2" x14ac:dyDescent="0.2">
      <c r="A565" t="s">
        <v>2184</v>
      </c>
      <c r="B565" t="s">
        <v>2069</v>
      </c>
    </row>
    <row r="566" spans="1:2" x14ac:dyDescent="0.2">
      <c r="A566" t="s">
        <v>2022</v>
      </c>
      <c r="B566" t="s">
        <v>2069</v>
      </c>
    </row>
    <row r="567" spans="1:2" x14ac:dyDescent="0.2">
      <c r="A567" t="s">
        <v>1181</v>
      </c>
      <c r="B567" t="s">
        <v>2069</v>
      </c>
    </row>
    <row r="568" spans="1:2" x14ac:dyDescent="0.2">
      <c r="A568" t="s">
        <v>2185</v>
      </c>
      <c r="B568" t="s">
        <v>2069</v>
      </c>
    </row>
    <row r="569" spans="1:2" x14ac:dyDescent="0.2">
      <c r="A569" t="s">
        <v>2186</v>
      </c>
      <c r="B569" t="s">
        <v>2069</v>
      </c>
    </row>
    <row r="570" spans="1:2" x14ac:dyDescent="0.2">
      <c r="A570" t="s">
        <v>763</v>
      </c>
      <c r="B570" t="s">
        <v>2069</v>
      </c>
    </row>
    <row r="571" spans="1:2" x14ac:dyDescent="0.2">
      <c r="A571" t="s">
        <v>760</v>
      </c>
      <c r="B571" t="s">
        <v>2069</v>
      </c>
    </row>
    <row r="572" spans="1:2" x14ac:dyDescent="0.2">
      <c r="A572" t="s">
        <v>757</v>
      </c>
      <c r="B572" t="s">
        <v>2069</v>
      </c>
    </row>
    <row r="573" spans="1:2" x14ac:dyDescent="0.2">
      <c r="A573" t="s">
        <v>754</v>
      </c>
      <c r="B573" t="s">
        <v>2069</v>
      </c>
    </row>
    <row r="574" spans="1:2" x14ac:dyDescent="0.2">
      <c r="A574" t="s">
        <v>1007</v>
      </c>
      <c r="B574" t="s">
        <v>2069</v>
      </c>
    </row>
    <row r="575" spans="1:2" x14ac:dyDescent="0.2">
      <c r="A575" t="s">
        <v>2187</v>
      </c>
      <c r="B575" t="s">
        <v>2069</v>
      </c>
    </row>
    <row r="576" spans="1:2" x14ac:dyDescent="0.2">
      <c r="A576" t="s">
        <v>1943</v>
      </c>
      <c r="B576" t="s">
        <v>2069</v>
      </c>
    </row>
    <row r="577" spans="1:2" x14ac:dyDescent="0.2">
      <c r="A577" t="s">
        <v>1400</v>
      </c>
      <c r="B577" t="s">
        <v>2069</v>
      </c>
    </row>
    <row r="578" spans="1:2" x14ac:dyDescent="0.2">
      <c r="A578" t="s">
        <v>1779</v>
      </c>
      <c r="B578" t="s">
        <v>2069</v>
      </c>
    </row>
    <row r="579" spans="1:2" x14ac:dyDescent="0.2">
      <c r="A579" t="s">
        <v>2188</v>
      </c>
      <c r="B579" t="s">
        <v>2069</v>
      </c>
    </row>
    <row r="580" spans="1:2" x14ac:dyDescent="0.2">
      <c r="A580" t="s">
        <v>2189</v>
      </c>
      <c r="B580" t="s">
        <v>2069</v>
      </c>
    </row>
    <row r="581" spans="1:2" x14ac:dyDescent="0.2">
      <c r="A581" t="s">
        <v>2190</v>
      </c>
      <c r="B581" t="s">
        <v>2069</v>
      </c>
    </row>
    <row r="582" spans="1:2" x14ac:dyDescent="0.2">
      <c r="A582" t="s">
        <v>2191</v>
      </c>
      <c r="B582" t="s">
        <v>2069</v>
      </c>
    </row>
    <row r="583" spans="1:2" x14ac:dyDescent="0.2">
      <c r="A583" t="s">
        <v>2192</v>
      </c>
      <c r="B583" t="s">
        <v>2069</v>
      </c>
    </row>
    <row r="584" spans="1:2" x14ac:dyDescent="0.2">
      <c r="A584" t="s">
        <v>2193</v>
      </c>
      <c r="B584" t="s">
        <v>2069</v>
      </c>
    </row>
    <row r="585" spans="1:2" x14ac:dyDescent="0.2">
      <c r="A585" t="s">
        <v>2194</v>
      </c>
      <c r="B585" t="s">
        <v>2069</v>
      </c>
    </row>
    <row r="586" spans="1:2" x14ac:dyDescent="0.2">
      <c r="A586" t="s">
        <v>2195</v>
      </c>
      <c r="B586" t="s">
        <v>2069</v>
      </c>
    </row>
    <row r="587" spans="1:2" x14ac:dyDescent="0.2">
      <c r="A587" t="s">
        <v>382</v>
      </c>
      <c r="B587" t="s">
        <v>2069</v>
      </c>
    </row>
    <row r="588" spans="1:2" x14ac:dyDescent="0.2">
      <c r="A588" t="s">
        <v>384</v>
      </c>
      <c r="B588" t="s">
        <v>2069</v>
      </c>
    </row>
    <row r="589" spans="1:2" x14ac:dyDescent="0.2">
      <c r="A589" t="s">
        <v>1947</v>
      </c>
      <c r="B589" t="s">
        <v>2069</v>
      </c>
    </row>
    <row r="590" spans="1:2" x14ac:dyDescent="0.2">
      <c r="A590" t="s">
        <v>1678</v>
      </c>
      <c r="B590" t="s">
        <v>2069</v>
      </c>
    </row>
    <row r="591" spans="1:2" x14ac:dyDescent="0.2">
      <c r="A591" t="s">
        <v>1953</v>
      </c>
      <c r="B591" t="s">
        <v>2069</v>
      </c>
    </row>
    <row r="592" spans="1:2" x14ac:dyDescent="0.2">
      <c r="A592" t="s">
        <v>1675</v>
      </c>
      <c r="B592" t="s">
        <v>2069</v>
      </c>
    </row>
    <row r="593" spans="1:2" x14ac:dyDescent="0.2">
      <c r="A593" t="s">
        <v>2081</v>
      </c>
      <c r="B593" t="s">
        <v>2069</v>
      </c>
    </row>
    <row r="594" spans="1:2" x14ac:dyDescent="0.2">
      <c r="A594" t="s">
        <v>2196</v>
      </c>
      <c r="B594" t="s">
        <v>2069</v>
      </c>
    </row>
    <row r="595" spans="1:2" x14ac:dyDescent="0.2">
      <c r="A595" t="s">
        <v>920</v>
      </c>
      <c r="B595" t="s">
        <v>2069</v>
      </c>
    </row>
    <row r="596" spans="1:2" x14ac:dyDescent="0.2">
      <c r="A596" t="s">
        <v>2197</v>
      </c>
      <c r="B596" t="s">
        <v>2069</v>
      </c>
    </row>
    <row r="597" spans="1:2" x14ac:dyDescent="0.2">
      <c r="A597" t="s">
        <v>1427</v>
      </c>
      <c r="B597" t="s">
        <v>2069</v>
      </c>
    </row>
    <row r="598" spans="1:2" x14ac:dyDescent="0.2">
      <c r="A598" t="s">
        <v>1749</v>
      </c>
      <c r="B598" t="s">
        <v>2069</v>
      </c>
    </row>
    <row r="599" spans="1:2" x14ac:dyDescent="0.2">
      <c r="A599" t="s">
        <v>1394</v>
      </c>
      <c r="B599" t="s">
        <v>2069</v>
      </c>
    </row>
    <row r="600" spans="1:2" x14ac:dyDescent="0.2">
      <c r="A600" t="s">
        <v>1799</v>
      </c>
      <c r="B600" t="s">
        <v>2069</v>
      </c>
    </row>
    <row r="601" spans="1:2" x14ac:dyDescent="0.2">
      <c r="A601" t="s">
        <v>2198</v>
      </c>
      <c r="B601" t="s">
        <v>2069</v>
      </c>
    </row>
    <row r="602" spans="1:2" x14ac:dyDescent="0.2">
      <c r="A602" t="s">
        <v>1767</v>
      </c>
      <c r="B602" t="s">
        <v>2069</v>
      </c>
    </row>
    <row r="603" spans="1:2" x14ac:dyDescent="0.2">
      <c r="A603" t="s">
        <v>2199</v>
      </c>
      <c r="B603" t="s">
        <v>2069</v>
      </c>
    </row>
    <row r="604" spans="1:2" x14ac:dyDescent="0.2">
      <c r="A604" t="s">
        <v>1430</v>
      </c>
      <c r="B604" t="s">
        <v>2069</v>
      </c>
    </row>
    <row r="605" spans="1:2" x14ac:dyDescent="0.2">
      <c r="A605" t="s">
        <v>1747</v>
      </c>
      <c r="B605" t="s">
        <v>2069</v>
      </c>
    </row>
    <row r="606" spans="1:2" x14ac:dyDescent="0.2">
      <c r="A606" t="s">
        <v>2200</v>
      </c>
      <c r="B606" t="s">
        <v>2069</v>
      </c>
    </row>
    <row r="607" spans="1:2" x14ac:dyDescent="0.2">
      <c r="A607" t="s">
        <v>2084</v>
      </c>
      <c r="B607" t="s">
        <v>2069</v>
      </c>
    </row>
    <row r="608" spans="1:2" x14ac:dyDescent="0.2">
      <c r="A608" t="s">
        <v>784</v>
      </c>
      <c r="B608" t="s">
        <v>2069</v>
      </c>
    </row>
    <row r="609" spans="1:2" x14ac:dyDescent="0.2">
      <c r="A609" t="s">
        <v>505</v>
      </c>
      <c r="B609" t="s">
        <v>2069</v>
      </c>
    </row>
    <row r="610" spans="1:2" x14ac:dyDescent="0.2">
      <c r="A610" t="s">
        <v>6</v>
      </c>
      <c r="B610" t="s">
        <v>2069</v>
      </c>
    </row>
    <row r="611" spans="1:2" x14ac:dyDescent="0.2">
      <c r="A611" t="s">
        <v>1794</v>
      </c>
      <c r="B611" t="s">
        <v>2069</v>
      </c>
    </row>
    <row r="612" spans="1:2" x14ac:dyDescent="0.2">
      <c r="A612" t="s">
        <v>2201</v>
      </c>
      <c r="B612" t="s">
        <v>2069</v>
      </c>
    </row>
    <row r="613" spans="1:2" x14ac:dyDescent="0.2">
      <c r="A613" t="s">
        <v>961</v>
      </c>
      <c r="B613" t="s">
        <v>2069</v>
      </c>
    </row>
    <row r="614" spans="1:2" x14ac:dyDescent="0.2">
      <c r="A614" t="s">
        <v>314</v>
      </c>
      <c r="B614" t="s">
        <v>2069</v>
      </c>
    </row>
    <row r="615" spans="1:2" x14ac:dyDescent="0.2">
      <c r="A615" t="s">
        <v>666</v>
      </c>
      <c r="B615" t="s">
        <v>2069</v>
      </c>
    </row>
    <row r="616" spans="1:2" x14ac:dyDescent="0.2">
      <c r="A616" t="s">
        <v>669</v>
      </c>
      <c r="B616" t="s">
        <v>2069</v>
      </c>
    </row>
    <row r="617" spans="1:2" x14ac:dyDescent="0.2">
      <c r="A617" t="s">
        <v>675</v>
      </c>
      <c r="B617" t="s">
        <v>2069</v>
      </c>
    </row>
    <row r="618" spans="1:2" x14ac:dyDescent="0.2">
      <c r="A618" t="s">
        <v>570</v>
      </c>
      <c r="B618" t="s">
        <v>2069</v>
      </c>
    </row>
    <row r="619" spans="1:2" x14ac:dyDescent="0.2">
      <c r="A619" t="s">
        <v>684</v>
      </c>
      <c r="B619" t="s">
        <v>2069</v>
      </c>
    </row>
    <row r="620" spans="1:2" x14ac:dyDescent="0.2">
      <c r="A620" t="s">
        <v>687</v>
      </c>
      <c r="B620" t="s">
        <v>2069</v>
      </c>
    </row>
    <row r="621" spans="1:2" x14ac:dyDescent="0.2">
      <c r="A621" t="s">
        <v>693</v>
      </c>
      <c r="B621" t="s">
        <v>2069</v>
      </c>
    </row>
    <row r="622" spans="1:2" x14ac:dyDescent="0.2">
      <c r="A622" t="s">
        <v>2202</v>
      </c>
      <c r="B622" t="s">
        <v>2069</v>
      </c>
    </row>
    <row r="623" spans="1:2" x14ac:dyDescent="0.2">
      <c r="A623" t="s">
        <v>1675</v>
      </c>
      <c r="B623" t="s">
        <v>2069</v>
      </c>
    </row>
    <row r="624" spans="1:2" x14ac:dyDescent="0.2">
      <c r="A624" t="s">
        <v>823</v>
      </c>
      <c r="B624" t="s">
        <v>2069</v>
      </c>
    </row>
    <row r="625" spans="1:2" x14ac:dyDescent="0.2">
      <c r="A625" t="s">
        <v>2203</v>
      </c>
      <c r="B625" t="s">
        <v>2069</v>
      </c>
    </row>
    <row r="626" spans="1:2" x14ac:dyDescent="0.2">
      <c r="A626" t="s">
        <v>2204</v>
      </c>
      <c r="B626" t="s">
        <v>2069</v>
      </c>
    </row>
    <row r="627" spans="1:2" x14ac:dyDescent="0.2">
      <c r="A627" t="s">
        <v>576</v>
      </c>
      <c r="B627" t="s">
        <v>2069</v>
      </c>
    </row>
    <row r="628" spans="1:2" x14ac:dyDescent="0.2">
      <c r="A628" t="s">
        <v>1648</v>
      </c>
      <c r="B628" t="s">
        <v>2069</v>
      </c>
    </row>
    <row r="629" spans="1:2" x14ac:dyDescent="0.2">
      <c r="A629" t="s">
        <v>1620</v>
      </c>
      <c r="B629" t="s">
        <v>2069</v>
      </c>
    </row>
    <row r="630" spans="1:2" x14ac:dyDescent="0.2">
      <c r="A630" t="s">
        <v>1514</v>
      </c>
      <c r="B630" t="s">
        <v>2069</v>
      </c>
    </row>
    <row r="631" spans="1:2" x14ac:dyDescent="0.2">
      <c r="A631" t="s">
        <v>1517</v>
      </c>
      <c r="B631" t="s">
        <v>2069</v>
      </c>
    </row>
    <row r="632" spans="1:2" x14ac:dyDescent="0.2">
      <c r="A632" t="s">
        <v>550</v>
      </c>
      <c r="B632" t="s">
        <v>2069</v>
      </c>
    </row>
    <row r="633" spans="1:2" x14ac:dyDescent="0.2">
      <c r="A633" t="s">
        <v>1551</v>
      </c>
      <c r="B633" t="s">
        <v>2069</v>
      </c>
    </row>
    <row r="634" spans="1:2" x14ac:dyDescent="0.2">
      <c r="A634" t="s">
        <v>1573</v>
      </c>
      <c r="B634" t="s">
        <v>2069</v>
      </c>
    </row>
    <row r="635" spans="1:2" x14ac:dyDescent="0.2">
      <c r="A635" t="s">
        <v>1582</v>
      </c>
      <c r="B635" t="s">
        <v>2069</v>
      </c>
    </row>
    <row r="636" spans="1:2" x14ac:dyDescent="0.2">
      <c r="A636" t="s">
        <v>1655</v>
      </c>
      <c r="B636" t="s">
        <v>2069</v>
      </c>
    </row>
    <row r="637" spans="1:2" x14ac:dyDescent="0.2">
      <c r="A637" t="s">
        <v>1247</v>
      </c>
      <c r="B637" t="s">
        <v>2069</v>
      </c>
    </row>
    <row r="638" spans="1:2" x14ac:dyDescent="0.2">
      <c r="A638" t="s">
        <v>1594</v>
      </c>
      <c r="B638" t="s">
        <v>2069</v>
      </c>
    </row>
    <row r="639" spans="1:2" x14ac:dyDescent="0.2">
      <c r="A639" t="s">
        <v>835</v>
      </c>
      <c r="B639" t="s">
        <v>2069</v>
      </c>
    </row>
    <row r="640" spans="1:2" x14ac:dyDescent="0.2">
      <c r="A640" t="s">
        <v>1268</v>
      </c>
      <c r="B640" t="s">
        <v>2069</v>
      </c>
    </row>
    <row r="641" spans="1:2" x14ac:dyDescent="0.2">
      <c r="A641" t="s">
        <v>663</v>
      </c>
      <c r="B641" t="s">
        <v>2069</v>
      </c>
    </row>
    <row r="642" spans="1:2" x14ac:dyDescent="0.2">
      <c r="A642" t="s">
        <v>654</v>
      </c>
      <c r="B642" t="s">
        <v>2069</v>
      </c>
    </row>
    <row r="643" spans="1:2" x14ac:dyDescent="0.2">
      <c r="A643" t="s">
        <v>1609</v>
      </c>
      <c r="B643" t="s">
        <v>2069</v>
      </c>
    </row>
    <row r="644" spans="1:2" x14ac:dyDescent="0.2">
      <c r="A644" t="s">
        <v>2205</v>
      </c>
      <c r="B644" t="s">
        <v>2069</v>
      </c>
    </row>
    <row r="645" spans="1:2" x14ac:dyDescent="0.2">
      <c r="A645" t="s">
        <v>252</v>
      </c>
      <c r="B645" t="s">
        <v>2069</v>
      </c>
    </row>
    <row r="646" spans="1:2" x14ac:dyDescent="0.2">
      <c r="A646" t="s">
        <v>893</v>
      </c>
      <c r="B646" t="s">
        <v>2069</v>
      </c>
    </row>
    <row r="647" spans="1:2" x14ac:dyDescent="0.2">
      <c r="A647" t="s">
        <v>2136</v>
      </c>
      <c r="B647" t="s">
        <v>2069</v>
      </c>
    </row>
    <row r="648" spans="1:2" x14ac:dyDescent="0.2">
      <c r="A648" t="s">
        <v>142</v>
      </c>
      <c r="B648" t="s">
        <v>2069</v>
      </c>
    </row>
    <row r="649" spans="1:2" x14ac:dyDescent="0.2">
      <c r="A649" t="s">
        <v>1256</v>
      </c>
      <c r="B649" t="s">
        <v>2069</v>
      </c>
    </row>
    <row r="650" spans="1:2" x14ac:dyDescent="0.2">
      <c r="A650" t="s">
        <v>1259</v>
      </c>
      <c r="B650" t="s">
        <v>2069</v>
      </c>
    </row>
    <row r="651" spans="1:2" x14ac:dyDescent="0.2">
      <c r="A651" t="s">
        <v>2206</v>
      </c>
      <c r="B651" t="s">
        <v>2069</v>
      </c>
    </row>
    <row r="652" spans="1:2" x14ac:dyDescent="0.2">
      <c r="A652" t="s">
        <v>2207</v>
      </c>
      <c r="B652" t="s">
        <v>2069</v>
      </c>
    </row>
    <row r="653" spans="1:2" x14ac:dyDescent="0.2">
      <c r="A653" t="s">
        <v>1323</v>
      </c>
      <c r="B653" t="s">
        <v>2069</v>
      </c>
    </row>
    <row r="654" spans="1:2" x14ac:dyDescent="0.2">
      <c r="A654" t="s">
        <v>660</v>
      </c>
      <c r="B654" t="s">
        <v>2069</v>
      </c>
    </row>
    <row r="655" spans="1:2" x14ac:dyDescent="0.2">
      <c r="A655" t="s">
        <v>1335</v>
      </c>
      <c r="B655" t="s">
        <v>2069</v>
      </c>
    </row>
    <row r="656" spans="1:2" x14ac:dyDescent="0.2">
      <c r="A656" t="s">
        <v>255</v>
      </c>
      <c r="B656" t="s">
        <v>2069</v>
      </c>
    </row>
    <row r="657" spans="1:2" x14ac:dyDescent="0.2">
      <c r="A657" t="s">
        <v>2208</v>
      </c>
      <c r="B657" t="s">
        <v>2069</v>
      </c>
    </row>
    <row r="658" spans="1:2" x14ac:dyDescent="0.2">
      <c r="A658" t="s">
        <v>1571</v>
      </c>
      <c r="B658" t="s">
        <v>2069</v>
      </c>
    </row>
    <row r="659" spans="1:2" x14ac:dyDescent="0.2">
      <c r="A659" t="s">
        <v>591</v>
      </c>
      <c r="B659" t="s">
        <v>2069</v>
      </c>
    </row>
    <row r="660" spans="1:2" x14ac:dyDescent="0.2">
      <c r="A660" t="s">
        <v>603</v>
      </c>
      <c r="B660" t="s">
        <v>2069</v>
      </c>
    </row>
    <row r="661" spans="1:2" x14ac:dyDescent="0.2">
      <c r="A661" t="s">
        <v>606</v>
      </c>
      <c r="B661" t="s">
        <v>2069</v>
      </c>
    </row>
    <row r="662" spans="1:2" x14ac:dyDescent="0.2">
      <c r="A662" t="s">
        <v>620</v>
      </c>
      <c r="B662" t="s">
        <v>2069</v>
      </c>
    </row>
    <row r="663" spans="1:2" x14ac:dyDescent="0.2">
      <c r="A663" t="s">
        <v>626</v>
      </c>
      <c r="B663" t="s">
        <v>2069</v>
      </c>
    </row>
    <row r="664" spans="1:2" x14ac:dyDescent="0.2">
      <c r="A664" t="s">
        <v>629</v>
      </c>
      <c r="B664" t="s">
        <v>2069</v>
      </c>
    </row>
    <row r="665" spans="1:2" x14ac:dyDescent="0.2">
      <c r="A665" t="s">
        <v>638</v>
      </c>
      <c r="B665" t="s">
        <v>2069</v>
      </c>
    </row>
    <row r="666" spans="1:2" x14ac:dyDescent="0.2">
      <c r="A666" t="s">
        <v>648</v>
      </c>
      <c r="B666" t="s">
        <v>2069</v>
      </c>
    </row>
    <row r="667" spans="1:2" x14ac:dyDescent="0.2">
      <c r="A667" t="s">
        <v>1353</v>
      </c>
      <c r="B667" t="s">
        <v>2069</v>
      </c>
    </row>
    <row r="668" spans="1:2" x14ac:dyDescent="0.2">
      <c r="A668" t="s">
        <v>207</v>
      </c>
      <c r="B668" t="s">
        <v>2069</v>
      </c>
    </row>
    <row r="669" spans="1:2" x14ac:dyDescent="0.2">
      <c r="A669" t="s">
        <v>2209</v>
      </c>
      <c r="B669" t="s">
        <v>2069</v>
      </c>
    </row>
    <row r="670" spans="1:2" x14ac:dyDescent="0.2">
      <c r="A670" t="s">
        <v>1623</v>
      </c>
      <c r="B670" t="s">
        <v>2069</v>
      </c>
    </row>
    <row r="671" spans="1:2" x14ac:dyDescent="0.2">
      <c r="A671" t="s">
        <v>346</v>
      </c>
      <c r="B671" t="s">
        <v>2069</v>
      </c>
    </row>
    <row r="672" spans="1:2" x14ac:dyDescent="0.2">
      <c r="A672" t="s">
        <v>1546</v>
      </c>
      <c r="B672" t="s">
        <v>2069</v>
      </c>
    </row>
    <row r="673" spans="1:2" x14ac:dyDescent="0.2">
      <c r="A673" t="s">
        <v>2210</v>
      </c>
      <c r="B673" t="s">
        <v>2069</v>
      </c>
    </row>
    <row r="674" spans="1:2" x14ac:dyDescent="0.2">
      <c r="A674" t="s">
        <v>2211</v>
      </c>
      <c r="B674" t="s">
        <v>2069</v>
      </c>
    </row>
    <row r="675" spans="1:2" x14ac:dyDescent="0.2">
      <c r="A675" t="s">
        <v>334</v>
      </c>
      <c r="B675" t="s">
        <v>2069</v>
      </c>
    </row>
    <row r="676" spans="1:2" x14ac:dyDescent="0.2">
      <c r="A676" t="s">
        <v>1671</v>
      </c>
      <c r="B676" t="s">
        <v>2069</v>
      </c>
    </row>
    <row r="677" spans="1:2" x14ac:dyDescent="0.2">
      <c r="A677" t="s">
        <v>370</v>
      </c>
      <c r="B677" t="s">
        <v>2069</v>
      </c>
    </row>
    <row r="678" spans="1:2" x14ac:dyDescent="0.2">
      <c r="A678" t="s">
        <v>1223</v>
      </c>
      <c r="B678" t="s">
        <v>2069</v>
      </c>
    </row>
    <row r="679" spans="1:2" x14ac:dyDescent="0.2">
      <c r="A679" t="s">
        <v>320</v>
      </c>
      <c r="B679" t="s">
        <v>2069</v>
      </c>
    </row>
    <row r="680" spans="1:2" x14ac:dyDescent="0.2">
      <c r="A680" t="s">
        <v>331</v>
      </c>
      <c r="B680" t="s">
        <v>2069</v>
      </c>
    </row>
    <row r="681" spans="1:2" x14ac:dyDescent="0.2">
      <c r="A681" t="s">
        <v>358</v>
      </c>
      <c r="B681" t="s">
        <v>2069</v>
      </c>
    </row>
    <row r="682" spans="1:2" x14ac:dyDescent="0.2">
      <c r="A682" t="s">
        <v>1368</v>
      </c>
      <c r="B682" t="s">
        <v>2069</v>
      </c>
    </row>
    <row r="683" spans="1:2" x14ac:dyDescent="0.2">
      <c r="A683" t="s">
        <v>361</v>
      </c>
      <c r="B683" t="s">
        <v>2069</v>
      </c>
    </row>
    <row r="684" spans="1:2" x14ac:dyDescent="0.2">
      <c r="A684" t="s">
        <v>301</v>
      </c>
      <c r="B684" t="s">
        <v>2069</v>
      </c>
    </row>
    <row r="685" spans="1:2" x14ac:dyDescent="0.2">
      <c r="A685" t="s">
        <v>352</v>
      </c>
      <c r="B685" t="s">
        <v>2069</v>
      </c>
    </row>
    <row r="686" spans="1:2" x14ac:dyDescent="0.2">
      <c r="A686" t="s">
        <v>364</v>
      </c>
      <c r="B686" t="s">
        <v>2069</v>
      </c>
    </row>
    <row r="687" spans="1:2" x14ac:dyDescent="0.2">
      <c r="A687" t="s">
        <v>367</v>
      </c>
      <c r="B687" t="s">
        <v>2069</v>
      </c>
    </row>
    <row r="688" spans="1:2" x14ac:dyDescent="0.2">
      <c r="A688" t="s">
        <v>355</v>
      </c>
      <c r="B688" t="s">
        <v>2069</v>
      </c>
    </row>
    <row r="689" spans="1:2" x14ac:dyDescent="0.2">
      <c r="A689" t="s">
        <v>318</v>
      </c>
      <c r="B689" t="s">
        <v>2069</v>
      </c>
    </row>
    <row r="690" spans="1:2" x14ac:dyDescent="0.2">
      <c r="A690" t="s">
        <v>1347</v>
      </c>
      <c r="B690" t="s">
        <v>2069</v>
      </c>
    </row>
    <row r="691" spans="1:2" x14ac:dyDescent="0.2">
      <c r="A691" t="s">
        <v>1383</v>
      </c>
      <c r="B691" t="s">
        <v>2069</v>
      </c>
    </row>
    <row r="692" spans="1:2" x14ac:dyDescent="0.2">
      <c r="A692" t="s">
        <v>618</v>
      </c>
      <c r="B692" t="s">
        <v>2069</v>
      </c>
    </row>
    <row r="693" spans="1:2" x14ac:dyDescent="0.2">
      <c r="A693" t="s">
        <v>844</v>
      </c>
      <c r="B693" t="s">
        <v>2069</v>
      </c>
    </row>
    <row r="694" spans="1:2" x14ac:dyDescent="0.2">
      <c r="A694" t="s">
        <v>623</v>
      </c>
      <c r="B694" t="s">
        <v>2069</v>
      </c>
    </row>
    <row r="695" spans="1:2" x14ac:dyDescent="0.2">
      <c r="A695" t="s">
        <v>373</v>
      </c>
      <c r="B695" t="s">
        <v>2069</v>
      </c>
    </row>
    <row r="696" spans="1:2" x14ac:dyDescent="0.2">
      <c r="A696" t="s">
        <v>1274</v>
      </c>
      <c r="B696" t="s">
        <v>2069</v>
      </c>
    </row>
    <row r="697" spans="1:2" x14ac:dyDescent="0.2">
      <c r="A697" t="s">
        <v>343</v>
      </c>
      <c r="B697" t="s">
        <v>2069</v>
      </c>
    </row>
    <row r="698" spans="1:2" x14ac:dyDescent="0.2">
      <c r="A698" t="s">
        <v>323</v>
      </c>
      <c r="B698" t="s">
        <v>2069</v>
      </c>
    </row>
    <row r="699" spans="1:2" x14ac:dyDescent="0.2">
      <c r="A699" t="s">
        <v>2212</v>
      </c>
      <c r="B699" t="s">
        <v>2069</v>
      </c>
    </row>
    <row r="700" spans="1:2" x14ac:dyDescent="0.2">
      <c r="A700" t="s">
        <v>1627</v>
      </c>
      <c r="B700" t="s">
        <v>2069</v>
      </c>
    </row>
    <row r="701" spans="1:2" x14ac:dyDescent="0.2">
      <c r="A701" t="s">
        <v>1320</v>
      </c>
      <c r="B701" t="s">
        <v>2069</v>
      </c>
    </row>
    <row r="702" spans="1:2" x14ac:dyDescent="0.2">
      <c r="A702" t="s">
        <v>547</v>
      </c>
      <c r="B702" t="s">
        <v>2069</v>
      </c>
    </row>
    <row r="703" spans="1:2" x14ac:dyDescent="0.2">
      <c r="A703" t="s">
        <v>552</v>
      </c>
      <c r="B703" t="s">
        <v>2069</v>
      </c>
    </row>
    <row r="704" spans="1:2" x14ac:dyDescent="0.2">
      <c r="A704" t="s">
        <v>455</v>
      </c>
      <c r="B704" t="s">
        <v>2069</v>
      </c>
    </row>
    <row r="705" spans="1:2" x14ac:dyDescent="0.2">
      <c r="A705" t="s">
        <v>460</v>
      </c>
      <c r="B705" t="s">
        <v>2069</v>
      </c>
    </row>
    <row r="706" spans="1:2" x14ac:dyDescent="0.2">
      <c r="A706" t="s">
        <v>462</v>
      </c>
      <c r="B706" t="s">
        <v>2069</v>
      </c>
    </row>
    <row r="707" spans="1:2" x14ac:dyDescent="0.2">
      <c r="A707" t="s">
        <v>466</v>
      </c>
      <c r="B707" t="s">
        <v>2069</v>
      </c>
    </row>
    <row r="708" spans="1:2" x14ac:dyDescent="0.2">
      <c r="A708" t="s">
        <v>469</v>
      </c>
      <c r="B708" t="s">
        <v>2069</v>
      </c>
    </row>
    <row r="709" spans="1:2" x14ac:dyDescent="0.2">
      <c r="A709" t="s">
        <v>485</v>
      </c>
      <c r="B709" t="s">
        <v>2069</v>
      </c>
    </row>
    <row r="710" spans="1:2" x14ac:dyDescent="0.2">
      <c r="A710" t="s">
        <v>2213</v>
      </c>
      <c r="B710" t="s">
        <v>2069</v>
      </c>
    </row>
    <row r="711" spans="1:2" x14ac:dyDescent="0.2">
      <c r="A711" t="s">
        <v>1326</v>
      </c>
      <c r="B711" t="s">
        <v>2069</v>
      </c>
    </row>
    <row r="712" spans="1:2" x14ac:dyDescent="0.2">
      <c r="A712" t="s">
        <v>495</v>
      </c>
      <c r="B712" t="s">
        <v>2069</v>
      </c>
    </row>
    <row r="713" spans="1:2" x14ac:dyDescent="0.2">
      <c r="A713" t="s">
        <v>505</v>
      </c>
      <c r="B713" t="s">
        <v>2069</v>
      </c>
    </row>
    <row r="714" spans="1:2" x14ac:dyDescent="0.2">
      <c r="A714" t="s">
        <v>516</v>
      </c>
      <c r="B714" t="s">
        <v>2069</v>
      </c>
    </row>
    <row r="715" spans="1:2" x14ac:dyDescent="0.2">
      <c r="A715" t="s">
        <v>1617</v>
      </c>
      <c r="B715" t="s">
        <v>2069</v>
      </c>
    </row>
    <row r="716" spans="1:2" x14ac:dyDescent="0.2">
      <c r="A716" t="s">
        <v>518</v>
      </c>
      <c r="B716" t="s">
        <v>2069</v>
      </c>
    </row>
    <row r="717" spans="1:2" x14ac:dyDescent="0.2">
      <c r="A717" t="s">
        <v>1625</v>
      </c>
      <c r="B717" t="s">
        <v>2069</v>
      </c>
    </row>
    <row r="718" spans="1:2" x14ac:dyDescent="0.2">
      <c r="A718" t="s">
        <v>1338</v>
      </c>
      <c r="B718" t="s">
        <v>2069</v>
      </c>
    </row>
    <row r="719" spans="1:2" x14ac:dyDescent="0.2">
      <c r="A719" t="s">
        <v>440</v>
      </c>
      <c r="B719" t="s">
        <v>2069</v>
      </c>
    </row>
    <row r="720" spans="1:2" x14ac:dyDescent="0.2">
      <c r="A720" t="s">
        <v>838</v>
      </c>
      <c r="B720" t="s">
        <v>2069</v>
      </c>
    </row>
    <row r="721" spans="1:2" x14ac:dyDescent="0.2">
      <c r="A721" t="s">
        <v>847</v>
      </c>
      <c r="B721" t="s">
        <v>2069</v>
      </c>
    </row>
    <row r="722" spans="1:2" x14ac:dyDescent="0.2">
      <c r="A722" t="s">
        <v>1350</v>
      </c>
      <c r="B722" t="s">
        <v>2069</v>
      </c>
    </row>
    <row r="723" spans="1:2" x14ac:dyDescent="0.2">
      <c r="A723" t="s">
        <v>493</v>
      </c>
      <c r="B723" t="s">
        <v>2069</v>
      </c>
    </row>
    <row r="724" spans="1:2" x14ac:dyDescent="0.2">
      <c r="A724" t="s">
        <v>2214</v>
      </c>
      <c r="B724" t="s">
        <v>2069</v>
      </c>
    </row>
    <row r="725" spans="1:2" x14ac:dyDescent="0.2">
      <c r="A725" t="s">
        <v>151</v>
      </c>
      <c r="B725" t="s">
        <v>2069</v>
      </c>
    </row>
    <row r="726" spans="1:2" x14ac:dyDescent="0.2">
      <c r="A726" t="s">
        <v>530</v>
      </c>
      <c r="B726" t="s">
        <v>2069</v>
      </c>
    </row>
    <row r="727" spans="1:2" x14ac:dyDescent="0.2">
      <c r="A727" t="s">
        <v>2215</v>
      </c>
      <c r="B727" t="s">
        <v>2069</v>
      </c>
    </row>
    <row r="728" spans="1:2" x14ac:dyDescent="0.2">
      <c r="A728" t="s">
        <v>2216</v>
      </c>
      <c r="B728" t="s">
        <v>2069</v>
      </c>
    </row>
    <row r="729" spans="1:2" x14ac:dyDescent="0.2">
      <c r="A729" t="s">
        <v>2217</v>
      </c>
      <c r="B729" t="s">
        <v>2069</v>
      </c>
    </row>
    <row r="730" spans="1:2" x14ac:dyDescent="0.2">
      <c r="A730" t="s">
        <v>2218</v>
      </c>
      <c r="B730" t="s">
        <v>2069</v>
      </c>
    </row>
    <row r="731" spans="1:2" x14ac:dyDescent="0.2">
      <c r="A731" t="s">
        <v>727</v>
      </c>
      <c r="B731" t="s">
        <v>2069</v>
      </c>
    </row>
    <row r="732" spans="1:2" x14ac:dyDescent="0.2">
      <c r="A732" t="s">
        <v>264</v>
      </c>
      <c r="B732" t="s">
        <v>2069</v>
      </c>
    </row>
    <row r="733" spans="1:2" x14ac:dyDescent="0.2">
      <c r="A733" t="s">
        <v>261</v>
      </c>
      <c r="B733" t="s">
        <v>2069</v>
      </c>
    </row>
    <row r="734" spans="1:2" x14ac:dyDescent="0.2">
      <c r="A734" t="s">
        <v>249</v>
      </c>
      <c r="B734" t="s">
        <v>2069</v>
      </c>
    </row>
    <row r="735" spans="1:2" x14ac:dyDescent="0.2">
      <c r="A735" t="s">
        <v>2219</v>
      </c>
      <c r="B735" t="s">
        <v>2069</v>
      </c>
    </row>
    <row r="736" spans="1:2" x14ac:dyDescent="0.2">
      <c r="A736" t="s">
        <v>850</v>
      </c>
      <c r="B736" t="s">
        <v>2069</v>
      </c>
    </row>
    <row r="737" spans="1:2" x14ac:dyDescent="0.2">
      <c r="A737" t="s">
        <v>225</v>
      </c>
      <c r="B737" t="s">
        <v>2069</v>
      </c>
    </row>
    <row r="738" spans="1:2" x14ac:dyDescent="0.2">
      <c r="A738" t="s">
        <v>2220</v>
      </c>
      <c r="B738" t="s">
        <v>2069</v>
      </c>
    </row>
    <row r="739" spans="1:2" x14ac:dyDescent="0.2">
      <c r="A739" t="s">
        <v>2221</v>
      </c>
      <c r="B739" t="s">
        <v>2069</v>
      </c>
    </row>
    <row r="740" spans="1:2" x14ac:dyDescent="0.2">
      <c r="A740" t="s">
        <v>2187</v>
      </c>
      <c r="B740" t="s">
        <v>2069</v>
      </c>
    </row>
    <row r="741" spans="1:2" x14ac:dyDescent="0.2">
      <c r="A741" t="s">
        <v>1058</v>
      </c>
      <c r="B741" t="s">
        <v>2069</v>
      </c>
    </row>
    <row r="742" spans="1:2" x14ac:dyDescent="0.2">
      <c r="A742" t="s">
        <v>210</v>
      </c>
      <c r="B742" t="s">
        <v>2069</v>
      </c>
    </row>
    <row r="743" spans="1:2" x14ac:dyDescent="0.2">
      <c r="A743" t="s">
        <v>2222</v>
      </c>
      <c r="B743" t="s">
        <v>2069</v>
      </c>
    </row>
    <row r="744" spans="1:2" x14ac:dyDescent="0.2">
      <c r="A744" t="s">
        <v>2223</v>
      </c>
      <c r="B744" t="s">
        <v>2069</v>
      </c>
    </row>
    <row r="745" spans="1:2" x14ac:dyDescent="0.2">
      <c r="A745" t="s">
        <v>2224</v>
      </c>
      <c r="B745" t="s">
        <v>2069</v>
      </c>
    </row>
    <row r="746" spans="1:2" x14ac:dyDescent="0.2">
      <c r="A746" t="s">
        <v>1332</v>
      </c>
      <c r="B746" t="s">
        <v>2069</v>
      </c>
    </row>
    <row r="747" spans="1:2" x14ac:dyDescent="0.2">
      <c r="A747" t="s">
        <v>2225</v>
      </c>
      <c r="B747" t="s">
        <v>2069</v>
      </c>
    </row>
    <row r="748" spans="1:2" x14ac:dyDescent="0.2">
      <c r="A748" t="s">
        <v>1568</v>
      </c>
      <c r="B748" t="s">
        <v>2069</v>
      </c>
    </row>
    <row r="749" spans="1:2" x14ac:dyDescent="0.2">
      <c r="A749" t="s">
        <v>228</v>
      </c>
      <c r="B749" t="s">
        <v>2069</v>
      </c>
    </row>
    <row r="750" spans="1:2" x14ac:dyDescent="0.2">
      <c r="A750" t="s">
        <v>234</v>
      </c>
      <c r="B750" t="s">
        <v>2069</v>
      </c>
    </row>
    <row r="751" spans="1:2" x14ac:dyDescent="0.2">
      <c r="A751" t="s">
        <v>2226</v>
      </c>
      <c r="B751" t="s">
        <v>2069</v>
      </c>
    </row>
    <row r="752" spans="1:2" x14ac:dyDescent="0.2">
      <c r="A752" t="s">
        <v>2227</v>
      </c>
      <c r="B752" t="s">
        <v>2069</v>
      </c>
    </row>
    <row r="753" spans="1:2" x14ac:dyDescent="0.2">
      <c r="A753" t="s">
        <v>273</v>
      </c>
      <c r="B753" t="s">
        <v>2069</v>
      </c>
    </row>
    <row r="754" spans="1:2" x14ac:dyDescent="0.2">
      <c r="A754" t="s">
        <v>2228</v>
      </c>
      <c r="B754" t="s">
        <v>2069</v>
      </c>
    </row>
    <row r="755" spans="1:2" x14ac:dyDescent="0.2">
      <c r="A755" t="s">
        <v>1220</v>
      </c>
      <c r="B755" t="s">
        <v>2069</v>
      </c>
    </row>
    <row r="756" spans="1:2" x14ac:dyDescent="0.2">
      <c r="A756" t="s">
        <v>1520</v>
      </c>
      <c r="B756" t="s">
        <v>2069</v>
      </c>
    </row>
    <row r="757" spans="1:2" x14ac:dyDescent="0.2">
      <c r="A757" t="s">
        <v>1213</v>
      </c>
      <c r="B757" t="s">
        <v>2069</v>
      </c>
    </row>
    <row r="758" spans="1:2" x14ac:dyDescent="0.2">
      <c r="A758" t="s">
        <v>487</v>
      </c>
      <c r="B758" t="s">
        <v>2069</v>
      </c>
    </row>
    <row r="759" spans="1:2" x14ac:dyDescent="0.2">
      <c r="A759" t="s">
        <v>558</v>
      </c>
      <c r="B759" t="s">
        <v>2069</v>
      </c>
    </row>
    <row r="760" spans="1:2" x14ac:dyDescent="0.2">
      <c r="A760" t="s">
        <v>453</v>
      </c>
      <c r="B760" t="s">
        <v>2069</v>
      </c>
    </row>
    <row r="761" spans="1:2" x14ac:dyDescent="0.2">
      <c r="A761" t="s">
        <v>1579</v>
      </c>
      <c r="B761" t="s">
        <v>2069</v>
      </c>
    </row>
    <row r="762" spans="1:2" x14ac:dyDescent="0.2">
      <c r="A762" t="s">
        <v>464</v>
      </c>
      <c r="B762" t="s">
        <v>2069</v>
      </c>
    </row>
    <row r="763" spans="1:2" x14ac:dyDescent="0.2">
      <c r="A763" t="s">
        <v>471</v>
      </c>
      <c r="B763" t="s">
        <v>2069</v>
      </c>
    </row>
    <row r="764" spans="1:2" x14ac:dyDescent="0.2">
      <c r="A764" t="s">
        <v>912</v>
      </c>
      <c r="B764" t="s">
        <v>2069</v>
      </c>
    </row>
    <row r="765" spans="1:2" x14ac:dyDescent="0.2">
      <c r="A765" t="s">
        <v>1406</v>
      </c>
      <c r="B765" t="s">
        <v>2069</v>
      </c>
    </row>
    <row r="766" spans="1:2" x14ac:dyDescent="0.2">
      <c r="A766" t="s">
        <v>2229</v>
      </c>
      <c r="B766" t="s">
        <v>2069</v>
      </c>
    </row>
    <row r="767" spans="1:2" x14ac:dyDescent="0.2">
      <c r="A767" t="s">
        <v>1409</v>
      </c>
      <c r="B767" t="s">
        <v>2069</v>
      </c>
    </row>
    <row r="768" spans="1:2" x14ac:dyDescent="0.2">
      <c r="A768" t="s">
        <v>474</v>
      </c>
      <c r="B768" t="s">
        <v>2069</v>
      </c>
    </row>
    <row r="769" spans="1:2" x14ac:dyDescent="0.2">
      <c r="A769" t="s">
        <v>475</v>
      </c>
      <c r="B769" t="s">
        <v>2069</v>
      </c>
    </row>
    <row r="770" spans="1:2" x14ac:dyDescent="0.2">
      <c r="A770" t="s">
        <v>2230</v>
      </c>
      <c r="B770" t="s">
        <v>2069</v>
      </c>
    </row>
    <row r="771" spans="1:2" x14ac:dyDescent="0.2">
      <c r="A771" t="s">
        <v>2231</v>
      </c>
      <c r="B771" t="s">
        <v>2069</v>
      </c>
    </row>
    <row r="772" spans="1:2" x14ac:dyDescent="0.2">
      <c r="A772" t="s">
        <v>2232</v>
      </c>
      <c r="B772" t="s">
        <v>2069</v>
      </c>
    </row>
    <row r="773" spans="1:2" x14ac:dyDescent="0.2">
      <c r="A773" t="s">
        <v>2233</v>
      </c>
      <c r="B773" t="s">
        <v>2069</v>
      </c>
    </row>
    <row r="774" spans="1:2" x14ac:dyDescent="0.2">
      <c r="A774" t="s">
        <v>2234</v>
      </c>
      <c r="B774" t="s">
        <v>2069</v>
      </c>
    </row>
    <row r="775" spans="1:2" x14ac:dyDescent="0.2">
      <c r="A775" t="s">
        <v>2235</v>
      </c>
      <c r="B775" t="s">
        <v>2069</v>
      </c>
    </row>
    <row r="776" spans="1:2" x14ac:dyDescent="0.2">
      <c r="A776" t="s">
        <v>2236</v>
      </c>
      <c r="B776" t="s">
        <v>2069</v>
      </c>
    </row>
    <row r="777" spans="1:2" x14ac:dyDescent="0.2">
      <c r="A777" t="s">
        <v>1599</v>
      </c>
      <c r="B777" t="s">
        <v>2069</v>
      </c>
    </row>
    <row r="778" spans="1:2" x14ac:dyDescent="0.2">
      <c r="A778" t="s">
        <v>2237</v>
      </c>
      <c r="B778" t="s">
        <v>2069</v>
      </c>
    </row>
    <row r="779" spans="1:2" x14ac:dyDescent="0.2">
      <c r="A779" t="s">
        <v>1418</v>
      </c>
      <c r="B779" t="s">
        <v>2069</v>
      </c>
    </row>
    <row r="780" spans="1:2" x14ac:dyDescent="0.2">
      <c r="A780" t="s">
        <v>2238</v>
      </c>
      <c r="B780" t="s">
        <v>2069</v>
      </c>
    </row>
    <row r="781" spans="1:2" x14ac:dyDescent="0.2">
      <c r="A781" t="s">
        <v>2239</v>
      </c>
      <c r="B781" t="s">
        <v>2069</v>
      </c>
    </row>
    <row r="782" spans="1:2" x14ac:dyDescent="0.2">
      <c r="A782" t="s">
        <v>2101</v>
      </c>
      <c r="B782" t="s">
        <v>2069</v>
      </c>
    </row>
    <row r="783" spans="1:2" x14ac:dyDescent="0.2">
      <c r="A783" t="s">
        <v>1281</v>
      </c>
      <c r="B783" t="s">
        <v>2069</v>
      </c>
    </row>
    <row r="784" spans="1:2" x14ac:dyDescent="0.2">
      <c r="A784" t="s">
        <v>2240</v>
      </c>
      <c r="B784" t="s">
        <v>2069</v>
      </c>
    </row>
    <row r="785" spans="1:2" x14ac:dyDescent="0.2">
      <c r="A785" t="s">
        <v>1265</v>
      </c>
      <c r="B785" t="s">
        <v>2069</v>
      </c>
    </row>
    <row r="786" spans="1:2" x14ac:dyDescent="0.2">
      <c r="A786" t="s">
        <v>1314</v>
      </c>
      <c r="B786" t="s">
        <v>2069</v>
      </c>
    </row>
    <row r="787" spans="1:2" x14ac:dyDescent="0.2">
      <c r="A787" t="s">
        <v>696</v>
      </c>
      <c r="B787" t="s">
        <v>2069</v>
      </c>
    </row>
    <row r="788" spans="1:2" x14ac:dyDescent="0.2">
      <c r="A788" t="s">
        <v>1397</v>
      </c>
      <c r="B788" t="s">
        <v>2069</v>
      </c>
    </row>
    <row r="789" spans="1:2" x14ac:dyDescent="0.2">
      <c r="A789" t="s">
        <v>1371</v>
      </c>
      <c r="B789" t="s">
        <v>2069</v>
      </c>
    </row>
    <row r="790" spans="1:2" x14ac:dyDescent="0.2">
      <c r="A790" t="s">
        <v>2241</v>
      </c>
      <c r="B790" t="s">
        <v>2069</v>
      </c>
    </row>
    <row r="791" spans="1:2" x14ac:dyDescent="0.2">
      <c r="A791" t="s">
        <v>2242</v>
      </c>
      <c r="B791" t="s">
        <v>2069</v>
      </c>
    </row>
    <row r="792" spans="1:2" x14ac:dyDescent="0.2">
      <c r="A792" t="s">
        <v>588</v>
      </c>
      <c r="B792" t="s">
        <v>2069</v>
      </c>
    </row>
    <row r="793" spans="1:2" x14ac:dyDescent="0.2">
      <c r="A793" t="s">
        <v>1380</v>
      </c>
      <c r="B793" t="s">
        <v>2069</v>
      </c>
    </row>
    <row r="794" spans="1:2" x14ac:dyDescent="0.2">
      <c r="A794" t="s">
        <v>1558</v>
      </c>
      <c r="B794" t="s">
        <v>2069</v>
      </c>
    </row>
    <row r="795" spans="1:2" x14ac:dyDescent="0.2">
      <c r="A795" t="s">
        <v>1362</v>
      </c>
      <c r="B795" t="s">
        <v>2069</v>
      </c>
    </row>
    <row r="796" spans="1:2" x14ac:dyDescent="0.2">
      <c r="A796" t="s">
        <v>2243</v>
      </c>
      <c r="B796" t="s">
        <v>2069</v>
      </c>
    </row>
    <row r="797" spans="1:2" x14ac:dyDescent="0.2">
      <c r="A797" t="s">
        <v>2244</v>
      </c>
      <c r="B797" t="s">
        <v>2069</v>
      </c>
    </row>
    <row r="798" spans="1:2" x14ac:dyDescent="0.2">
      <c r="A798" t="s">
        <v>2245</v>
      </c>
      <c r="B798" t="s">
        <v>2069</v>
      </c>
    </row>
    <row r="799" spans="1:2" x14ac:dyDescent="0.2">
      <c r="A799" t="s">
        <v>2246</v>
      </c>
      <c r="B799" t="s">
        <v>2069</v>
      </c>
    </row>
    <row r="800" spans="1:2" x14ac:dyDescent="0.2">
      <c r="A800" t="s">
        <v>2247</v>
      </c>
      <c r="B800" t="s">
        <v>2069</v>
      </c>
    </row>
    <row r="801" spans="1:2" x14ac:dyDescent="0.2">
      <c r="A801" t="s">
        <v>2248</v>
      </c>
      <c r="B801" t="s">
        <v>2069</v>
      </c>
    </row>
    <row r="802" spans="1:2" x14ac:dyDescent="0.2">
      <c r="A802" t="s">
        <v>2249</v>
      </c>
      <c r="B802" t="s">
        <v>2069</v>
      </c>
    </row>
    <row r="803" spans="1:2" x14ac:dyDescent="0.2">
      <c r="A803" t="s">
        <v>2250</v>
      </c>
      <c r="B803" t="s">
        <v>2069</v>
      </c>
    </row>
    <row r="804" spans="1:2" x14ac:dyDescent="0.2">
      <c r="A804" t="s">
        <v>2251</v>
      </c>
      <c r="B804" t="s">
        <v>2069</v>
      </c>
    </row>
    <row r="805" spans="1:2" x14ac:dyDescent="0.2">
      <c r="A805" t="s">
        <v>561</v>
      </c>
      <c r="B805" t="s">
        <v>2069</v>
      </c>
    </row>
    <row r="806" spans="1:2" x14ac:dyDescent="0.2">
      <c r="A806" t="s">
        <v>276</v>
      </c>
      <c r="B806" t="s">
        <v>2069</v>
      </c>
    </row>
    <row r="807" spans="1:2" x14ac:dyDescent="0.2">
      <c r="A807" t="s">
        <v>1355</v>
      </c>
      <c r="B807" t="s">
        <v>2069</v>
      </c>
    </row>
    <row r="808" spans="1:2" x14ac:dyDescent="0.2">
      <c r="A808" t="s">
        <v>1590</v>
      </c>
      <c r="B808" t="s">
        <v>2069</v>
      </c>
    </row>
    <row r="809" spans="1:2" x14ac:dyDescent="0.2">
      <c r="A809" t="s">
        <v>2252</v>
      </c>
      <c r="B809" t="s">
        <v>2069</v>
      </c>
    </row>
    <row r="810" spans="1:2" x14ac:dyDescent="0.2">
      <c r="A810" t="s">
        <v>2253</v>
      </c>
      <c r="B810" t="s">
        <v>2069</v>
      </c>
    </row>
    <row r="811" spans="1:2" x14ac:dyDescent="0.2">
      <c r="A811" t="s">
        <v>1565</v>
      </c>
      <c r="B811" t="s">
        <v>2069</v>
      </c>
    </row>
    <row r="812" spans="1:2" x14ac:dyDescent="0.2">
      <c r="A812" t="s">
        <v>2254</v>
      </c>
      <c r="B812" t="s">
        <v>2069</v>
      </c>
    </row>
    <row r="813" spans="1:2" x14ac:dyDescent="0.2">
      <c r="A813" t="s">
        <v>2255</v>
      </c>
      <c r="B813" t="s">
        <v>2069</v>
      </c>
    </row>
    <row r="814" spans="1:2" x14ac:dyDescent="0.2">
      <c r="A814" t="s">
        <v>1821</v>
      </c>
      <c r="B814" t="s">
        <v>2069</v>
      </c>
    </row>
    <row r="815" spans="1:2" x14ac:dyDescent="0.2">
      <c r="A815" t="s">
        <v>2256</v>
      </c>
      <c r="B815" t="s">
        <v>2069</v>
      </c>
    </row>
    <row r="816" spans="1:2" x14ac:dyDescent="0.2">
      <c r="A816" t="s">
        <v>2257</v>
      </c>
      <c r="B816" t="s">
        <v>2069</v>
      </c>
    </row>
    <row r="817" spans="1:2" x14ac:dyDescent="0.2">
      <c r="A817" t="s">
        <v>2258</v>
      </c>
      <c r="B817" t="s">
        <v>2069</v>
      </c>
    </row>
    <row r="818" spans="1:2" x14ac:dyDescent="0.2">
      <c r="A818" t="s">
        <v>2259</v>
      </c>
      <c r="B818" t="s">
        <v>2069</v>
      </c>
    </row>
    <row r="819" spans="1:2" x14ac:dyDescent="0.2">
      <c r="A819" t="s">
        <v>2260</v>
      </c>
      <c r="B819" t="s">
        <v>2069</v>
      </c>
    </row>
    <row r="820" spans="1:2" x14ac:dyDescent="0.2">
      <c r="A820" t="s">
        <v>2261</v>
      </c>
      <c r="B820" t="s">
        <v>2069</v>
      </c>
    </row>
    <row r="821" spans="1:2" x14ac:dyDescent="0.2">
      <c r="A821" t="s">
        <v>2262</v>
      </c>
      <c r="B821" t="s">
        <v>2069</v>
      </c>
    </row>
    <row r="822" spans="1:2" x14ac:dyDescent="0.2">
      <c r="A822" t="s">
        <v>2263</v>
      </c>
      <c r="B822" t="s">
        <v>2069</v>
      </c>
    </row>
    <row r="823" spans="1:2" x14ac:dyDescent="0.2">
      <c r="A823" t="s">
        <v>2264</v>
      </c>
      <c r="B823" t="s">
        <v>2069</v>
      </c>
    </row>
    <row r="824" spans="1:2" x14ac:dyDescent="0.2">
      <c r="A824" t="s">
        <v>2265</v>
      </c>
      <c r="B824" t="s">
        <v>2069</v>
      </c>
    </row>
    <row r="825" spans="1:2" x14ac:dyDescent="0.2">
      <c r="A825" t="s">
        <v>1028</v>
      </c>
      <c r="B825" t="s">
        <v>2069</v>
      </c>
    </row>
    <row r="826" spans="1:2" x14ac:dyDescent="0.2">
      <c r="A826" t="s">
        <v>2266</v>
      </c>
      <c r="B826" t="s">
        <v>2069</v>
      </c>
    </row>
    <row r="827" spans="1:2" x14ac:dyDescent="0.2">
      <c r="A827" t="s">
        <v>2267</v>
      </c>
      <c r="B827" t="s">
        <v>2069</v>
      </c>
    </row>
    <row r="828" spans="1:2" x14ac:dyDescent="0.2">
      <c r="A828" t="s">
        <v>2268</v>
      </c>
      <c r="B828" t="s">
        <v>2069</v>
      </c>
    </row>
    <row r="829" spans="1:2" x14ac:dyDescent="0.2">
      <c r="A829" t="s">
        <v>2113</v>
      </c>
      <c r="B829" t="s">
        <v>2069</v>
      </c>
    </row>
    <row r="830" spans="1:2" x14ac:dyDescent="0.2">
      <c r="A830" t="s">
        <v>1329</v>
      </c>
      <c r="B830" t="s">
        <v>2069</v>
      </c>
    </row>
    <row r="831" spans="1:2" x14ac:dyDescent="0.2">
      <c r="A831" t="s">
        <v>2269</v>
      </c>
      <c r="B831" t="s">
        <v>2069</v>
      </c>
    </row>
    <row r="832" spans="1:2" x14ac:dyDescent="0.2">
      <c r="A832" t="s">
        <v>2270</v>
      </c>
      <c r="B832" t="s">
        <v>2069</v>
      </c>
    </row>
    <row r="833" spans="1:2" x14ac:dyDescent="0.2">
      <c r="A833" t="s">
        <v>984</v>
      </c>
      <c r="B833" t="s">
        <v>2069</v>
      </c>
    </row>
    <row r="834" spans="1:2" x14ac:dyDescent="0.2">
      <c r="A834" t="s">
        <v>651</v>
      </c>
      <c r="B834" t="s">
        <v>2069</v>
      </c>
    </row>
    <row r="835" spans="1:2" x14ac:dyDescent="0.2">
      <c r="A835" t="s">
        <v>672</v>
      </c>
      <c r="B835" t="s">
        <v>2069</v>
      </c>
    </row>
    <row r="836" spans="1:2" x14ac:dyDescent="0.2">
      <c r="A836" t="s">
        <v>858</v>
      </c>
      <c r="B836" t="s">
        <v>2069</v>
      </c>
    </row>
    <row r="837" spans="1:2" x14ac:dyDescent="0.2">
      <c r="A837" t="s">
        <v>861</v>
      </c>
      <c r="B837" t="s">
        <v>2069</v>
      </c>
    </row>
    <row r="838" spans="1:2" x14ac:dyDescent="0.2">
      <c r="A838" t="s">
        <v>1504</v>
      </c>
      <c r="B838" t="s">
        <v>2069</v>
      </c>
    </row>
    <row r="839" spans="1:2" x14ac:dyDescent="0.2">
      <c r="A839" t="s">
        <v>2271</v>
      </c>
      <c r="B839" t="s">
        <v>2069</v>
      </c>
    </row>
    <row r="840" spans="1:2" x14ac:dyDescent="0.2">
      <c r="A840" t="s">
        <v>544</v>
      </c>
      <c r="B840" t="s">
        <v>2069</v>
      </c>
    </row>
    <row r="841" spans="1:2" x14ac:dyDescent="0.2">
      <c r="A841" t="s">
        <v>555</v>
      </c>
      <c r="B841" t="s">
        <v>2069</v>
      </c>
    </row>
    <row r="842" spans="1:2" x14ac:dyDescent="0.2">
      <c r="A842" t="s">
        <v>457</v>
      </c>
      <c r="B842" t="s">
        <v>2069</v>
      </c>
    </row>
    <row r="843" spans="1:2" x14ac:dyDescent="0.2">
      <c r="A843" t="s">
        <v>500</v>
      </c>
      <c r="B843" t="s">
        <v>2069</v>
      </c>
    </row>
    <row r="844" spans="1:2" x14ac:dyDescent="0.2">
      <c r="A844" t="s">
        <v>509</v>
      </c>
      <c r="B844" t="s">
        <v>2069</v>
      </c>
    </row>
    <row r="845" spans="1:2" x14ac:dyDescent="0.2">
      <c r="A845" t="s">
        <v>564</v>
      </c>
      <c r="B845" t="s">
        <v>2069</v>
      </c>
    </row>
    <row r="846" spans="1:2" x14ac:dyDescent="0.2">
      <c r="A846" t="s">
        <v>567</v>
      </c>
      <c r="B846" t="s">
        <v>2069</v>
      </c>
    </row>
    <row r="847" spans="1:2" x14ac:dyDescent="0.2">
      <c r="A847" t="s">
        <v>594</v>
      </c>
      <c r="B847" t="s">
        <v>2069</v>
      </c>
    </row>
    <row r="848" spans="1:2" x14ac:dyDescent="0.2">
      <c r="A848" t="s">
        <v>615</v>
      </c>
      <c r="B848" t="s">
        <v>2069</v>
      </c>
    </row>
    <row r="849" spans="1:2" x14ac:dyDescent="0.2">
      <c r="A849" t="s">
        <v>632</v>
      </c>
      <c r="B849" t="s">
        <v>2069</v>
      </c>
    </row>
    <row r="850" spans="1:2" x14ac:dyDescent="0.2">
      <c r="A850" t="s">
        <v>635</v>
      </c>
      <c r="B850" t="s">
        <v>2069</v>
      </c>
    </row>
    <row r="851" spans="1:2" x14ac:dyDescent="0.2">
      <c r="A851" t="s">
        <v>643</v>
      </c>
      <c r="B851" t="s">
        <v>2069</v>
      </c>
    </row>
    <row r="852" spans="1:2" x14ac:dyDescent="0.2">
      <c r="A852" t="s">
        <v>657</v>
      </c>
      <c r="B852" t="s">
        <v>2069</v>
      </c>
    </row>
    <row r="853" spans="1:2" x14ac:dyDescent="0.2">
      <c r="A853" t="s">
        <v>690</v>
      </c>
      <c r="B853" t="s">
        <v>2069</v>
      </c>
    </row>
    <row r="854" spans="1:2" x14ac:dyDescent="0.2">
      <c r="A854" t="s">
        <v>1200</v>
      </c>
      <c r="B854" t="s">
        <v>2069</v>
      </c>
    </row>
    <row r="855" spans="1:2" x14ac:dyDescent="0.2">
      <c r="A855" t="s">
        <v>397</v>
      </c>
      <c r="B855" t="s">
        <v>2069</v>
      </c>
    </row>
    <row r="856" spans="1:2" x14ac:dyDescent="0.2">
      <c r="A856" t="s">
        <v>1187</v>
      </c>
      <c r="B856" t="s">
        <v>2069</v>
      </c>
    </row>
    <row r="857" spans="1:2" x14ac:dyDescent="0.2">
      <c r="A857" t="s">
        <v>1129</v>
      </c>
      <c r="B857" t="s">
        <v>2069</v>
      </c>
    </row>
    <row r="858" spans="1:2" x14ac:dyDescent="0.2">
      <c r="A858" t="s">
        <v>106</v>
      </c>
      <c r="B858" t="s">
        <v>2069</v>
      </c>
    </row>
    <row r="859" spans="1:2" x14ac:dyDescent="0.2">
      <c r="A859" t="s">
        <v>2272</v>
      </c>
      <c r="B859" t="s">
        <v>2069</v>
      </c>
    </row>
    <row r="860" spans="1:2" x14ac:dyDescent="0.2">
      <c r="A860" t="s">
        <v>117</v>
      </c>
      <c r="B860" t="s">
        <v>2069</v>
      </c>
    </row>
    <row r="861" spans="1:2" x14ac:dyDescent="0.2">
      <c r="A861" t="s">
        <v>119</v>
      </c>
      <c r="B861" t="s">
        <v>2069</v>
      </c>
    </row>
    <row r="862" spans="1:2" x14ac:dyDescent="0.2">
      <c r="A862" t="s">
        <v>133</v>
      </c>
      <c r="B862" t="s">
        <v>2069</v>
      </c>
    </row>
    <row r="863" spans="1:2" x14ac:dyDescent="0.2">
      <c r="A863" t="s">
        <v>136</v>
      </c>
      <c r="B863" t="s">
        <v>2069</v>
      </c>
    </row>
    <row r="864" spans="1:2" x14ac:dyDescent="0.2">
      <c r="A864" t="s">
        <v>1020</v>
      </c>
      <c r="B864" t="s">
        <v>2069</v>
      </c>
    </row>
    <row r="865" spans="1:2" x14ac:dyDescent="0.2">
      <c r="A865" t="s">
        <v>1645</v>
      </c>
      <c r="B865" t="s">
        <v>2069</v>
      </c>
    </row>
    <row r="866" spans="1:2" x14ac:dyDescent="0.2">
      <c r="A866" t="s">
        <v>170</v>
      </c>
      <c r="B866" t="s">
        <v>2069</v>
      </c>
    </row>
    <row r="867" spans="1:2" x14ac:dyDescent="0.2">
      <c r="A867" t="s">
        <v>1636</v>
      </c>
      <c r="B867" t="s">
        <v>2069</v>
      </c>
    </row>
    <row r="868" spans="1:2" x14ac:dyDescent="0.2">
      <c r="A868" t="s">
        <v>1596</v>
      </c>
      <c r="B868" t="s">
        <v>2069</v>
      </c>
    </row>
    <row r="869" spans="1:2" x14ac:dyDescent="0.2">
      <c r="A869" t="s">
        <v>243</v>
      </c>
      <c r="B869" t="s">
        <v>2069</v>
      </c>
    </row>
    <row r="870" spans="1:2" x14ac:dyDescent="0.2">
      <c r="A870" t="s">
        <v>246</v>
      </c>
      <c r="B870" t="s">
        <v>2069</v>
      </c>
    </row>
    <row r="871" spans="1:2" x14ac:dyDescent="0.2">
      <c r="A871" t="s">
        <v>1113</v>
      </c>
      <c r="B871" t="s">
        <v>2069</v>
      </c>
    </row>
    <row r="872" spans="1:2" x14ac:dyDescent="0.2">
      <c r="A872" t="s">
        <v>2273</v>
      </c>
      <c r="B872" t="s">
        <v>2069</v>
      </c>
    </row>
    <row r="873" spans="1:2" x14ac:dyDescent="0.2">
      <c r="A873" t="s">
        <v>1119</v>
      </c>
      <c r="B873" t="s">
        <v>2069</v>
      </c>
    </row>
    <row r="874" spans="1:2" x14ac:dyDescent="0.2">
      <c r="A874" t="s">
        <v>279</v>
      </c>
      <c r="B874" t="s">
        <v>2069</v>
      </c>
    </row>
    <row r="875" spans="1:2" x14ac:dyDescent="0.2">
      <c r="A875" t="s">
        <v>282</v>
      </c>
      <c r="B875" t="s">
        <v>2069</v>
      </c>
    </row>
    <row r="876" spans="1:2" x14ac:dyDescent="0.2">
      <c r="A876" t="s">
        <v>867</v>
      </c>
      <c r="B876" t="s">
        <v>2069</v>
      </c>
    </row>
    <row r="877" spans="1:2" x14ac:dyDescent="0.2">
      <c r="A877" t="s">
        <v>1142</v>
      </c>
      <c r="B877" t="s">
        <v>2069</v>
      </c>
    </row>
    <row r="878" spans="1:2" x14ac:dyDescent="0.2">
      <c r="A878" t="s">
        <v>1145</v>
      </c>
      <c r="B878" t="s">
        <v>2069</v>
      </c>
    </row>
    <row r="879" spans="1:2" x14ac:dyDescent="0.2">
      <c r="A879" t="s">
        <v>1148</v>
      </c>
      <c r="B879" t="s">
        <v>2069</v>
      </c>
    </row>
    <row r="880" spans="1:2" x14ac:dyDescent="0.2">
      <c r="A880" t="s">
        <v>1151</v>
      </c>
      <c r="B880" t="s">
        <v>2069</v>
      </c>
    </row>
    <row r="881" spans="1:2" x14ac:dyDescent="0.2">
      <c r="A881" t="s">
        <v>292</v>
      </c>
      <c r="B881" t="s">
        <v>2069</v>
      </c>
    </row>
    <row r="882" spans="1:2" x14ac:dyDescent="0.2">
      <c r="A882" t="s">
        <v>1156</v>
      </c>
      <c r="B882" t="s">
        <v>2069</v>
      </c>
    </row>
    <row r="883" spans="1:2" x14ac:dyDescent="0.2">
      <c r="A883" t="s">
        <v>1159</v>
      </c>
      <c r="B883" t="s">
        <v>2069</v>
      </c>
    </row>
    <row r="884" spans="1:2" x14ac:dyDescent="0.2">
      <c r="A884" t="s">
        <v>295</v>
      </c>
      <c r="B884" t="s">
        <v>2069</v>
      </c>
    </row>
    <row r="885" spans="1:2" x14ac:dyDescent="0.2">
      <c r="A885" t="s">
        <v>258</v>
      </c>
      <c r="B885" t="s">
        <v>2069</v>
      </c>
    </row>
    <row r="886" spans="1:2" x14ac:dyDescent="0.2">
      <c r="A886" t="s">
        <v>1168</v>
      </c>
      <c r="B886" t="s">
        <v>2069</v>
      </c>
    </row>
    <row r="887" spans="1:2" x14ac:dyDescent="0.2">
      <c r="A887" t="s">
        <v>781</v>
      </c>
      <c r="B887" t="s">
        <v>2069</v>
      </c>
    </row>
    <row r="888" spans="1:2" x14ac:dyDescent="0.2">
      <c r="A888" t="s">
        <v>1232</v>
      </c>
      <c r="B888" t="s">
        <v>2069</v>
      </c>
    </row>
    <row r="889" spans="1:2" x14ac:dyDescent="0.2">
      <c r="A889" t="s">
        <v>2274</v>
      </c>
      <c r="B889" t="s">
        <v>2069</v>
      </c>
    </row>
    <row r="890" spans="1:2" x14ac:dyDescent="0.2">
      <c r="A890" t="s">
        <v>411</v>
      </c>
      <c r="B890" t="s">
        <v>2069</v>
      </c>
    </row>
    <row r="891" spans="1:2" x14ac:dyDescent="0.2">
      <c r="A891" t="s">
        <v>1540</v>
      </c>
      <c r="B891" t="s">
        <v>2069</v>
      </c>
    </row>
    <row r="892" spans="1:2" x14ac:dyDescent="0.2">
      <c r="A892" t="s">
        <v>443</v>
      </c>
      <c r="B892" t="s">
        <v>2069</v>
      </c>
    </row>
    <row r="893" spans="1:2" x14ac:dyDescent="0.2">
      <c r="A893" t="s">
        <v>1488</v>
      </c>
      <c r="B893" t="s">
        <v>2069</v>
      </c>
    </row>
    <row r="894" spans="1:2" x14ac:dyDescent="0.2">
      <c r="A894" t="s">
        <v>1629</v>
      </c>
      <c r="B894" t="s">
        <v>2069</v>
      </c>
    </row>
    <row r="895" spans="1:2" x14ac:dyDescent="0.2">
      <c r="A895" t="s">
        <v>172</v>
      </c>
      <c r="B895" t="s">
        <v>2069</v>
      </c>
    </row>
    <row r="896" spans="1:2" x14ac:dyDescent="0.2">
      <c r="A896" t="s">
        <v>187</v>
      </c>
      <c r="B896" t="s">
        <v>2069</v>
      </c>
    </row>
    <row r="897" spans="1:2" x14ac:dyDescent="0.2">
      <c r="A897" t="s">
        <v>190</v>
      </c>
      <c r="B897" t="s">
        <v>2069</v>
      </c>
    </row>
    <row r="898" spans="1:2" x14ac:dyDescent="0.2">
      <c r="A898" t="s">
        <v>2275</v>
      </c>
      <c r="B898" t="s">
        <v>2069</v>
      </c>
    </row>
    <row r="899" spans="1:2" x14ac:dyDescent="0.2">
      <c r="A899" t="s">
        <v>2276</v>
      </c>
      <c r="B899" t="s">
        <v>2069</v>
      </c>
    </row>
    <row r="900" spans="1:2" x14ac:dyDescent="0.2">
      <c r="A900" t="s">
        <v>2277</v>
      </c>
      <c r="B900" t="s">
        <v>2069</v>
      </c>
    </row>
    <row r="901" spans="1:2" x14ac:dyDescent="0.2">
      <c r="A901" t="s">
        <v>2278</v>
      </c>
      <c r="B901" t="s">
        <v>2069</v>
      </c>
    </row>
    <row r="902" spans="1:2" x14ac:dyDescent="0.2">
      <c r="A902" t="s">
        <v>2279</v>
      </c>
      <c r="B902" t="s">
        <v>2069</v>
      </c>
    </row>
    <row r="903" spans="1:2" x14ac:dyDescent="0.2">
      <c r="A903" t="s">
        <v>2280</v>
      </c>
      <c r="B903" t="s">
        <v>2069</v>
      </c>
    </row>
    <row r="904" spans="1:2" x14ac:dyDescent="0.2">
      <c r="A904" t="s">
        <v>1217</v>
      </c>
      <c r="B904" t="s">
        <v>2069</v>
      </c>
    </row>
    <row r="905" spans="1:2" x14ac:dyDescent="0.2">
      <c r="A905" t="s">
        <v>2281</v>
      </c>
      <c r="B905" t="s">
        <v>2069</v>
      </c>
    </row>
    <row r="906" spans="1:2" x14ac:dyDescent="0.2">
      <c r="A906" t="s">
        <v>1238</v>
      </c>
      <c r="B906" t="s">
        <v>2069</v>
      </c>
    </row>
    <row r="907" spans="1:2" x14ac:dyDescent="0.2">
      <c r="A907" t="s">
        <v>1421</v>
      </c>
      <c r="B907" t="s">
        <v>2069</v>
      </c>
    </row>
    <row r="908" spans="1:2" x14ac:dyDescent="0.2">
      <c r="A908" t="s">
        <v>2282</v>
      </c>
      <c r="B908" t="s">
        <v>2069</v>
      </c>
    </row>
    <row r="909" spans="1:2" x14ac:dyDescent="0.2">
      <c r="A909" t="s">
        <v>2283</v>
      </c>
      <c r="B909" t="s">
        <v>2069</v>
      </c>
    </row>
    <row r="910" spans="1:2" x14ac:dyDescent="0.2">
      <c r="A910" t="s">
        <v>1678</v>
      </c>
      <c r="B910" t="s">
        <v>2069</v>
      </c>
    </row>
    <row r="911" spans="1:2" x14ac:dyDescent="0.2">
      <c r="A911" t="s">
        <v>778</v>
      </c>
      <c r="B911" t="s">
        <v>2069</v>
      </c>
    </row>
    <row r="912" spans="1:2" x14ac:dyDescent="0.2">
      <c r="A912" t="s">
        <v>2284</v>
      </c>
      <c r="B912" t="s">
        <v>2069</v>
      </c>
    </row>
    <row r="913" spans="1:2" x14ac:dyDescent="0.2">
      <c r="A913" t="s">
        <v>805</v>
      </c>
      <c r="B913" t="s">
        <v>2069</v>
      </c>
    </row>
    <row r="914" spans="1:2" x14ac:dyDescent="0.2">
      <c r="A914" t="s">
        <v>817</v>
      </c>
      <c r="B914" t="s">
        <v>2069</v>
      </c>
    </row>
    <row r="915" spans="1:2" x14ac:dyDescent="0.2">
      <c r="A915" t="s">
        <v>841</v>
      </c>
      <c r="B915" t="s">
        <v>2069</v>
      </c>
    </row>
    <row r="916" spans="1:2" x14ac:dyDescent="0.2">
      <c r="A916" t="s">
        <v>864</v>
      </c>
      <c r="B916" t="s">
        <v>2069</v>
      </c>
    </row>
    <row r="917" spans="1:2" x14ac:dyDescent="0.2">
      <c r="A917" t="s">
        <v>2285</v>
      </c>
      <c r="B917" t="s">
        <v>2069</v>
      </c>
    </row>
    <row r="918" spans="1:2" x14ac:dyDescent="0.2">
      <c r="A918" t="s">
        <v>327</v>
      </c>
      <c r="B918" t="s">
        <v>2069</v>
      </c>
    </row>
    <row r="919" spans="1:2" x14ac:dyDescent="0.2">
      <c r="A919" t="s">
        <v>2286</v>
      </c>
      <c r="B919" t="s">
        <v>2069</v>
      </c>
    </row>
    <row r="920" spans="1:2" x14ac:dyDescent="0.2">
      <c r="A920" t="s">
        <v>2287</v>
      </c>
      <c r="B920" t="s">
        <v>2069</v>
      </c>
    </row>
    <row r="921" spans="1:2" x14ac:dyDescent="0.2">
      <c r="A921" t="s">
        <v>340</v>
      </c>
      <c r="B921" t="s">
        <v>2069</v>
      </c>
    </row>
    <row r="922" spans="1:2" x14ac:dyDescent="0.2">
      <c r="A922" t="s">
        <v>2131</v>
      </c>
      <c r="B922" t="s">
        <v>2069</v>
      </c>
    </row>
    <row r="923" spans="1:2" x14ac:dyDescent="0.2">
      <c r="A923" t="s">
        <v>2288</v>
      </c>
      <c r="B923" t="s">
        <v>2069</v>
      </c>
    </row>
    <row r="924" spans="1:2" x14ac:dyDescent="0.2">
      <c r="A924" t="s">
        <v>2289</v>
      </c>
      <c r="B924" t="s">
        <v>2069</v>
      </c>
    </row>
    <row r="925" spans="1:2" x14ac:dyDescent="0.2">
      <c r="A925" t="s">
        <v>2290</v>
      </c>
      <c r="B925" t="s">
        <v>2069</v>
      </c>
    </row>
    <row r="926" spans="1:2" x14ac:dyDescent="0.2">
      <c r="A926" t="s">
        <v>2291</v>
      </c>
      <c r="B926" t="s">
        <v>2069</v>
      </c>
    </row>
    <row r="927" spans="1:2" x14ac:dyDescent="0.2">
      <c r="A927" t="s">
        <v>1066</v>
      </c>
      <c r="B927" t="s">
        <v>2069</v>
      </c>
    </row>
    <row r="928" spans="1:2" x14ac:dyDescent="0.2">
      <c r="A928" t="s">
        <v>196</v>
      </c>
      <c r="B928" t="s">
        <v>2069</v>
      </c>
    </row>
    <row r="929" spans="1:2" x14ac:dyDescent="0.2">
      <c r="A929" t="s">
        <v>219</v>
      </c>
      <c r="B929" t="s">
        <v>2069</v>
      </c>
    </row>
    <row r="930" spans="1:2" x14ac:dyDescent="0.2">
      <c r="A930" t="s">
        <v>222</v>
      </c>
      <c r="B930" t="s">
        <v>2069</v>
      </c>
    </row>
    <row r="931" spans="1:2" x14ac:dyDescent="0.2">
      <c r="A931" t="s">
        <v>270</v>
      </c>
      <c r="B931" t="s">
        <v>2069</v>
      </c>
    </row>
    <row r="932" spans="1:2" x14ac:dyDescent="0.2">
      <c r="A932" t="s">
        <v>285</v>
      </c>
      <c r="B932" t="s">
        <v>2069</v>
      </c>
    </row>
    <row r="933" spans="1:2" x14ac:dyDescent="0.2">
      <c r="A933" t="s">
        <v>287</v>
      </c>
      <c r="B933" t="s">
        <v>2069</v>
      </c>
    </row>
    <row r="934" spans="1:2" x14ac:dyDescent="0.2">
      <c r="A934" t="s">
        <v>290</v>
      </c>
      <c r="B934" t="s">
        <v>2069</v>
      </c>
    </row>
    <row r="935" spans="1:2" x14ac:dyDescent="0.2">
      <c r="A935" t="s">
        <v>1135</v>
      </c>
      <c r="B935" t="s">
        <v>2069</v>
      </c>
    </row>
    <row r="936" spans="1:2" x14ac:dyDescent="0.2">
      <c r="A936" t="s">
        <v>1153</v>
      </c>
      <c r="B936" t="s">
        <v>2069</v>
      </c>
    </row>
    <row r="937" spans="1:2" x14ac:dyDescent="0.2">
      <c r="A937" t="s">
        <v>640</v>
      </c>
      <c r="B937" t="s">
        <v>2069</v>
      </c>
    </row>
    <row r="938" spans="1:2" x14ac:dyDescent="0.2">
      <c r="A938" t="s">
        <v>1123</v>
      </c>
      <c r="B938" t="s">
        <v>2069</v>
      </c>
    </row>
    <row r="939" spans="1:2" x14ac:dyDescent="0.2">
      <c r="A939" t="s">
        <v>1107</v>
      </c>
      <c r="B939" t="s">
        <v>2069</v>
      </c>
    </row>
    <row r="940" spans="1:2" x14ac:dyDescent="0.2">
      <c r="A940" t="s">
        <v>1126</v>
      </c>
      <c r="B940" t="s">
        <v>2069</v>
      </c>
    </row>
    <row r="941" spans="1:2" x14ac:dyDescent="0.2">
      <c r="A941" t="s">
        <v>97</v>
      </c>
      <c r="B941" t="s">
        <v>2069</v>
      </c>
    </row>
    <row r="942" spans="1:2" x14ac:dyDescent="0.2">
      <c r="A942" t="s">
        <v>2292</v>
      </c>
      <c r="B942" t="s">
        <v>2069</v>
      </c>
    </row>
    <row r="943" spans="1:2" x14ac:dyDescent="0.2">
      <c r="A943" t="s">
        <v>2293</v>
      </c>
      <c r="B943" t="s">
        <v>2069</v>
      </c>
    </row>
    <row r="944" spans="1:2" x14ac:dyDescent="0.2">
      <c r="A944" t="s">
        <v>526</v>
      </c>
      <c r="B944" t="s">
        <v>2069</v>
      </c>
    </row>
    <row r="945" spans="1:2" x14ac:dyDescent="0.2">
      <c r="A945" t="s">
        <v>2294</v>
      </c>
      <c r="B945" t="s">
        <v>2069</v>
      </c>
    </row>
    <row r="946" spans="1:2" x14ac:dyDescent="0.2">
      <c r="A946" t="s">
        <v>2295</v>
      </c>
      <c r="B946" t="s">
        <v>2069</v>
      </c>
    </row>
    <row r="947" spans="1:2" x14ac:dyDescent="0.2">
      <c r="A947" t="s">
        <v>2296</v>
      </c>
      <c r="B947" t="s">
        <v>2069</v>
      </c>
    </row>
    <row r="948" spans="1:2" x14ac:dyDescent="0.2">
      <c r="A948" t="s">
        <v>2297</v>
      </c>
      <c r="B948" t="s">
        <v>2069</v>
      </c>
    </row>
    <row r="949" spans="1:2" x14ac:dyDescent="0.2">
      <c r="A949" t="s">
        <v>2197</v>
      </c>
      <c r="B949" t="s">
        <v>2069</v>
      </c>
    </row>
    <row r="950" spans="1:2" x14ac:dyDescent="0.2">
      <c r="A950" t="s">
        <v>1359</v>
      </c>
      <c r="B950" t="s">
        <v>2069</v>
      </c>
    </row>
    <row r="951" spans="1:2" x14ac:dyDescent="0.2">
      <c r="A951" t="s">
        <v>2298</v>
      </c>
      <c r="B951" t="s">
        <v>2069</v>
      </c>
    </row>
    <row r="952" spans="1:2" x14ac:dyDescent="0.2">
      <c r="A952" t="s">
        <v>2299</v>
      </c>
      <c r="B952" t="s">
        <v>2069</v>
      </c>
    </row>
    <row r="953" spans="1:2" x14ac:dyDescent="0.2">
      <c r="A953" t="s">
        <v>214</v>
      </c>
      <c r="B953" t="s">
        <v>2069</v>
      </c>
    </row>
    <row r="954" spans="1:2" x14ac:dyDescent="0.2">
      <c r="A954" t="s">
        <v>1104</v>
      </c>
      <c r="B954" t="s">
        <v>2069</v>
      </c>
    </row>
    <row r="955" spans="1:2" x14ac:dyDescent="0.2">
      <c r="A955" t="s">
        <v>1138</v>
      </c>
      <c r="B955" t="s">
        <v>2069</v>
      </c>
    </row>
    <row r="956" spans="1:2" x14ac:dyDescent="0.2">
      <c r="A956" t="s">
        <v>1412</v>
      </c>
      <c r="B956" t="s">
        <v>2069</v>
      </c>
    </row>
    <row r="957" spans="1:2" x14ac:dyDescent="0.2">
      <c r="A957" t="s">
        <v>1253</v>
      </c>
      <c r="B957" t="s">
        <v>2069</v>
      </c>
    </row>
    <row r="958" spans="1:2" x14ac:dyDescent="0.2">
      <c r="A958" t="s">
        <v>75</v>
      </c>
      <c r="B958" t="s">
        <v>2069</v>
      </c>
    </row>
    <row r="959" spans="1:2" x14ac:dyDescent="0.2">
      <c r="A959" t="s">
        <v>1310</v>
      </c>
      <c r="B959" t="s">
        <v>2069</v>
      </c>
    </row>
    <row r="960" spans="1:2" x14ac:dyDescent="0.2">
      <c r="A960" t="s">
        <v>78</v>
      </c>
      <c r="B960" t="s">
        <v>2069</v>
      </c>
    </row>
    <row r="961" spans="1:2" x14ac:dyDescent="0.2">
      <c r="A961" t="s">
        <v>240</v>
      </c>
      <c r="B961" t="s">
        <v>2069</v>
      </c>
    </row>
    <row r="962" spans="1:2" x14ac:dyDescent="0.2">
      <c r="A962" t="s">
        <v>2300</v>
      </c>
      <c r="B962" t="s">
        <v>2069</v>
      </c>
    </row>
    <row r="963" spans="1:2" x14ac:dyDescent="0.2">
      <c r="A963" t="s">
        <v>99</v>
      </c>
      <c r="B963" t="s">
        <v>2069</v>
      </c>
    </row>
    <row r="964" spans="1:2" x14ac:dyDescent="0.2">
      <c r="A964" t="s">
        <v>101</v>
      </c>
      <c r="B964" t="s">
        <v>2069</v>
      </c>
    </row>
    <row r="965" spans="1:2" x14ac:dyDescent="0.2">
      <c r="A965" t="s">
        <v>103</v>
      </c>
      <c r="B965" t="s">
        <v>2069</v>
      </c>
    </row>
    <row r="966" spans="1:2" x14ac:dyDescent="0.2">
      <c r="A966" t="s">
        <v>977</v>
      </c>
      <c r="B966" t="s">
        <v>2069</v>
      </c>
    </row>
    <row r="967" spans="1:2" x14ac:dyDescent="0.2">
      <c r="A967" t="s">
        <v>1241</v>
      </c>
      <c r="B967" t="s">
        <v>2069</v>
      </c>
    </row>
    <row r="968" spans="1:2" x14ac:dyDescent="0.2">
      <c r="A968" t="s">
        <v>166</v>
      </c>
      <c r="B968" t="s">
        <v>2069</v>
      </c>
    </row>
    <row r="969" spans="1:2" x14ac:dyDescent="0.2">
      <c r="A969" t="s">
        <v>163</v>
      </c>
      <c r="B969" t="s">
        <v>2069</v>
      </c>
    </row>
    <row r="970" spans="1:2" x14ac:dyDescent="0.2">
      <c r="A970" t="s">
        <v>114</v>
      </c>
      <c r="B970" t="s">
        <v>2069</v>
      </c>
    </row>
    <row r="971" spans="1:2" x14ac:dyDescent="0.2">
      <c r="A971" t="s">
        <v>160</v>
      </c>
      <c r="B971" t="s">
        <v>2069</v>
      </c>
    </row>
    <row r="972" spans="1:2" x14ac:dyDescent="0.2">
      <c r="A972" t="s">
        <v>1076</v>
      </c>
      <c r="B972" t="s">
        <v>2069</v>
      </c>
    </row>
    <row r="973" spans="1:2" x14ac:dyDescent="0.2">
      <c r="A973" t="s">
        <v>157</v>
      </c>
      <c r="B973" t="s">
        <v>2069</v>
      </c>
    </row>
    <row r="974" spans="1:2" x14ac:dyDescent="0.2">
      <c r="A974" t="s">
        <v>1078</v>
      </c>
      <c r="B974" t="s">
        <v>2069</v>
      </c>
    </row>
    <row r="975" spans="1:2" x14ac:dyDescent="0.2">
      <c r="A975" t="s">
        <v>1080</v>
      </c>
      <c r="B975" t="s">
        <v>2069</v>
      </c>
    </row>
    <row r="976" spans="1:2" x14ac:dyDescent="0.2">
      <c r="A976" t="s">
        <v>1537</v>
      </c>
      <c r="B976" t="s">
        <v>2069</v>
      </c>
    </row>
    <row r="977" spans="1:2" x14ac:dyDescent="0.2">
      <c r="A977" t="s">
        <v>154</v>
      </c>
      <c r="B977" t="s">
        <v>2069</v>
      </c>
    </row>
    <row r="978" spans="1:2" x14ac:dyDescent="0.2">
      <c r="A978" t="s">
        <v>1485</v>
      </c>
      <c r="B978" t="s">
        <v>2069</v>
      </c>
    </row>
    <row r="979" spans="1:2" x14ac:dyDescent="0.2">
      <c r="A979" t="s">
        <v>112</v>
      </c>
      <c r="B979" t="s">
        <v>2069</v>
      </c>
    </row>
    <row r="980" spans="1:2" x14ac:dyDescent="0.2">
      <c r="A980" t="s">
        <v>1010</v>
      </c>
      <c r="B980" t="s">
        <v>2069</v>
      </c>
    </row>
    <row r="981" spans="1:2" x14ac:dyDescent="0.2">
      <c r="A981" t="s">
        <v>72</v>
      </c>
      <c r="B981" t="s">
        <v>2069</v>
      </c>
    </row>
    <row r="982" spans="1:2" x14ac:dyDescent="0.2">
      <c r="A982" t="s">
        <v>935</v>
      </c>
      <c r="B982" t="s">
        <v>2069</v>
      </c>
    </row>
    <row r="983" spans="1:2" x14ac:dyDescent="0.2">
      <c r="A983" t="s">
        <v>1479</v>
      </c>
      <c r="B983" t="s">
        <v>2069</v>
      </c>
    </row>
    <row r="984" spans="1:2" x14ac:dyDescent="0.2">
      <c r="A984" t="s">
        <v>199</v>
      </c>
      <c r="B984" t="s">
        <v>2069</v>
      </c>
    </row>
    <row r="985" spans="1:2" x14ac:dyDescent="0.2">
      <c r="A985" t="s">
        <v>1055</v>
      </c>
      <c r="B985" t="s">
        <v>2069</v>
      </c>
    </row>
    <row r="986" spans="1:2" x14ac:dyDescent="0.2">
      <c r="A986" t="s">
        <v>1061</v>
      </c>
      <c r="B986" t="s">
        <v>2069</v>
      </c>
    </row>
    <row r="987" spans="1:2" x14ac:dyDescent="0.2">
      <c r="A987" t="s">
        <v>1040</v>
      </c>
      <c r="B987" t="s">
        <v>2069</v>
      </c>
    </row>
    <row r="988" spans="1:2" x14ac:dyDescent="0.2">
      <c r="A988" t="s">
        <v>1044</v>
      </c>
      <c r="B988" t="s">
        <v>2069</v>
      </c>
    </row>
    <row r="989" spans="1:2" x14ac:dyDescent="0.2">
      <c r="A989" t="s">
        <v>182</v>
      </c>
      <c r="B989" t="s">
        <v>2069</v>
      </c>
    </row>
    <row r="990" spans="1:2" x14ac:dyDescent="0.2">
      <c r="A990" t="s">
        <v>1069</v>
      </c>
      <c r="B990" t="s">
        <v>2069</v>
      </c>
    </row>
    <row r="991" spans="1:2" x14ac:dyDescent="0.2">
      <c r="A991" t="s">
        <v>1073</v>
      </c>
      <c r="B991" t="s">
        <v>2069</v>
      </c>
    </row>
    <row r="992" spans="1:2" x14ac:dyDescent="0.2">
      <c r="A992" t="s">
        <v>987</v>
      </c>
      <c r="B992" t="s">
        <v>2069</v>
      </c>
    </row>
    <row r="993" spans="1:2" x14ac:dyDescent="0.2">
      <c r="A993" t="s">
        <v>1235</v>
      </c>
      <c r="B993" t="s">
        <v>2069</v>
      </c>
    </row>
    <row r="994" spans="1:2" x14ac:dyDescent="0.2">
      <c r="A994" t="s">
        <v>2301</v>
      </c>
      <c r="B994" t="s">
        <v>2069</v>
      </c>
    </row>
    <row r="995" spans="1:2" x14ac:dyDescent="0.2">
      <c r="A995" t="s">
        <v>1530</v>
      </c>
      <c r="B995" t="s">
        <v>2069</v>
      </c>
    </row>
    <row r="996" spans="1:2" x14ac:dyDescent="0.2">
      <c r="A996" t="s">
        <v>1466</v>
      </c>
      <c r="B996" t="s">
        <v>2069</v>
      </c>
    </row>
    <row r="997" spans="1:2" x14ac:dyDescent="0.2">
      <c r="A997" t="s">
        <v>20</v>
      </c>
      <c r="B997" t="s">
        <v>2069</v>
      </c>
    </row>
    <row r="998" spans="1:2" x14ac:dyDescent="0.2">
      <c r="A998" t="s">
        <v>36</v>
      </c>
      <c r="B998" t="s">
        <v>2069</v>
      </c>
    </row>
    <row r="999" spans="1:2" x14ac:dyDescent="0.2">
      <c r="A999" t="s">
        <v>42</v>
      </c>
      <c r="B999" t="s">
        <v>2069</v>
      </c>
    </row>
    <row r="1000" spans="1:2" x14ac:dyDescent="0.2">
      <c r="A1000" t="s">
        <v>48</v>
      </c>
      <c r="B1000" t="s">
        <v>2069</v>
      </c>
    </row>
    <row r="1001" spans="1:2" x14ac:dyDescent="0.2">
      <c r="A1001" t="s">
        <v>51</v>
      </c>
      <c r="B1001" t="s">
        <v>2069</v>
      </c>
    </row>
    <row r="1002" spans="1:2" x14ac:dyDescent="0.2">
      <c r="A1002" t="s">
        <v>60</v>
      </c>
      <c r="B1002" t="s">
        <v>2069</v>
      </c>
    </row>
    <row r="1003" spans="1:2" x14ac:dyDescent="0.2">
      <c r="A1003" t="s">
        <v>63</v>
      </c>
      <c r="B1003" t="s">
        <v>2069</v>
      </c>
    </row>
    <row r="1004" spans="1:2" x14ac:dyDescent="0.2">
      <c r="A1004" t="s">
        <v>931</v>
      </c>
      <c r="B1004" t="s">
        <v>2069</v>
      </c>
    </row>
    <row r="1005" spans="1:2" x14ac:dyDescent="0.2">
      <c r="A1005" t="s">
        <v>2302</v>
      </c>
      <c r="B1005" t="s">
        <v>2069</v>
      </c>
    </row>
    <row r="1006" spans="1:2" x14ac:dyDescent="0.2">
      <c r="A1006" t="s">
        <v>532</v>
      </c>
      <c r="B1006" t="s">
        <v>2069</v>
      </c>
    </row>
    <row r="1007" spans="1:2" x14ac:dyDescent="0.2">
      <c r="A1007" t="s">
        <v>193</v>
      </c>
      <c r="B1007" t="s">
        <v>2069</v>
      </c>
    </row>
    <row r="1008" spans="1:2" x14ac:dyDescent="0.2">
      <c r="A1008" t="s">
        <v>540</v>
      </c>
      <c r="B1008" t="s">
        <v>2069</v>
      </c>
    </row>
    <row r="1009" spans="1:2" x14ac:dyDescent="0.2">
      <c r="A1009" t="s">
        <v>420</v>
      </c>
      <c r="B1009" t="s">
        <v>2069</v>
      </c>
    </row>
    <row r="1010" spans="1:2" x14ac:dyDescent="0.2">
      <c r="A1010" t="s">
        <v>2303</v>
      </c>
      <c r="B1010" t="s">
        <v>2069</v>
      </c>
    </row>
    <row r="1011" spans="1:2" x14ac:dyDescent="0.2">
      <c r="A1011" t="s">
        <v>423</v>
      </c>
      <c r="B1011" t="s">
        <v>2069</v>
      </c>
    </row>
    <row r="1012" spans="1:2" x14ac:dyDescent="0.2">
      <c r="A1012" t="s">
        <v>426</v>
      </c>
      <c r="B1012" t="s">
        <v>2069</v>
      </c>
    </row>
    <row r="1013" spans="1:2" x14ac:dyDescent="0.2">
      <c r="A1013" t="s">
        <v>535</v>
      </c>
      <c r="B1013" t="s">
        <v>2069</v>
      </c>
    </row>
    <row r="1014" spans="1:2" x14ac:dyDescent="0.2">
      <c r="A1014" t="s">
        <v>1435</v>
      </c>
      <c r="B1014" t="s">
        <v>2069</v>
      </c>
    </row>
    <row r="1015" spans="1:2" x14ac:dyDescent="0.2">
      <c r="A1015" t="s">
        <v>216</v>
      </c>
      <c r="B1015" t="s">
        <v>2069</v>
      </c>
    </row>
    <row r="1016" spans="1:2" x14ac:dyDescent="0.2">
      <c r="A1016" t="s">
        <v>2304</v>
      </c>
      <c r="B1016" t="s">
        <v>2069</v>
      </c>
    </row>
    <row r="1017" spans="1:2" x14ac:dyDescent="0.2">
      <c r="A1017" t="s">
        <v>417</v>
      </c>
      <c r="B1017" t="s">
        <v>2069</v>
      </c>
    </row>
    <row r="1018" spans="1:2" x14ac:dyDescent="0.2">
      <c r="A1018" t="s">
        <v>429</v>
      </c>
      <c r="B1018" t="s">
        <v>2069</v>
      </c>
    </row>
    <row r="1019" spans="1:2" x14ac:dyDescent="0.2">
      <c r="A1019" t="s">
        <v>1084</v>
      </c>
      <c r="B1019" t="s">
        <v>2069</v>
      </c>
    </row>
    <row r="1020" spans="1:2" x14ac:dyDescent="0.2">
      <c r="A1020" t="s">
        <v>1508</v>
      </c>
      <c r="B1020" t="s">
        <v>2069</v>
      </c>
    </row>
    <row r="1021" spans="1:2" x14ac:dyDescent="0.2">
      <c r="A1021" t="s">
        <v>1385</v>
      </c>
      <c r="B1021" t="s">
        <v>2069</v>
      </c>
    </row>
    <row r="1022" spans="1:2" x14ac:dyDescent="0.2">
      <c r="A1022" t="s">
        <v>1424</v>
      </c>
      <c r="B1022" t="s">
        <v>2069</v>
      </c>
    </row>
    <row r="1023" spans="1:2" x14ac:dyDescent="0.2">
      <c r="A1023" t="s">
        <v>1427</v>
      </c>
      <c r="B1023" t="s">
        <v>2069</v>
      </c>
    </row>
    <row r="1024" spans="1:2" x14ac:dyDescent="0.2">
      <c r="A1024" t="s">
        <v>1116</v>
      </c>
      <c r="B1024" t="s">
        <v>2069</v>
      </c>
    </row>
    <row r="1025" spans="1:2" x14ac:dyDescent="0.2">
      <c r="A1025" t="s">
        <v>2305</v>
      </c>
      <c r="B1025" t="s">
        <v>2069</v>
      </c>
    </row>
    <row r="1026" spans="1:2" x14ac:dyDescent="0.2">
      <c r="A1026" t="s">
        <v>1162</v>
      </c>
      <c r="B1026" t="s">
        <v>2069</v>
      </c>
    </row>
    <row r="1027" spans="1:2" x14ac:dyDescent="0.2">
      <c r="A1027" t="s">
        <v>432</v>
      </c>
      <c r="B1027" t="s">
        <v>2069</v>
      </c>
    </row>
    <row r="1028" spans="1:2" x14ac:dyDescent="0.2">
      <c r="A1028" t="s">
        <v>298</v>
      </c>
      <c r="B1028" t="s">
        <v>2069</v>
      </c>
    </row>
    <row r="1029" spans="1:2" x14ac:dyDescent="0.2">
      <c r="A1029" t="s">
        <v>232</v>
      </c>
      <c r="B1029" t="s">
        <v>2069</v>
      </c>
    </row>
    <row r="1030" spans="1:2" x14ac:dyDescent="0.2">
      <c r="A1030" t="s">
        <v>1094</v>
      </c>
      <c r="B1030" t="s">
        <v>2069</v>
      </c>
    </row>
    <row r="1031" spans="1:2" x14ac:dyDescent="0.2">
      <c r="A1031" t="s">
        <v>1165</v>
      </c>
      <c r="B1031" t="s">
        <v>2069</v>
      </c>
    </row>
    <row r="1032" spans="1:2" x14ac:dyDescent="0.2">
      <c r="A1032" t="s">
        <v>140</v>
      </c>
      <c r="B1032" t="s">
        <v>2069</v>
      </c>
    </row>
    <row r="1033" spans="1:2" x14ac:dyDescent="0.2">
      <c r="A1033" t="s">
        <v>1250</v>
      </c>
      <c r="B1033" t="s">
        <v>2069</v>
      </c>
    </row>
    <row r="1034" spans="1:2" x14ac:dyDescent="0.2">
      <c r="A1034" t="s">
        <v>237</v>
      </c>
      <c r="B1034" t="s">
        <v>2069</v>
      </c>
    </row>
    <row r="1035" spans="1:2" x14ac:dyDescent="0.2">
      <c r="A1035" t="s">
        <v>1271</v>
      </c>
      <c r="B1035" t="s">
        <v>2069</v>
      </c>
    </row>
    <row r="1036" spans="1:2" x14ac:dyDescent="0.2">
      <c r="A1036" t="s">
        <v>1262</v>
      </c>
      <c r="B1036" t="s">
        <v>2069</v>
      </c>
    </row>
    <row r="1037" spans="1:2" x14ac:dyDescent="0.2">
      <c r="A1037" t="s">
        <v>406</v>
      </c>
      <c r="B1037" t="s">
        <v>2069</v>
      </c>
    </row>
    <row r="1038" spans="1:2" x14ac:dyDescent="0.2">
      <c r="A1038" t="s">
        <v>409</v>
      </c>
      <c r="B1038" t="s">
        <v>2069</v>
      </c>
    </row>
    <row r="1039" spans="1:2" x14ac:dyDescent="0.2">
      <c r="A1039" t="s">
        <v>1291</v>
      </c>
      <c r="B1039" t="s">
        <v>2069</v>
      </c>
    </row>
    <row r="1040" spans="1:2" x14ac:dyDescent="0.2">
      <c r="A1040" t="s">
        <v>1284</v>
      </c>
      <c r="B1040" t="s">
        <v>2069</v>
      </c>
    </row>
    <row r="1041" spans="1:2" x14ac:dyDescent="0.2">
      <c r="A1041" t="s">
        <v>438</v>
      </c>
      <c r="B1041" t="s">
        <v>2069</v>
      </c>
    </row>
    <row r="1042" spans="1:2" x14ac:dyDescent="0.2">
      <c r="A1042" t="s">
        <v>1097</v>
      </c>
      <c r="B1042" t="s">
        <v>2069</v>
      </c>
    </row>
    <row r="1043" spans="1:2" x14ac:dyDescent="0.2">
      <c r="A1043" t="s">
        <v>1317</v>
      </c>
      <c r="B1043" t="s">
        <v>2069</v>
      </c>
    </row>
    <row r="1044" spans="1:2" x14ac:dyDescent="0.2">
      <c r="A1044" t="s">
        <v>1341</v>
      </c>
      <c r="B1044" t="s">
        <v>2069</v>
      </c>
    </row>
    <row r="1045" spans="1:2" x14ac:dyDescent="0.2">
      <c r="A1045" t="s">
        <v>1365</v>
      </c>
      <c r="B1045" t="s">
        <v>2069</v>
      </c>
    </row>
    <row r="1046" spans="1:2" x14ac:dyDescent="0.2">
      <c r="A1046" t="s">
        <v>414</v>
      </c>
      <c r="B1046" t="s">
        <v>2069</v>
      </c>
    </row>
    <row r="1047" spans="1:2" x14ac:dyDescent="0.2">
      <c r="A1047" t="s">
        <v>2306</v>
      </c>
      <c r="B1047" t="s">
        <v>2069</v>
      </c>
    </row>
    <row r="1048" spans="1:2" x14ac:dyDescent="0.2">
      <c r="A1048" t="s">
        <v>2307</v>
      </c>
      <c r="B1048" t="s">
        <v>2069</v>
      </c>
    </row>
    <row r="1049" spans="1:2" x14ac:dyDescent="0.2">
      <c r="A1049" t="s">
        <v>573</v>
      </c>
      <c r="B1049" t="s">
        <v>2069</v>
      </c>
    </row>
    <row r="1050" spans="1:2" x14ac:dyDescent="0.2">
      <c r="A1050" t="s">
        <v>1082</v>
      </c>
      <c r="B1050" t="s">
        <v>2069</v>
      </c>
    </row>
    <row r="1051" spans="1:2" x14ac:dyDescent="0.2">
      <c r="A1051" t="s">
        <v>2308</v>
      </c>
      <c r="B1051" t="s">
        <v>2309</v>
      </c>
    </row>
    <row r="1052" spans="1:2" x14ac:dyDescent="0.2">
      <c r="A1052" t="s">
        <v>2310</v>
      </c>
      <c r="B1052" t="s">
        <v>2309</v>
      </c>
    </row>
    <row r="1053" spans="1:2" x14ac:dyDescent="0.2">
      <c r="A1053" t="s">
        <v>1300</v>
      </c>
      <c r="B1053" t="s">
        <v>2309</v>
      </c>
    </row>
    <row r="1054" spans="1:2" x14ac:dyDescent="0.2">
      <c r="A1054" t="s">
        <v>2311</v>
      </c>
      <c r="B1054" t="s">
        <v>2309</v>
      </c>
    </row>
    <row r="1055" spans="1:2" x14ac:dyDescent="0.2">
      <c r="A1055" t="s">
        <v>2312</v>
      </c>
      <c r="B1055" t="s">
        <v>2309</v>
      </c>
    </row>
    <row r="1056" spans="1:2" x14ac:dyDescent="0.2">
      <c r="A1056" t="s">
        <v>2051</v>
      </c>
      <c r="B1056" t="s">
        <v>2309</v>
      </c>
    </row>
    <row r="1057" spans="1:2" x14ac:dyDescent="0.2">
      <c r="A1057" t="s">
        <v>2313</v>
      </c>
      <c r="B1057" t="s">
        <v>2309</v>
      </c>
    </row>
    <row r="1058" spans="1:2" x14ac:dyDescent="0.2">
      <c r="A1058" t="s">
        <v>1204</v>
      </c>
      <c r="B1058" t="s">
        <v>2309</v>
      </c>
    </row>
    <row r="1059" spans="1:2" x14ac:dyDescent="0.2">
      <c r="A1059" t="s">
        <v>2314</v>
      </c>
      <c r="B1059" t="s">
        <v>2309</v>
      </c>
    </row>
    <row r="1060" spans="1:2" x14ac:dyDescent="0.2">
      <c r="A1060" t="s">
        <v>1207</v>
      </c>
      <c r="B1060" t="s">
        <v>2309</v>
      </c>
    </row>
    <row r="1061" spans="1:2" x14ac:dyDescent="0.2">
      <c r="A1061" t="s">
        <v>2315</v>
      </c>
      <c r="B1061" t="s">
        <v>2309</v>
      </c>
    </row>
    <row r="1062" spans="1:2" x14ac:dyDescent="0.2">
      <c r="A1062" t="s">
        <v>2316</v>
      </c>
      <c r="B1062" t="s">
        <v>2309</v>
      </c>
    </row>
    <row r="1063" spans="1:2" x14ac:dyDescent="0.2">
      <c r="A1063" t="s">
        <v>2317</v>
      </c>
      <c r="B1063" t="s">
        <v>2309</v>
      </c>
    </row>
    <row r="1064" spans="1:2" x14ac:dyDescent="0.2">
      <c r="A1064" t="s">
        <v>2058</v>
      </c>
      <c r="B1064" t="s">
        <v>2309</v>
      </c>
    </row>
    <row r="1065" spans="1:2" x14ac:dyDescent="0.2">
      <c r="A1065" t="s">
        <v>2318</v>
      </c>
      <c r="B1065" t="s">
        <v>2309</v>
      </c>
    </row>
    <row r="1066" spans="1:2" x14ac:dyDescent="0.2">
      <c r="A1066" t="s">
        <v>2319</v>
      </c>
      <c r="B1066" t="s">
        <v>2309</v>
      </c>
    </row>
    <row r="1067" spans="1:2" x14ac:dyDescent="0.2">
      <c r="A1067" t="s">
        <v>2320</v>
      </c>
      <c r="B1067" t="s">
        <v>2309</v>
      </c>
    </row>
    <row r="1068" spans="1:2" x14ac:dyDescent="0.2">
      <c r="A1068" t="s">
        <v>2321</v>
      </c>
      <c r="B1068" t="s">
        <v>2309</v>
      </c>
    </row>
    <row r="1069" spans="1:2" x14ac:dyDescent="0.2">
      <c r="A1069" t="s">
        <v>1383</v>
      </c>
      <c r="B1069" t="s">
        <v>2309</v>
      </c>
    </row>
    <row r="1070" spans="1:2" x14ac:dyDescent="0.2">
      <c r="A1070" t="s">
        <v>2321</v>
      </c>
      <c r="B1070" t="s">
        <v>2309</v>
      </c>
    </row>
    <row r="1071" spans="1:2" x14ac:dyDescent="0.2">
      <c r="A1071" t="s">
        <v>2322</v>
      </c>
      <c r="B1071" t="s">
        <v>2309</v>
      </c>
    </row>
    <row r="1072" spans="1:2" x14ac:dyDescent="0.2">
      <c r="A1072" t="s">
        <v>2059</v>
      </c>
      <c r="B1072" t="s">
        <v>2309</v>
      </c>
    </row>
    <row r="1073" spans="1:2" x14ac:dyDescent="0.2">
      <c r="A1073" t="s">
        <v>2323</v>
      </c>
      <c r="B1073" t="s">
        <v>2309</v>
      </c>
    </row>
    <row r="1074" spans="1:2" x14ac:dyDescent="0.2">
      <c r="A1074" t="s">
        <v>2060</v>
      </c>
      <c r="B1074" t="s">
        <v>2309</v>
      </c>
    </row>
    <row r="1075" spans="1:2" x14ac:dyDescent="0.2">
      <c r="A1075" t="s">
        <v>1291</v>
      </c>
      <c r="B1075" t="s">
        <v>2309</v>
      </c>
    </row>
    <row r="1076" spans="1:2" x14ac:dyDescent="0.2">
      <c r="A1076" t="s">
        <v>1504</v>
      </c>
      <c r="B1076" t="s">
        <v>2309</v>
      </c>
    </row>
    <row r="1077" spans="1:2" x14ac:dyDescent="0.2">
      <c r="A1077" t="s">
        <v>2162</v>
      </c>
      <c r="B1077" t="s">
        <v>2309</v>
      </c>
    </row>
    <row r="1078" spans="1:2" x14ac:dyDescent="0.2">
      <c r="A1078" t="s">
        <v>2293</v>
      </c>
      <c r="B1078" t="s">
        <v>2309</v>
      </c>
    </row>
    <row r="1079" spans="1:2" x14ac:dyDescent="0.2">
      <c r="A1079" t="s">
        <v>2324</v>
      </c>
      <c r="B1079" t="s">
        <v>2309</v>
      </c>
    </row>
    <row r="1080" spans="1:2" x14ac:dyDescent="0.2">
      <c r="A1080" t="s">
        <v>897</v>
      </c>
      <c r="B1080" t="s">
        <v>2309</v>
      </c>
    </row>
    <row r="1081" spans="1:2" x14ac:dyDescent="0.2">
      <c r="A1081" t="s">
        <v>2325</v>
      </c>
      <c r="B1081" t="s">
        <v>2309</v>
      </c>
    </row>
    <row r="1082" spans="1:2" x14ac:dyDescent="0.2">
      <c r="A1082" t="s">
        <v>2326</v>
      </c>
      <c r="B1082" t="s">
        <v>2309</v>
      </c>
    </row>
    <row r="1083" spans="1:2" x14ac:dyDescent="0.2">
      <c r="A1083" t="s">
        <v>1126</v>
      </c>
      <c r="B1083" t="s">
        <v>2309</v>
      </c>
    </row>
    <row r="1084" spans="1:2" x14ac:dyDescent="0.2">
      <c r="A1084" t="s">
        <v>10</v>
      </c>
      <c r="B1084" t="s">
        <v>2309</v>
      </c>
    </row>
    <row r="1085" spans="1:2" x14ac:dyDescent="0.2">
      <c r="A1085" t="s">
        <v>2157</v>
      </c>
      <c r="B1085" t="s">
        <v>2309</v>
      </c>
    </row>
    <row r="1086" spans="1:2" x14ac:dyDescent="0.2">
      <c r="A1086" t="s">
        <v>2327</v>
      </c>
      <c r="B1086" t="s">
        <v>2309</v>
      </c>
    </row>
    <row r="1087" spans="1:2" x14ac:dyDescent="0.2">
      <c r="A1087" t="s">
        <v>2328</v>
      </c>
      <c r="B1087" t="s">
        <v>2309</v>
      </c>
    </row>
    <row r="1088" spans="1:2" x14ac:dyDescent="0.2">
      <c r="A1088" t="s">
        <v>1171</v>
      </c>
      <c r="B1088" t="s">
        <v>2309</v>
      </c>
    </row>
    <row r="1089" spans="1:2" x14ac:dyDescent="0.2">
      <c r="A1089" t="s">
        <v>1868</v>
      </c>
      <c r="B1089" t="s">
        <v>2309</v>
      </c>
    </row>
    <row r="1090" spans="1:2" x14ac:dyDescent="0.2">
      <c r="A1090" t="s">
        <v>897</v>
      </c>
      <c r="B1090" t="s">
        <v>2309</v>
      </c>
    </row>
    <row r="1091" spans="1:2" x14ac:dyDescent="0.2">
      <c r="A1091" t="s">
        <v>1090</v>
      </c>
      <c r="B1091" t="s">
        <v>2309</v>
      </c>
    </row>
    <row r="1092" spans="1:2" x14ac:dyDescent="0.2">
      <c r="A1092" t="s">
        <v>175</v>
      </c>
      <c r="B1092" t="s">
        <v>2309</v>
      </c>
    </row>
    <row r="1093" spans="1:2" x14ac:dyDescent="0.2">
      <c r="A1093" t="s">
        <v>2048</v>
      </c>
      <c r="B1093" t="s">
        <v>2309</v>
      </c>
    </row>
    <row r="1094" spans="1:2" x14ac:dyDescent="0.2">
      <c r="A1094" t="s">
        <v>2329</v>
      </c>
      <c r="B1094" t="s">
        <v>2309</v>
      </c>
    </row>
    <row r="1095" spans="1:2" x14ac:dyDescent="0.2">
      <c r="A1095" t="s">
        <v>2330</v>
      </c>
      <c r="B1095" t="s">
        <v>2309</v>
      </c>
    </row>
    <row r="1096" spans="1:2" x14ac:dyDescent="0.2">
      <c r="A1096" t="s">
        <v>2331</v>
      </c>
      <c r="B1096" t="s">
        <v>2309</v>
      </c>
    </row>
    <row r="1097" spans="1:2" x14ac:dyDescent="0.2">
      <c r="A1097" t="s">
        <v>2332</v>
      </c>
      <c r="B1097" t="s">
        <v>2309</v>
      </c>
    </row>
    <row r="1098" spans="1:2" x14ac:dyDescent="0.2">
      <c r="A1098" t="s">
        <v>2333</v>
      </c>
      <c r="B1098" t="s">
        <v>2309</v>
      </c>
    </row>
    <row r="1099" spans="1:2" x14ac:dyDescent="0.2">
      <c r="A1099" t="s">
        <v>2334</v>
      </c>
      <c r="B1099" t="s">
        <v>2309</v>
      </c>
    </row>
    <row r="1100" spans="1:2" x14ac:dyDescent="0.2">
      <c r="A1100" t="s">
        <v>2335</v>
      </c>
      <c r="B1100" t="s">
        <v>2309</v>
      </c>
    </row>
    <row r="1101" spans="1:2" x14ac:dyDescent="0.2">
      <c r="A1101" t="s">
        <v>1013</v>
      </c>
      <c r="B1101" t="s">
        <v>2309</v>
      </c>
    </row>
    <row r="1102" spans="1:2" x14ac:dyDescent="0.2">
      <c r="A1102" t="s">
        <v>920</v>
      </c>
      <c r="B1102" t="s">
        <v>2309</v>
      </c>
    </row>
    <row r="1103" spans="1:2" x14ac:dyDescent="0.2">
      <c r="A1103" t="s">
        <v>1454</v>
      </c>
      <c r="B1103" t="s">
        <v>2309</v>
      </c>
    </row>
    <row r="1104" spans="1:2" x14ac:dyDescent="0.2">
      <c r="A1104" t="s">
        <v>1463</v>
      </c>
      <c r="B1104" t="s">
        <v>2309</v>
      </c>
    </row>
    <row r="1105" spans="1:2" x14ac:dyDescent="0.2">
      <c r="A1105" t="s">
        <v>2336</v>
      </c>
      <c r="B1105" t="s">
        <v>2309</v>
      </c>
    </row>
    <row r="1106" spans="1:2" x14ac:dyDescent="0.2">
      <c r="A1106" t="s">
        <v>2337</v>
      </c>
      <c r="B1106" t="s">
        <v>2309</v>
      </c>
    </row>
    <row r="1107" spans="1:2" x14ac:dyDescent="0.2">
      <c r="A1107" t="s">
        <v>538</v>
      </c>
      <c r="B1107" t="s">
        <v>2309</v>
      </c>
    </row>
    <row r="1108" spans="1:2" x14ac:dyDescent="0.2">
      <c r="A1108" t="s">
        <v>337</v>
      </c>
      <c r="B1108" t="s">
        <v>2309</v>
      </c>
    </row>
    <row r="1109" spans="1:2" x14ac:dyDescent="0.2">
      <c r="A1109" t="s">
        <v>2338</v>
      </c>
      <c r="B1109" t="s">
        <v>2309</v>
      </c>
    </row>
    <row r="1110" spans="1:2" x14ac:dyDescent="0.2">
      <c r="A1110" t="s">
        <v>2339</v>
      </c>
      <c r="B1110" t="s">
        <v>2309</v>
      </c>
    </row>
    <row r="1111" spans="1:2" x14ac:dyDescent="0.2">
      <c r="A1111" t="s">
        <v>781</v>
      </c>
      <c r="B1111" t="s">
        <v>2309</v>
      </c>
    </row>
    <row r="1112" spans="1:2" x14ac:dyDescent="0.2">
      <c r="A1112" t="s">
        <v>778</v>
      </c>
      <c r="B1112" t="s">
        <v>2309</v>
      </c>
    </row>
    <row r="1113" spans="1:2" x14ac:dyDescent="0.2">
      <c r="A1113" t="s">
        <v>787</v>
      </c>
      <c r="B1113" t="s">
        <v>2309</v>
      </c>
    </row>
    <row r="1114" spans="1:2" x14ac:dyDescent="0.2">
      <c r="A1114" t="s">
        <v>766</v>
      </c>
      <c r="B1114" t="s">
        <v>2309</v>
      </c>
    </row>
    <row r="1115" spans="1:2" x14ac:dyDescent="0.2">
      <c r="A1115" t="s">
        <v>2340</v>
      </c>
      <c r="B1115" t="s">
        <v>2309</v>
      </c>
    </row>
    <row r="1116" spans="1:2" x14ac:dyDescent="0.2">
      <c r="A1116" t="s">
        <v>1435</v>
      </c>
      <c r="B1116" t="s">
        <v>2309</v>
      </c>
    </row>
    <row r="1117" spans="1:2" x14ac:dyDescent="0.2">
      <c r="A1117" t="s">
        <v>449</v>
      </c>
      <c r="B1117" t="s">
        <v>2309</v>
      </c>
    </row>
    <row r="1118" spans="1:2" x14ac:dyDescent="0.2">
      <c r="A1118" t="s">
        <v>2174</v>
      </c>
      <c r="B1118" t="s">
        <v>2309</v>
      </c>
    </row>
    <row r="1119" spans="1:2" x14ac:dyDescent="0.2">
      <c r="A1119" t="s">
        <v>2064</v>
      </c>
      <c r="B1119" t="s">
        <v>2309</v>
      </c>
    </row>
    <row r="1120" spans="1:2" x14ac:dyDescent="0.2">
      <c r="A1120" t="s">
        <v>2056</v>
      </c>
      <c r="B1120" t="s">
        <v>2309</v>
      </c>
    </row>
    <row r="1121" spans="1:2" x14ac:dyDescent="0.2">
      <c r="A1121" t="s">
        <v>2341</v>
      </c>
      <c r="B1121" t="s">
        <v>2309</v>
      </c>
    </row>
    <row r="1122" spans="1:2" x14ac:dyDescent="0.2">
      <c r="A1122" t="s">
        <v>2173</v>
      </c>
      <c r="B1122" t="s">
        <v>2309</v>
      </c>
    </row>
    <row r="1123" spans="1:2" x14ac:dyDescent="0.2">
      <c r="A1123" t="s">
        <v>2342</v>
      </c>
      <c r="B1123" t="s">
        <v>2309</v>
      </c>
    </row>
    <row r="1124" spans="1:2" x14ac:dyDescent="0.2">
      <c r="A1124" t="s">
        <v>2343</v>
      </c>
      <c r="B1124" t="s">
        <v>2309</v>
      </c>
    </row>
    <row r="1125" spans="1:2" x14ac:dyDescent="0.2">
      <c r="A1125" t="s">
        <v>1466</v>
      </c>
      <c r="B1125" t="s">
        <v>2309</v>
      </c>
    </row>
    <row r="1126" spans="1:2" x14ac:dyDescent="0.2">
      <c r="A1126" t="s">
        <v>1050</v>
      </c>
      <c r="B1126" t="s">
        <v>2309</v>
      </c>
    </row>
    <row r="1127" spans="1:2" x14ac:dyDescent="0.2">
      <c r="A1127" t="s">
        <v>2344</v>
      </c>
      <c r="B1127" t="s">
        <v>2309</v>
      </c>
    </row>
    <row r="1128" spans="1:2" x14ac:dyDescent="0.2">
      <c r="A1128" t="s">
        <v>2345</v>
      </c>
      <c r="B1128" t="s">
        <v>2309</v>
      </c>
    </row>
    <row r="1129" spans="1:2" x14ac:dyDescent="0.2">
      <c r="A1129" t="s">
        <v>2346</v>
      </c>
      <c r="B1129" t="s">
        <v>2309</v>
      </c>
    </row>
    <row r="1130" spans="1:2" x14ac:dyDescent="0.2">
      <c r="A1130" t="s">
        <v>2347</v>
      </c>
      <c r="B1130" t="s">
        <v>2309</v>
      </c>
    </row>
    <row r="1131" spans="1:2" x14ac:dyDescent="0.2">
      <c r="A1131" t="s">
        <v>2348</v>
      </c>
      <c r="B1131" t="s">
        <v>2309</v>
      </c>
    </row>
    <row r="1132" spans="1:2" x14ac:dyDescent="0.2">
      <c r="A1132" t="s">
        <v>2349</v>
      </c>
      <c r="B1132" t="s">
        <v>2309</v>
      </c>
    </row>
    <row r="1133" spans="1:2" x14ac:dyDescent="0.2">
      <c r="A1133" t="s">
        <v>2180</v>
      </c>
      <c r="B1133" t="s">
        <v>2309</v>
      </c>
    </row>
    <row r="1134" spans="1:2" x14ac:dyDescent="0.2">
      <c r="A1134" t="s">
        <v>2350</v>
      </c>
      <c r="B1134" t="s">
        <v>2309</v>
      </c>
    </row>
    <row r="1135" spans="1:2" x14ac:dyDescent="0.2">
      <c r="A1135" t="s">
        <v>2332</v>
      </c>
      <c r="B1135" t="s">
        <v>2309</v>
      </c>
    </row>
    <row r="1136" spans="1:2" x14ac:dyDescent="0.2">
      <c r="A1136" t="s">
        <v>1033</v>
      </c>
      <c r="B1136" t="s">
        <v>2309</v>
      </c>
    </row>
    <row r="1137" spans="1:2" x14ac:dyDescent="0.2">
      <c r="A1137" t="s">
        <v>1088</v>
      </c>
      <c r="B1137" t="s">
        <v>2309</v>
      </c>
    </row>
    <row r="1138" spans="1:2" x14ac:dyDescent="0.2">
      <c r="A1138" t="s">
        <v>2351</v>
      </c>
      <c r="B1138" t="s">
        <v>2309</v>
      </c>
    </row>
    <row r="1139" spans="1:2" x14ac:dyDescent="0.2">
      <c r="A1139" t="s">
        <v>2144</v>
      </c>
      <c r="B1139" t="s">
        <v>2309</v>
      </c>
    </row>
    <row r="1140" spans="1:2" x14ac:dyDescent="0.2">
      <c r="A1140" t="s">
        <v>1090</v>
      </c>
      <c r="B1140" t="s">
        <v>2309</v>
      </c>
    </row>
    <row r="1141" spans="1:2" x14ac:dyDescent="0.2">
      <c r="A1141" t="s">
        <v>2352</v>
      </c>
      <c r="B1141" t="s">
        <v>2309</v>
      </c>
    </row>
    <row r="1142" spans="1:2" x14ac:dyDescent="0.2">
      <c r="A1142" t="s">
        <v>2066</v>
      </c>
      <c r="B1142" t="s">
        <v>2309</v>
      </c>
    </row>
    <row r="1143" spans="1:2" x14ac:dyDescent="0.2">
      <c r="A1143" t="s">
        <v>1003</v>
      </c>
      <c r="B1143" t="s">
        <v>2309</v>
      </c>
    </row>
    <row r="1144" spans="1:2" x14ac:dyDescent="0.2">
      <c r="A1144" t="s">
        <v>1959</v>
      </c>
      <c r="B1144" t="s">
        <v>2309</v>
      </c>
    </row>
    <row r="1145" spans="1:2" x14ac:dyDescent="0.2">
      <c r="A1145" t="s">
        <v>1956</v>
      </c>
      <c r="B1145" t="s">
        <v>2309</v>
      </c>
    </row>
    <row r="1146" spans="1:2" x14ac:dyDescent="0.2">
      <c r="A1146" t="s">
        <v>1953</v>
      </c>
      <c r="B1146" t="s">
        <v>2309</v>
      </c>
    </row>
    <row r="1147" spans="1:2" x14ac:dyDescent="0.2">
      <c r="A1147" t="s">
        <v>1950</v>
      </c>
      <c r="B1147" t="s">
        <v>2309</v>
      </c>
    </row>
    <row r="1148" spans="1:2" x14ac:dyDescent="0.2">
      <c r="A1148" t="s">
        <v>1947</v>
      </c>
      <c r="B1148" t="s">
        <v>2309</v>
      </c>
    </row>
    <row r="1149" spans="1:2" x14ac:dyDescent="0.2">
      <c r="A1149" t="s">
        <v>2353</v>
      </c>
      <c r="B1149" t="s">
        <v>2309</v>
      </c>
    </row>
    <row r="1150" spans="1:2" x14ac:dyDescent="0.2">
      <c r="A1150" t="s">
        <v>2354</v>
      </c>
      <c r="B1150" t="s">
        <v>2309</v>
      </c>
    </row>
    <row r="1151" spans="1:2" x14ac:dyDescent="0.2">
      <c r="A1151" t="s">
        <v>2355</v>
      </c>
      <c r="B1151" t="s">
        <v>2309</v>
      </c>
    </row>
    <row r="1152" spans="1:2" x14ac:dyDescent="0.2">
      <c r="A1152" t="s">
        <v>2356</v>
      </c>
      <c r="B1152" t="s">
        <v>2309</v>
      </c>
    </row>
    <row r="1153" spans="1:2" x14ac:dyDescent="0.2">
      <c r="A1153" t="s">
        <v>2338</v>
      </c>
      <c r="B1153" t="s">
        <v>2309</v>
      </c>
    </row>
    <row r="1154" spans="1:2" x14ac:dyDescent="0.2">
      <c r="A1154" t="s">
        <v>2357</v>
      </c>
      <c r="B1154" t="s">
        <v>2309</v>
      </c>
    </row>
    <row r="1155" spans="1:2" x14ac:dyDescent="0.2">
      <c r="A1155" t="s">
        <v>2358</v>
      </c>
      <c r="B1155" t="s">
        <v>2309</v>
      </c>
    </row>
    <row r="1156" spans="1:2" x14ac:dyDescent="0.2">
      <c r="A1156" t="s">
        <v>1171</v>
      </c>
      <c r="B1156" t="s">
        <v>2309</v>
      </c>
    </row>
    <row r="1157" spans="1:2" x14ac:dyDescent="0.2">
      <c r="A1157" t="s">
        <v>772</v>
      </c>
      <c r="B1157" t="s">
        <v>2309</v>
      </c>
    </row>
    <row r="1158" spans="1:2" x14ac:dyDescent="0.2">
      <c r="A1158" t="s">
        <v>775</v>
      </c>
      <c r="B1158" t="s">
        <v>2309</v>
      </c>
    </row>
    <row r="1159" spans="1:2" x14ac:dyDescent="0.2">
      <c r="A1159" t="s">
        <v>2156</v>
      </c>
      <c r="B1159" t="s">
        <v>2309</v>
      </c>
    </row>
    <row r="1160" spans="1:2" x14ac:dyDescent="0.2">
      <c r="A1160" t="s">
        <v>2359</v>
      </c>
      <c r="B1160" t="s">
        <v>2309</v>
      </c>
    </row>
    <row r="1161" spans="1:2" x14ac:dyDescent="0.2">
      <c r="A1161" t="s">
        <v>2360</v>
      </c>
      <c r="B1161" t="s">
        <v>2309</v>
      </c>
    </row>
    <row r="1162" spans="1:2" x14ac:dyDescent="0.2">
      <c r="A1162" t="s">
        <v>1374</v>
      </c>
      <c r="B1162" t="s">
        <v>2309</v>
      </c>
    </row>
    <row r="1163" spans="1:2" x14ac:dyDescent="0.2">
      <c r="A1163" t="s">
        <v>1457</v>
      </c>
      <c r="B1163" t="s">
        <v>2309</v>
      </c>
    </row>
    <row r="1164" spans="1:2" x14ac:dyDescent="0.2">
      <c r="A1164" t="s">
        <v>1460</v>
      </c>
      <c r="B1164" t="s">
        <v>2309</v>
      </c>
    </row>
    <row r="1165" spans="1:2" x14ac:dyDescent="0.2">
      <c r="A1165" t="s">
        <v>1444</v>
      </c>
      <c r="B1165" t="s">
        <v>2309</v>
      </c>
    </row>
    <row r="1166" spans="1:2" x14ac:dyDescent="0.2">
      <c r="A1166" t="s">
        <v>2354</v>
      </c>
      <c r="B1166" t="s">
        <v>2309</v>
      </c>
    </row>
    <row r="1167" spans="1:2" x14ac:dyDescent="0.2">
      <c r="A1167" t="s">
        <v>2333</v>
      </c>
      <c r="B1167" t="s">
        <v>2309</v>
      </c>
    </row>
    <row r="1168" spans="1:2" x14ac:dyDescent="0.2">
      <c r="A1168" t="s">
        <v>2139</v>
      </c>
      <c r="B1168" t="s">
        <v>2309</v>
      </c>
    </row>
    <row r="1169" spans="1:2" x14ac:dyDescent="0.2">
      <c r="A1169" t="s">
        <v>2016</v>
      </c>
      <c r="B1169" t="s">
        <v>2309</v>
      </c>
    </row>
    <row r="1170" spans="1:2" x14ac:dyDescent="0.2">
      <c r="A1170" t="s">
        <v>123</v>
      </c>
      <c r="B1170" t="s">
        <v>2309</v>
      </c>
    </row>
    <row r="1171" spans="1:2" x14ac:dyDescent="0.2">
      <c r="A1171" t="s">
        <v>2361</v>
      </c>
      <c r="B1171" t="s">
        <v>2309</v>
      </c>
    </row>
    <row r="1172" spans="1:2" x14ac:dyDescent="0.2">
      <c r="A1172" t="s">
        <v>2339</v>
      </c>
      <c r="B1172" t="s">
        <v>2309</v>
      </c>
    </row>
    <row r="1173" spans="1:2" x14ac:dyDescent="0.2">
      <c r="A1173" t="s">
        <v>1355</v>
      </c>
      <c r="B1173" t="s">
        <v>2309</v>
      </c>
    </row>
    <row r="1174" spans="1:2" x14ac:dyDescent="0.2">
      <c r="A1174" t="s">
        <v>1438</v>
      </c>
      <c r="B1174" t="s">
        <v>2309</v>
      </c>
    </row>
    <row r="1175" spans="1:2" x14ac:dyDescent="0.2">
      <c r="A1175" t="s">
        <v>2362</v>
      </c>
      <c r="B1175" t="s">
        <v>2309</v>
      </c>
    </row>
    <row r="1176" spans="1:2" x14ac:dyDescent="0.2">
      <c r="A1176" t="s">
        <v>2318</v>
      </c>
      <c r="B1176" t="s">
        <v>2309</v>
      </c>
    </row>
    <row r="1177" spans="1:2" x14ac:dyDescent="0.2">
      <c r="A1177" t="s">
        <v>2331</v>
      </c>
      <c r="B1177" t="s">
        <v>2309</v>
      </c>
    </row>
    <row r="1178" spans="1:2" x14ac:dyDescent="0.2">
      <c r="A1178" t="s">
        <v>2363</v>
      </c>
      <c r="B1178" t="s">
        <v>2309</v>
      </c>
    </row>
    <row r="1179" spans="1:2" x14ac:dyDescent="0.2">
      <c r="A1179" t="s">
        <v>2310</v>
      </c>
      <c r="B1179" t="s">
        <v>2309</v>
      </c>
    </row>
    <row r="1180" spans="1:2" x14ac:dyDescent="0.2">
      <c r="A1180" t="s">
        <v>1991</v>
      </c>
      <c r="B1180" t="s">
        <v>2309</v>
      </c>
    </row>
    <row r="1181" spans="1:2" x14ac:dyDescent="0.2">
      <c r="A1181" t="s">
        <v>2314</v>
      </c>
      <c r="B1181" t="s">
        <v>2309</v>
      </c>
    </row>
    <row r="1182" spans="1:2" x14ac:dyDescent="0.2">
      <c r="A1182" t="s">
        <v>2364</v>
      </c>
      <c r="B1182" t="s">
        <v>2309</v>
      </c>
    </row>
    <row r="1183" spans="1:2" x14ac:dyDescent="0.2">
      <c r="A1183" t="s">
        <v>2315</v>
      </c>
      <c r="B1183" t="s">
        <v>2309</v>
      </c>
    </row>
    <row r="1184" spans="1:2" x14ac:dyDescent="0.2">
      <c r="A1184" t="s">
        <v>2330</v>
      </c>
      <c r="B1184" t="s">
        <v>2309</v>
      </c>
    </row>
    <row r="1185" spans="1:2" x14ac:dyDescent="0.2">
      <c r="A1185" t="s">
        <v>2322</v>
      </c>
      <c r="B1185" t="s">
        <v>2309</v>
      </c>
    </row>
    <row r="1186" spans="1:2" x14ac:dyDescent="0.2">
      <c r="A1186" t="s">
        <v>1451</v>
      </c>
      <c r="B1186" t="s">
        <v>2309</v>
      </c>
    </row>
    <row r="1187" spans="1:2" x14ac:dyDescent="0.2">
      <c r="A1187" t="s">
        <v>1371</v>
      </c>
      <c r="B1187" t="s">
        <v>2309</v>
      </c>
    </row>
    <row r="1188" spans="1:2" x14ac:dyDescent="0.2">
      <c r="A1188" t="s">
        <v>2365</v>
      </c>
      <c r="B1188" t="s">
        <v>2309</v>
      </c>
    </row>
    <row r="1189" spans="1:2" x14ac:dyDescent="0.2">
      <c r="A1189" t="s">
        <v>2012</v>
      </c>
      <c r="B1189" t="s">
        <v>2309</v>
      </c>
    </row>
    <row r="1190" spans="1:2" x14ac:dyDescent="0.2">
      <c r="A1190" t="s">
        <v>769</v>
      </c>
      <c r="B1190" t="s">
        <v>2309</v>
      </c>
    </row>
    <row r="1191" spans="1:2" x14ac:dyDescent="0.2">
      <c r="A1191" t="s">
        <v>2351</v>
      </c>
      <c r="B1191" t="s">
        <v>2309</v>
      </c>
    </row>
    <row r="1192" spans="1:2" x14ac:dyDescent="0.2">
      <c r="A1192" t="s">
        <v>2176</v>
      </c>
      <c r="B1192" t="s">
        <v>2309</v>
      </c>
    </row>
    <row r="1193" spans="1:2" x14ac:dyDescent="0.2">
      <c r="A1193" t="s">
        <v>2175</v>
      </c>
      <c r="B1193" t="s">
        <v>2309</v>
      </c>
    </row>
    <row r="1194" spans="1:2" x14ac:dyDescent="0.2">
      <c r="A1194" t="s">
        <v>2366</v>
      </c>
      <c r="B1194" t="s">
        <v>2309</v>
      </c>
    </row>
    <row r="1195" spans="1:2" x14ac:dyDescent="0.2">
      <c r="A1195" t="s">
        <v>1088</v>
      </c>
      <c r="B1195" t="s">
        <v>2309</v>
      </c>
    </row>
    <row r="1196" spans="1:2" x14ac:dyDescent="0.2">
      <c r="A1196" t="s">
        <v>2367</v>
      </c>
      <c r="B1196" t="s">
        <v>2309</v>
      </c>
    </row>
    <row r="1197" spans="1:2" x14ac:dyDescent="0.2">
      <c r="A1197" t="s">
        <v>1711</v>
      </c>
      <c r="B1197" t="s">
        <v>2309</v>
      </c>
    </row>
    <row r="1198" spans="1:2" x14ac:dyDescent="0.2">
      <c r="A1198" t="s">
        <v>2350</v>
      </c>
      <c r="B1198" t="s">
        <v>2309</v>
      </c>
    </row>
    <row r="1199" spans="1:2" x14ac:dyDescent="0.2">
      <c r="A1199" t="s">
        <v>1715</v>
      </c>
      <c r="B1199" t="s">
        <v>2309</v>
      </c>
    </row>
    <row r="1200" spans="1:2" x14ac:dyDescent="0.2">
      <c r="A1200" t="s">
        <v>1842</v>
      </c>
      <c r="B1200" t="s">
        <v>2309</v>
      </c>
    </row>
    <row r="1201" spans="1:2" x14ac:dyDescent="0.2">
      <c r="A1201" t="s">
        <v>2368</v>
      </c>
      <c r="B1201" t="s">
        <v>2309</v>
      </c>
    </row>
    <row r="1202" spans="1:2" x14ac:dyDescent="0.2">
      <c r="A1202" t="s">
        <v>1086</v>
      </c>
      <c r="B1202" t="s">
        <v>2309</v>
      </c>
    </row>
    <row r="1203" spans="1:2" x14ac:dyDescent="0.2">
      <c r="A1203" t="s">
        <v>2013</v>
      </c>
      <c r="B1203" t="s">
        <v>2309</v>
      </c>
    </row>
    <row r="1204" spans="1:2" x14ac:dyDescent="0.2">
      <c r="A1204" t="s">
        <v>2325</v>
      </c>
      <c r="B1204" t="s">
        <v>2309</v>
      </c>
    </row>
    <row r="1205" spans="1:2" x14ac:dyDescent="0.2">
      <c r="A1205" t="s">
        <v>2303</v>
      </c>
      <c r="B1205" t="s">
        <v>2309</v>
      </c>
    </row>
    <row r="1206" spans="1:2" x14ac:dyDescent="0.2">
      <c r="A1206" t="s">
        <v>2369</v>
      </c>
      <c r="B1206" t="s">
        <v>2309</v>
      </c>
    </row>
    <row r="1207" spans="1:2" x14ac:dyDescent="0.2">
      <c r="A1207" t="s">
        <v>2306</v>
      </c>
      <c r="B1207" t="s">
        <v>2309</v>
      </c>
    </row>
    <row r="1208" spans="1:2" x14ac:dyDescent="0.2">
      <c r="A1208" t="s">
        <v>2271</v>
      </c>
      <c r="B1208" t="s">
        <v>2309</v>
      </c>
    </row>
    <row r="1209" spans="1:2" x14ac:dyDescent="0.2">
      <c r="A1209" t="s">
        <v>1207</v>
      </c>
      <c r="B1209" t="s">
        <v>2309</v>
      </c>
    </row>
    <row r="1210" spans="1:2" x14ac:dyDescent="0.2">
      <c r="A1210" t="s">
        <v>1204</v>
      </c>
      <c r="B1210" t="s">
        <v>2309</v>
      </c>
    </row>
    <row r="1211" spans="1:2" x14ac:dyDescent="0.2">
      <c r="A1211" t="s">
        <v>1300</v>
      </c>
      <c r="B1211" t="s">
        <v>2309</v>
      </c>
    </row>
    <row r="1212" spans="1:2" x14ac:dyDescent="0.2">
      <c r="A1212" t="s">
        <v>1658</v>
      </c>
      <c r="B1212" t="s">
        <v>2309</v>
      </c>
    </row>
    <row r="1213" spans="1:2" x14ac:dyDescent="0.2">
      <c r="A1213" t="s">
        <v>1438</v>
      </c>
      <c r="B1213" t="s">
        <v>2309</v>
      </c>
    </row>
    <row r="1214" spans="1:2" x14ac:dyDescent="0.2">
      <c r="A1214" t="s">
        <v>2370</v>
      </c>
      <c r="B1214" t="s">
        <v>2309</v>
      </c>
    </row>
    <row r="1215" spans="1:2" x14ac:dyDescent="0.2">
      <c r="A1215" t="s">
        <v>2371</v>
      </c>
      <c r="B1215" t="s">
        <v>2309</v>
      </c>
    </row>
    <row r="1216" spans="1:2" x14ac:dyDescent="0.2">
      <c r="A1216" t="s">
        <v>2304</v>
      </c>
      <c r="B1216" t="s">
        <v>2309</v>
      </c>
    </row>
    <row r="1217" spans="1:2" x14ac:dyDescent="0.2">
      <c r="A1217" t="s">
        <v>2352</v>
      </c>
      <c r="B1217" t="s">
        <v>2309</v>
      </c>
    </row>
  </sheetData>
  <conditionalFormatting sqref="G17:G18">
    <cfRule type="containsText" dxfId="1" priority="1" operator="containsText" text="⚠️">
      <formula>NOT(ISERROR(SEARCH("⚠️",G17)))</formula>
    </cfRule>
    <cfRule type="cellIs" dxfId="0" priority="2" operator="equal">
      <formula>"✔️"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9BB5F6-D4C5-4F33-8B85-5C422D3E05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Controle de Validade</vt:lpstr>
      <vt:lpstr>Responsável</vt:lpstr>
      <vt:lpstr>Validade</vt:lpstr>
      <vt:lpstr>Dispodaten2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Paloma Celli</cp:lastModifiedBy>
  <cp:revision>1</cp:revision>
  <cp:lastPrinted>2025-02-19T13:31:18Z</cp:lastPrinted>
  <dcterms:created xsi:type="dcterms:W3CDTF">2025-03-19T12:31:19Z</dcterms:created>
  <dcterms:modified xsi:type="dcterms:W3CDTF">2025-12-01T16:24:55Z</dcterms:modified>
  <cp:category/>
</cp:coreProperties>
</file>